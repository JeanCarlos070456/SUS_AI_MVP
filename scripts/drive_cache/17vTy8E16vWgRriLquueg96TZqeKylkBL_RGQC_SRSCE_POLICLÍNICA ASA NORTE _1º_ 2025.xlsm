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1401785\Documents\NGC\NGC 2025\GSAS1\"/>
    </mc:Choice>
  </mc:AlternateContent>
  <workbookProtection workbookAlgorithmName="SHA-512" workbookHashValue="YYWSee1BYmMLlrDy5UHtKnIwq4bqoHTWypEYR5Ey7YbrRgGS6qIHDcXyM2aEdoaYA4HFutc/l0tXdBlbLZKuWg==" workbookSaltValue="ADue1UQxkAQ18jLDAq3R5Q==" workbookSpinCount="100000" lockStructure="1"/>
  <bookViews>
    <workbookView xWindow="0" yWindow="0" windowWidth="20490" windowHeight="6750" tabRatio="884" firstSheet="3" activeTab="10"/>
  </bookViews>
  <sheets>
    <sheet name="CRÉDITOS" sheetId="279" r:id="rId1"/>
    <sheet name="ORIENTAÇÕES" sheetId="278" r:id="rId2"/>
    <sheet name="INSTRUÇÕES" sheetId="268" state="hidden" r:id="rId3"/>
    <sheet name="CUSTO  TOTAL - QUADRIM." sheetId="262" r:id="rId4"/>
    <sheet name="PROD. 1º MÊS" sheetId="267" r:id="rId5"/>
    <sheet name="PROD. 2º MÊS" sheetId="266" r:id="rId6"/>
    <sheet name="PROD. 3º MÊS" sheetId="265" r:id="rId7"/>
    <sheet name="PROD. 4º MÊS" sheetId="247" r:id="rId8"/>
    <sheet name="C.  EXTERNO - QUADRIM." sheetId="275" r:id="rId9"/>
    <sheet name="SES - CMU" sheetId="281" r:id="rId10"/>
    <sheet name="RELATÓRIO" sheetId="276" r:id="rId11"/>
    <sheet name="VARIAÇÃO" sheetId="277" r:id="rId12"/>
    <sheet name="VALIDAÇÃO" sheetId="280" r:id="rId13"/>
  </sheets>
  <definedNames>
    <definedName name="_1_PROD" localSheetId="8">'C.  EXTERNO - QUADRIM.'!$C$7:$F$124</definedName>
    <definedName name="_1_PROD" localSheetId="4">'PROD. 1º MÊS'!$C$7:$F$124</definedName>
    <definedName name="_1_PROD_ATUAL">'PROD. 4º MÊS'!$C$7:$F$124</definedName>
    <definedName name="_2_PROD_ANTER_">'PROD. 3º MÊS'!$C$5:$F$124</definedName>
    <definedName name="_3_PROD_2m_">'PROD. 2º MÊS'!$C$7:$F$124</definedName>
    <definedName name="_4_PROD_3m_" localSheetId="8">'C.  EXTERNO - QUADRIM.'!$C$7:$F$124</definedName>
    <definedName name="_4_PROD_3m_">'PROD. 1º MÊS'!$C$7:$F$124</definedName>
    <definedName name="_CUST_TOT_4m">'CUSTO  TOTAL - QUADRIM.'!$B$6:$F$54</definedName>
    <definedName name="_CUST_TOT_4m_">'CUSTO  TOTAL - QUADRIM.'!$B$6:$F$60</definedName>
    <definedName name="_xlnm._FilterDatabase" localSheetId="10" hidden="1">RELATÓRIO!$AO$87:$AO$575</definedName>
    <definedName name="_xlnm._FilterDatabase" localSheetId="9" hidden="1">'SES - CMU'!$B$2:$D$242</definedName>
    <definedName name="_xlnm.Extract" localSheetId="10">RELATÓRIO!$AP$87</definedName>
    <definedName name="_xlnm.Print_Area" localSheetId="8">'C.  EXTERNO - QUADRIM.'!$C$1:$F$124</definedName>
    <definedName name="_xlnm.Print_Area" localSheetId="3">'CUSTO  TOTAL - QUADRIM.'!$B$1:$F$60</definedName>
    <definedName name="_xlnm.Print_Area" localSheetId="2">INSTRUÇÕES!$B$1:$B$32</definedName>
    <definedName name="_xlnm.Print_Area" localSheetId="1">ORIENTAÇÕES!$B$1:$N$63</definedName>
    <definedName name="_xlnm.Print_Area" localSheetId="4">'PROD. 1º MÊS'!$C$1:$F$124</definedName>
    <definedName name="_xlnm.Print_Area" localSheetId="5">'PROD. 2º MÊS'!$C$1:$F$124</definedName>
    <definedName name="_xlnm.Print_Area" localSheetId="6">'PROD. 3º MÊS'!$C$1:$F$124</definedName>
    <definedName name="_xlnm.Print_Area" localSheetId="7">'PROD. 4º MÊS'!$C$1:$F$124</definedName>
    <definedName name="_xlnm.Print_Area" localSheetId="10">RELATÓRIO!$B$1:$Q$231</definedName>
    <definedName name="_xlnm.Print_Area" localSheetId="9">'SES - CMU'!$B$2:$D$242</definedName>
    <definedName name="_xlnm.Print_Area" localSheetId="11">VARIAÇÃO!$B$1:$H$51</definedName>
    <definedName name="_xlnm.Print_Titles" localSheetId="8">'C.  EXTERNO - QUADRIM.'!$1:$5</definedName>
    <definedName name="_xlnm.Print_Titles" localSheetId="3">'CUSTO  TOTAL - QUADRIM.'!$1:$5</definedName>
    <definedName name="_xlnm.Print_Titles" localSheetId="4">'PROD. 1º MÊS'!$1:$5</definedName>
    <definedName name="_xlnm.Print_Titles" localSheetId="5">'PROD. 2º MÊS'!$1:$5</definedName>
    <definedName name="_xlnm.Print_Titles" localSheetId="6">'PROD. 3º MÊS'!$1:$5</definedName>
    <definedName name="_xlnm.Print_Titles" localSheetId="7">'PROD. 4º MÊS'!$1:$5</definedName>
    <definedName name="_xlnm.Print_Titles" localSheetId="10">RELATÓRIO!$1:$10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276" l="1"/>
  <c r="M108" i="276" l="1"/>
  <c r="M121" i="276"/>
  <c r="M156" i="276"/>
  <c r="M170" i="276"/>
  <c r="B3" i="276" l="1"/>
  <c r="J12" i="277" l="1"/>
  <c r="J5" i="277"/>
  <c r="I1" i="275" l="1"/>
  <c r="H1" i="275"/>
  <c r="J1" i="275" s="1"/>
  <c r="E1" i="275" s="1"/>
  <c r="I1" i="262"/>
  <c r="H1" i="262"/>
  <c r="J1" i="262" s="1"/>
  <c r="E1" i="262" s="1"/>
  <c r="B1" i="281" s="1"/>
  <c r="F1" i="266"/>
  <c r="F1" i="265"/>
  <c r="F1" i="247"/>
  <c r="F1" i="267"/>
  <c r="M95" i="276" l="1"/>
  <c r="M94" i="276"/>
  <c r="M93" i="276"/>
  <c r="M92" i="276"/>
  <c r="M91" i="276"/>
  <c r="M90" i="276"/>
  <c r="M89" i="276"/>
  <c r="M88" i="276"/>
  <c r="H95" i="276" l="1"/>
  <c r="H94" i="276"/>
  <c r="H93" i="276"/>
  <c r="H92" i="276"/>
  <c r="H91" i="276"/>
  <c r="H90" i="276"/>
  <c r="H89" i="276"/>
  <c r="H88" i="276"/>
  <c r="M81" i="276" l="1"/>
  <c r="H81" i="276"/>
  <c r="B81" i="276"/>
  <c r="M83" i="276"/>
  <c r="H83" i="276"/>
  <c r="B83" i="276"/>
  <c r="J70" i="275" l="1"/>
  <c r="J71" i="275"/>
  <c r="J72" i="275"/>
  <c r="J73" i="275"/>
  <c r="J74" i="275"/>
  <c r="J75" i="275"/>
  <c r="J76" i="275"/>
  <c r="J77" i="275"/>
  <c r="J78" i="275"/>
  <c r="J79" i="275"/>
  <c r="J80" i="275"/>
  <c r="J81" i="275"/>
  <c r="J82" i="275"/>
  <c r="J83" i="275"/>
  <c r="J84" i="275"/>
  <c r="J85" i="275"/>
  <c r="J86" i="275"/>
  <c r="J87" i="275"/>
  <c r="J88" i="275"/>
  <c r="J89" i="275"/>
  <c r="J90" i="275"/>
  <c r="J91" i="275"/>
  <c r="J92" i="275"/>
  <c r="J93" i="275"/>
  <c r="J94" i="275"/>
  <c r="J95" i="275"/>
  <c r="J96" i="275"/>
  <c r="J97" i="275"/>
  <c r="J98" i="275"/>
  <c r="J99" i="275"/>
  <c r="J100" i="275"/>
  <c r="J101" i="275"/>
  <c r="J102" i="275"/>
  <c r="J103" i="275"/>
  <c r="J104" i="275"/>
  <c r="J105" i="275"/>
  <c r="J106" i="275"/>
  <c r="J107" i="275"/>
  <c r="J108" i="275"/>
  <c r="J109" i="275"/>
  <c r="J110" i="275"/>
  <c r="J111" i="275"/>
  <c r="J112" i="275"/>
  <c r="J113" i="275"/>
  <c r="J114" i="275"/>
  <c r="J115" i="275"/>
  <c r="J116" i="275"/>
  <c r="J117" i="275"/>
  <c r="J118" i="275"/>
  <c r="J119" i="275"/>
  <c r="J120" i="275"/>
  <c r="J121" i="275"/>
  <c r="J122" i="275"/>
  <c r="J123" i="275"/>
  <c r="J124" i="275"/>
  <c r="J69" i="275"/>
  <c r="J3" i="277" l="1"/>
  <c r="L13" i="277"/>
  <c r="L6" i="277"/>
  <c r="J11" i="277" l="1"/>
  <c r="AC124" i="276" l="1"/>
  <c r="AG124" i="276"/>
  <c r="AK124" i="276"/>
  <c r="AC125" i="276"/>
  <c r="AG125" i="276"/>
  <c r="AK125" i="276"/>
  <c r="AC126" i="276"/>
  <c r="AG126" i="276"/>
  <c r="AK126" i="276"/>
  <c r="AC127" i="276"/>
  <c r="AG127" i="276"/>
  <c r="AK127" i="276"/>
  <c r="AC128" i="276"/>
  <c r="AG128" i="276"/>
  <c r="AK128" i="276"/>
  <c r="AC129" i="276"/>
  <c r="AG129" i="276"/>
  <c r="AK129" i="276"/>
  <c r="AC130" i="276"/>
  <c r="AG130" i="276"/>
  <c r="AK130" i="276"/>
  <c r="AC131" i="276"/>
  <c r="AG131" i="276"/>
  <c r="AK131" i="276"/>
  <c r="AC132" i="276"/>
  <c r="AG132" i="276"/>
  <c r="AK132" i="276"/>
  <c r="AC133" i="276"/>
  <c r="AG133" i="276"/>
  <c r="AK133" i="276"/>
  <c r="AC134" i="276"/>
  <c r="AG134" i="276"/>
  <c r="AK134" i="276"/>
  <c r="AC135" i="276"/>
  <c r="AG135" i="276"/>
  <c r="AK135" i="276"/>
  <c r="AC136" i="276"/>
  <c r="AG136" i="276"/>
  <c r="AK136" i="276"/>
  <c r="AC137" i="276"/>
  <c r="AG137" i="276"/>
  <c r="AK137" i="276"/>
  <c r="AC138" i="276"/>
  <c r="AG138" i="276"/>
  <c r="AK138" i="276"/>
  <c r="AC139" i="276"/>
  <c r="AG139" i="276"/>
  <c r="AK139" i="276"/>
  <c r="AC140" i="276"/>
  <c r="AG140" i="276"/>
  <c r="AK140" i="276"/>
  <c r="AC141" i="276"/>
  <c r="AG141" i="276"/>
  <c r="AK141" i="276"/>
  <c r="AC142" i="276"/>
  <c r="AG142" i="276"/>
  <c r="AK142" i="276"/>
  <c r="AC143" i="276"/>
  <c r="AG143" i="276"/>
  <c r="AK143" i="276"/>
  <c r="AC144" i="276"/>
  <c r="AG144" i="276"/>
  <c r="AK144" i="276"/>
  <c r="AC145" i="276"/>
  <c r="AG145" i="276"/>
  <c r="AK145" i="276"/>
  <c r="AC146" i="276"/>
  <c r="AG146" i="276"/>
  <c r="AK146" i="276"/>
  <c r="AC147" i="276"/>
  <c r="AG147" i="276"/>
  <c r="AK147" i="276"/>
  <c r="AC148" i="276"/>
  <c r="AG148" i="276"/>
  <c r="AK148" i="276"/>
  <c r="AC149" i="276"/>
  <c r="AG149" i="276"/>
  <c r="AK149" i="276"/>
  <c r="AC150" i="276"/>
  <c r="AG150" i="276"/>
  <c r="AK150" i="276"/>
  <c r="AC151" i="276"/>
  <c r="AG151" i="276"/>
  <c r="AK151" i="276"/>
  <c r="AC152" i="276"/>
  <c r="AG152" i="276"/>
  <c r="AK152" i="276"/>
  <c r="AC153" i="276"/>
  <c r="AG153" i="276"/>
  <c r="AK153" i="276"/>
  <c r="AC154" i="276"/>
  <c r="AG154" i="276"/>
  <c r="AK154" i="276"/>
  <c r="AC155" i="276"/>
  <c r="AG155" i="276"/>
  <c r="AK155" i="276"/>
  <c r="AC156" i="276"/>
  <c r="AG156" i="276"/>
  <c r="AK156" i="276"/>
  <c r="AC157" i="276"/>
  <c r="AG157" i="276"/>
  <c r="AK157" i="276"/>
  <c r="AC158" i="276"/>
  <c r="AG158" i="276"/>
  <c r="AK158" i="276"/>
  <c r="AC159" i="276"/>
  <c r="AG159" i="276"/>
  <c r="AK159" i="276"/>
  <c r="AC160" i="276"/>
  <c r="AG160" i="276"/>
  <c r="AK160" i="276"/>
  <c r="AC161" i="276"/>
  <c r="AG161" i="276"/>
  <c r="AK161" i="276"/>
  <c r="AC162" i="276"/>
  <c r="AG162" i="276"/>
  <c r="AK162" i="276"/>
  <c r="AC163" i="276"/>
  <c r="AG163" i="276"/>
  <c r="AK163" i="276"/>
  <c r="AC164" i="276"/>
  <c r="AG164" i="276"/>
  <c r="AK164" i="276"/>
  <c r="AC165" i="276"/>
  <c r="AG165" i="276"/>
  <c r="AK165" i="276"/>
  <c r="AC166" i="276"/>
  <c r="AG166" i="276"/>
  <c r="AK166" i="276"/>
  <c r="AC167" i="276"/>
  <c r="AG167" i="276"/>
  <c r="AK167" i="276"/>
  <c r="AC168" i="276"/>
  <c r="AG168" i="276"/>
  <c r="AK168" i="276"/>
  <c r="AC169" i="276"/>
  <c r="AG169" i="276"/>
  <c r="AK169" i="276"/>
  <c r="AC170" i="276"/>
  <c r="AG170" i="276"/>
  <c r="AK170" i="276"/>
  <c r="AC171" i="276"/>
  <c r="AG171" i="276"/>
  <c r="AK171" i="276"/>
  <c r="AC172" i="276"/>
  <c r="AG172" i="276"/>
  <c r="AK172" i="276"/>
  <c r="AC173" i="276"/>
  <c r="AG173" i="276"/>
  <c r="AK173" i="276"/>
  <c r="AC174" i="276"/>
  <c r="AG174" i="276"/>
  <c r="AK174" i="276"/>
  <c r="AC175" i="276"/>
  <c r="AG175" i="276"/>
  <c r="AK175" i="276"/>
  <c r="AC176" i="276"/>
  <c r="AG176" i="276"/>
  <c r="AK176" i="276"/>
  <c r="AC177" i="276"/>
  <c r="AG177" i="276"/>
  <c r="AK177" i="276"/>
  <c r="AC178" i="276"/>
  <c r="AG178" i="276"/>
  <c r="AK178" i="276"/>
  <c r="AC179" i="276"/>
  <c r="AG179" i="276"/>
  <c r="AK179" i="276"/>
  <c r="AC180" i="276"/>
  <c r="AG180" i="276"/>
  <c r="AK180" i="276"/>
  <c r="AC181" i="276"/>
  <c r="AG181" i="276"/>
  <c r="AK181" i="276"/>
  <c r="AC182" i="276"/>
  <c r="AG182" i="276"/>
  <c r="AK182" i="276"/>
  <c r="AC183" i="276"/>
  <c r="AG183" i="276"/>
  <c r="AK183" i="276"/>
  <c r="AC184" i="276"/>
  <c r="AG184" i="276"/>
  <c r="AK184" i="276"/>
  <c r="AC185" i="276"/>
  <c r="AG185" i="276"/>
  <c r="AK185" i="276"/>
  <c r="AC186" i="276"/>
  <c r="AG186" i="276"/>
  <c r="AK186" i="276"/>
  <c r="AC187" i="276"/>
  <c r="AG187" i="276"/>
  <c r="AK187" i="276"/>
  <c r="AC188" i="276"/>
  <c r="AG188" i="276"/>
  <c r="AK188" i="276"/>
  <c r="AC189" i="276"/>
  <c r="AG189" i="276"/>
  <c r="AK189" i="276"/>
  <c r="AC190" i="276"/>
  <c r="AG190" i="276"/>
  <c r="AK190" i="276"/>
  <c r="AC191" i="276"/>
  <c r="AG191" i="276"/>
  <c r="AK191" i="276"/>
  <c r="AC192" i="276"/>
  <c r="AG192" i="276"/>
  <c r="AK192" i="276"/>
  <c r="AC193" i="276"/>
  <c r="AG193" i="276"/>
  <c r="AK193" i="276"/>
  <c r="AC194" i="276"/>
  <c r="AG194" i="276"/>
  <c r="AK194" i="276"/>
  <c r="AC195" i="276"/>
  <c r="AG195" i="276"/>
  <c r="AK195" i="276"/>
  <c r="AC196" i="276"/>
  <c r="AG196" i="276"/>
  <c r="AK196" i="276"/>
  <c r="AC197" i="276"/>
  <c r="AG197" i="276"/>
  <c r="AK197" i="276"/>
  <c r="AC198" i="276"/>
  <c r="AG198" i="276"/>
  <c r="AK198" i="276"/>
  <c r="AC199" i="276"/>
  <c r="AG199" i="276"/>
  <c r="AK199" i="276"/>
  <c r="AC200" i="276"/>
  <c r="AG200" i="276"/>
  <c r="AK200" i="276"/>
  <c r="AC201" i="276"/>
  <c r="AG201" i="276"/>
  <c r="AK201" i="276"/>
  <c r="AC202" i="276"/>
  <c r="AG202" i="276"/>
  <c r="AK202" i="276"/>
  <c r="AC203" i="276"/>
  <c r="AG203" i="276"/>
  <c r="AK203" i="276"/>
  <c r="AC204" i="276"/>
  <c r="AG204" i="276"/>
  <c r="AK204" i="276"/>
  <c r="AK123" i="276"/>
  <c r="AG123" i="276"/>
  <c r="AC123" i="276"/>
  <c r="AK122" i="276"/>
  <c r="AG122" i="276"/>
  <c r="AC122" i="276"/>
  <c r="AK121" i="276"/>
  <c r="AO470" i="276" s="1"/>
  <c r="AG121" i="276"/>
  <c r="AO354" i="276" s="1"/>
  <c r="AC121" i="276"/>
  <c r="AO239" i="276" s="1"/>
  <c r="AK120" i="276"/>
  <c r="AO469" i="276" s="1"/>
  <c r="AG120" i="276"/>
  <c r="AO353" i="276" s="1"/>
  <c r="AC120" i="276"/>
  <c r="AO238" i="276" s="1"/>
  <c r="AK119" i="276"/>
  <c r="AO468" i="276" s="1"/>
  <c r="AG119" i="276"/>
  <c r="AO352" i="276" s="1"/>
  <c r="AC119" i="276"/>
  <c r="AO237" i="276" s="1"/>
  <c r="AK118" i="276"/>
  <c r="AO467" i="276" s="1"/>
  <c r="AG118" i="276"/>
  <c r="AO351" i="276" s="1"/>
  <c r="AC118" i="276"/>
  <c r="AO236" i="276" s="1"/>
  <c r="AK117" i="276"/>
  <c r="AO466" i="276" s="1"/>
  <c r="AG117" i="276"/>
  <c r="AO350" i="276" s="1"/>
  <c r="AC117" i="276"/>
  <c r="AO235" i="276" s="1"/>
  <c r="AK116" i="276"/>
  <c r="AO465" i="276" s="1"/>
  <c r="AG116" i="276"/>
  <c r="AO349" i="276" s="1"/>
  <c r="AC116" i="276"/>
  <c r="AO234" i="276" s="1"/>
  <c r="AK115" i="276"/>
  <c r="AO464" i="276" s="1"/>
  <c r="AG115" i="276"/>
  <c r="AO348" i="276" s="1"/>
  <c r="AC115" i="276"/>
  <c r="AO233" i="276" s="1"/>
  <c r="AK114" i="276"/>
  <c r="AO463" i="276" s="1"/>
  <c r="AG114" i="276"/>
  <c r="AO347" i="276" s="1"/>
  <c r="AC114" i="276"/>
  <c r="AO232" i="276" s="1"/>
  <c r="AK113" i="276"/>
  <c r="AO462" i="276" s="1"/>
  <c r="AG113" i="276"/>
  <c r="AO346" i="276" s="1"/>
  <c r="AC113" i="276"/>
  <c r="AO231" i="276" s="1"/>
  <c r="AK112" i="276"/>
  <c r="AO461" i="276" s="1"/>
  <c r="AG112" i="276"/>
  <c r="AO345" i="276" s="1"/>
  <c r="AC112" i="276"/>
  <c r="AO230" i="276" s="1"/>
  <c r="AK111" i="276"/>
  <c r="AO460" i="276" s="1"/>
  <c r="AG111" i="276"/>
  <c r="AO344" i="276" s="1"/>
  <c r="AC111" i="276"/>
  <c r="AO229" i="276" s="1"/>
  <c r="AK110" i="276"/>
  <c r="AO459" i="276" s="1"/>
  <c r="AG110" i="276"/>
  <c r="AO343" i="276" s="1"/>
  <c r="AC110" i="276"/>
  <c r="AO227" i="276" s="1"/>
  <c r="AK109" i="276"/>
  <c r="AO458" i="276" s="1"/>
  <c r="AG109" i="276"/>
  <c r="AO342" i="276" s="1"/>
  <c r="AC109" i="276"/>
  <c r="AO226" i="276" s="1"/>
  <c r="AK108" i="276"/>
  <c r="AO457" i="276" s="1"/>
  <c r="AG108" i="276"/>
  <c r="AO341" i="276" s="1"/>
  <c r="AC108" i="276"/>
  <c r="AO225" i="276" s="1"/>
  <c r="AK107" i="276"/>
  <c r="AO456" i="276" s="1"/>
  <c r="AG107" i="276"/>
  <c r="AO340" i="276" s="1"/>
  <c r="AC107" i="276"/>
  <c r="AO224" i="276" s="1"/>
  <c r="AK106" i="276"/>
  <c r="AO455" i="276" s="1"/>
  <c r="AG106" i="276"/>
  <c r="AO339" i="276" s="1"/>
  <c r="AC106" i="276"/>
  <c r="AO223" i="276" s="1"/>
  <c r="AK105" i="276"/>
  <c r="AO454" i="276" s="1"/>
  <c r="AG105" i="276"/>
  <c r="AO338" i="276" s="1"/>
  <c r="AC105" i="276"/>
  <c r="AO222" i="276" s="1"/>
  <c r="AK104" i="276"/>
  <c r="AO453" i="276" s="1"/>
  <c r="AG104" i="276"/>
  <c r="AO337" i="276" s="1"/>
  <c r="AC104" i="276"/>
  <c r="AO221" i="276" s="1"/>
  <c r="AK103" i="276"/>
  <c r="AO452" i="276" s="1"/>
  <c r="AG103" i="276"/>
  <c r="AO336" i="276" s="1"/>
  <c r="AC103" i="276"/>
  <c r="AO220" i="276" s="1"/>
  <c r="AK102" i="276"/>
  <c r="AO451" i="276" s="1"/>
  <c r="AG102" i="276"/>
  <c r="AO335" i="276" s="1"/>
  <c r="AC102" i="276"/>
  <c r="AO219" i="276" s="1"/>
  <c r="AK101" i="276"/>
  <c r="AO450" i="276" s="1"/>
  <c r="AG101" i="276"/>
  <c r="AO334" i="276" s="1"/>
  <c r="AC101" i="276"/>
  <c r="AO218" i="276" s="1"/>
  <c r="AK100" i="276"/>
  <c r="AO449" i="276" s="1"/>
  <c r="AG100" i="276"/>
  <c r="AO333" i="276" s="1"/>
  <c r="AC100" i="276"/>
  <c r="AO217" i="276" s="1"/>
  <c r="AK99" i="276"/>
  <c r="AO448" i="276" s="1"/>
  <c r="AG99" i="276"/>
  <c r="AO332" i="276" s="1"/>
  <c r="AC99" i="276"/>
  <c r="AO216" i="276" s="1"/>
  <c r="AK98" i="276"/>
  <c r="AO447" i="276" s="1"/>
  <c r="AG98" i="276"/>
  <c r="AO331" i="276" s="1"/>
  <c r="AC98" i="276"/>
  <c r="AO214" i="276" s="1"/>
  <c r="AK97" i="276"/>
  <c r="AO446" i="276" s="1"/>
  <c r="AG97" i="276"/>
  <c r="AO330" i="276" s="1"/>
  <c r="AC97" i="276"/>
  <c r="AO213" i="276" s="1"/>
  <c r="AK96" i="276"/>
  <c r="AO445" i="276" s="1"/>
  <c r="AG96" i="276"/>
  <c r="AO329" i="276" s="1"/>
  <c r="AC96" i="276"/>
  <c r="AO212" i="276" s="1"/>
  <c r="AK95" i="276"/>
  <c r="AO444" i="276" s="1"/>
  <c r="AG95" i="276"/>
  <c r="AO328" i="276" s="1"/>
  <c r="AC95" i="276"/>
  <c r="AO211" i="276" s="1"/>
  <c r="AK94" i="276"/>
  <c r="AO443" i="276" s="1"/>
  <c r="AG94" i="276"/>
  <c r="AO327" i="276" s="1"/>
  <c r="AC94" i="276"/>
  <c r="AO210" i="276" s="1"/>
  <c r="AK93" i="276"/>
  <c r="AO442" i="276" s="1"/>
  <c r="AG93" i="276"/>
  <c r="AO326" i="276" s="1"/>
  <c r="AC93" i="276"/>
  <c r="AO209" i="276" s="1"/>
  <c r="AK92" i="276"/>
  <c r="AO441" i="276" s="1"/>
  <c r="AG92" i="276"/>
  <c r="AO325" i="276" s="1"/>
  <c r="AC92" i="276"/>
  <c r="AO208" i="276" s="1"/>
  <c r="AK91" i="276"/>
  <c r="AO440" i="276" s="1"/>
  <c r="AG91" i="276"/>
  <c r="AO324" i="276" s="1"/>
  <c r="AC91" i="276"/>
  <c r="AO207" i="276" s="1"/>
  <c r="AK90" i="276"/>
  <c r="AO439" i="276" s="1"/>
  <c r="AG90" i="276"/>
  <c r="AO323" i="276" s="1"/>
  <c r="AC90" i="276"/>
  <c r="AO206" i="276" s="1"/>
  <c r="W166" i="276"/>
  <c r="W167" i="276"/>
  <c r="W168" i="276"/>
  <c r="W169" i="276"/>
  <c r="W170" i="276"/>
  <c r="W171" i="276"/>
  <c r="W172" i="276"/>
  <c r="W173" i="276"/>
  <c r="W174" i="276"/>
  <c r="W175" i="276"/>
  <c r="W176" i="276"/>
  <c r="W177" i="276"/>
  <c r="W178" i="276"/>
  <c r="W179" i="276"/>
  <c r="W180" i="276"/>
  <c r="W181" i="276"/>
  <c r="W182" i="276"/>
  <c r="W183" i="276"/>
  <c r="W184" i="276"/>
  <c r="W185" i="276"/>
  <c r="W186" i="276"/>
  <c r="W187" i="276"/>
  <c r="W188" i="276"/>
  <c r="W189" i="276"/>
  <c r="W190" i="276"/>
  <c r="W191" i="276"/>
  <c r="W192" i="276"/>
  <c r="W193" i="276"/>
  <c r="W194" i="276"/>
  <c r="W195" i="276"/>
  <c r="W196" i="276"/>
  <c r="W197" i="276"/>
  <c r="W198" i="276"/>
  <c r="W199" i="276"/>
  <c r="W200" i="276"/>
  <c r="W201" i="276"/>
  <c r="W202" i="276"/>
  <c r="W203" i="276"/>
  <c r="W204" i="276"/>
  <c r="W165" i="276"/>
  <c r="W164" i="276"/>
  <c r="W163" i="276"/>
  <c r="W162" i="276"/>
  <c r="W161" i="276"/>
  <c r="W160" i="276"/>
  <c r="W159" i="276"/>
  <c r="W158" i="276"/>
  <c r="W157" i="276"/>
  <c r="W156" i="276"/>
  <c r="W155" i="276"/>
  <c r="W154" i="276"/>
  <c r="W153" i="276"/>
  <c r="W152" i="276"/>
  <c r="W151" i="276"/>
  <c r="W150" i="276"/>
  <c r="W149" i="276"/>
  <c r="W148" i="276"/>
  <c r="W147" i="276"/>
  <c r="W146" i="276"/>
  <c r="W145" i="276"/>
  <c r="W144" i="276"/>
  <c r="W143" i="276"/>
  <c r="W142" i="276"/>
  <c r="W141" i="276"/>
  <c r="W140" i="276"/>
  <c r="W139" i="276"/>
  <c r="W138" i="276"/>
  <c r="W137" i="276"/>
  <c r="W136" i="276"/>
  <c r="W135" i="276"/>
  <c r="W134" i="276"/>
  <c r="W133" i="276"/>
  <c r="W132" i="276"/>
  <c r="W131" i="276"/>
  <c r="W130" i="276"/>
  <c r="W129" i="276"/>
  <c r="W128" i="276"/>
  <c r="W127" i="276"/>
  <c r="W126" i="276"/>
  <c r="W125" i="276"/>
  <c r="W124" i="276"/>
  <c r="W123" i="276"/>
  <c r="W122" i="276"/>
  <c r="W121" i="276"/>
  <c r="AO121" i="276" s="1"/>
  <c r="W120" i="276"/>
  <c r="AO120" i="276" s="1"/>
  <c r="W119" i="276"/>
  <c r="AO119" i="276" s="1"/>
  <c r="W118" i="276"/>
  <c r="AO118" i="276" s="1"/>
  <c r="W117" i="276"/>
  <c r="AO117" i="276" s="1"/>
  <c r="W116" i="276"/>
  <c r="AO116" i="276" s="1"/>
  <c r="W115" i="276"/>
  <c r="AO115" i="276" s="1"/>
  <c r="W114" i="276"/>
  <c r="AO114" i="276" s="1"/>
  <c r="W113" i="276"/>
  <c r="AO113" i="276" s="1"/>
  <c r="W112" i="276"/>
  <c r="AO112" i="276" s="1"/>
  <c r="W111" i="276"/>
  <c r="AO111" i="276" s="1"/>
  <c r="W110" i="276"/>
  <c r="AO110" i="276" s="1"/>
  <c r="W109" i="276"/>
  <c r="AO109" i="276" s="1"/>
  <c r="W108" i="276"/>
  <c r="AO108" i="276" s="1"/>
  <c r="W107" i="276"/>
  <c r="AO107" i="276" s="1"/>
  <c r="W106" i="276"/>
  <c r="AO106" i="276" s="1"/>
  <c r="W105" i="276"/>
  <c r="AO105" i="276" s="1"/>
  <c r="W104" i="276"/>
  <c r="AO104" i="276" s="1"/>
  <c r="W103" i="276"/>
  <c r="AO103" i="276" s="1"/>
  <c r="W102" i="276"/>
  <c r="AO102" i="276" s="1"/>
  <c r="W101" i="276"/>
  <c r="AO101" i="276" s="1"/>
  <c r="W100" i="276"/>
  <c r="AO100" i="276" s="1"/>
  <c r="W99" i="276"/>
  <c r="AO99" i="276" s="1"/>
  <c r="W98" i="276"/>
  <c r="AO98" i="276" s="1"/>
  <c r="W97" i="276"/>
  <c r="AO97" i="276" s="1"/>
  <c r="W96" i="276"/>
  <c r="AO96" i="276" s="1"/>
  <c r="W95" i="276"/>
  <c r="AO95" i="276" s="1"/>
  <c r="W94" i="276"/>
  <c r="AO94" i="276" s="1"/>
  <c r="W93" i="276"/>
  <c r="AO93" i="276" s="1"/>
  <c r="W92" i="276"/>
  <c r="AO92" i="276" s="1"/>
  <c r="W91" i="276"/>
  <c r="AO91" i="276" s="1"/>
  <c r="W90" i="276"/>
  <c r="AO90" i="276" s="1"/>
  <c r="W85" i="276"/>
  <c r="AA85" i="276" s="1"/>
  <c r="W84" i="276"/>
  <c r="Y84" i="276" s="1"/>
  <c r="W83" i="276"/>
  <c r="Z83" i="276" s="1"/>
  <c r="W82" i="276"/>
  <c r="Z82" i="276" s="1"/>
  <c r="W81" i="276"/>
  <c r="AA81" i="276" s="1"/>
  <c r="W80" i="276"/>
  <c r="AA80" i="276" s="1"/>
  <c r="W79" i="276"/>
  <c r="AA79" i="276" s="1"/>
  <c r="W78" i="276"/>
  <c r="AA78" i="276" s="1"/>
  <c r="W77" i="276"/>
  <c r="AA77" i="276" s="1"/>
  <c r="W76" i="276"/>
  <c r="Z76" i="276" s="1"/>
  <c r="W75" i="276"/>
  <c r="Z75" i="276" s="1"/>
  <c r="W74" i="276"/>
  <c r="X74" i="276" s="1"/>
  <c r="W73" i="276"/>
  <c r="Z73" i="276" s="1"/>
  <c r="W72" i="276"/>
  <c r="AA72" i="276" s="1"/>
  <c r="W71" i="276"/>
  <c r="AA71" i="276" s="1"/>
  <c r="W70" i="276"/>
  <c r="AA70" i="276" s="1"/>
  <c r="W69" i="276"/>
  <c r="AA69" i="276" s="1"/>
  <c r="W68" i="276"/>
  <c r="AA68" i="276" s="1"/>
  <c r="W67" i="276"/>
  <c r="AA67" i="276" s="1"/>
  <c r="W66" i="276"/>
  <c r="Z66" i="276" s="1"/>
  <c r="W65" i="276"/>
  <c r="Y65" i="276" s="1"/>
  <c r="W64" i="276"/>
  <c r="Z64" i="276" s="1"/>
  <c r="W63" i="276"/>
  <c r="Z63" i="276" s="1"/>
  <c r="W62" i="276"/>
  <c r="AA62" i="276" s="1"/>
  <c r="W61" i="276"/>
  <c r="AA61" i="276" s="1"/>
  <c r="W60" i="276"/>
  <c r="X60" i="276" s="1"/>
  <c r="W59" i="276"/>
  <c r="AA59" i="276" s="1"/>
  <c r="W58" i="276"/>
  <c r="Z58" i="276" s="1"/>
  <c r="W57" i="276"/>
  <c r="Y57" i="276" s="1"/>
  <c r="W56" i="276"/>
  <c r="Z56" i="276" s="1"/>
  <c r="W55" i="276"/>
  <c r="Z55" i="276" s="1"/>
  <c r="W54" i="276"/>
  <c r="Y54" i="276" s="1"/>
  <c r="W53" i="276"/>
  <c r="Z53" i="276" s="1"/>
  <c r="W52" i="276"/>
  <c r="Z52" i="276" s="1"/>
  <c r="W51" i="276"/>
  <c r="AA51" i="276" s="1"/>
  <c r="W50" i="276"/>
  <c r="Z50" i="276" s="1"/>
  <c r="W49" i="276"/>
  <c r="AA49" i="276" s="1"/>
  <c r="W48" i="276"/>
  <c r="Y48" i="276" s="1"/>
  <c r="W47" i="276"/>
  <c r="X47" i="276" s="1"/>
  <c r="W46" i="276"/>
  <c r="Z46" i="276" s="1"/>
  <c r="W45" i="276"/>
  <c r="Z45" i="276" s="1"/>
  <c r="W44" i="276"/>
  <c r="AA44" i="276" s="1"/>
  <c r="W43" i="276"/>
  <c r="X43" i="276" s="1"/>
  <c r="W42" i="276"/>
  <c r="AA42" i="276" s="1"/>
  <c r="W41" i="276"/>
  <c r="AA41" i="276" s="1"/>
  <c r="W40" i="276"/>
  <c r="AA40" i="276" s="1"/>
  <c r="W39" i="276"/>
  <c r="Y39" i="276" s="1"/>
  <c r="W38" i="276"/>
  <c r="AA38" i="276" s="1"/>
  <c r="W37" i="276"/>
  <c r="Z37" i="276" s="1"/>
  <c r="W36" i="276"/>
  <c r="X36" i="276" s="1"/>
  <c r="W35" i="276"/>
  <c r="AA35" i="276" s="1"/>
  <c r="W34" i="276"/>
  <c r="Y34" i="276" s="1"/>
  <c r="W33" i="276"/>
  <c r="AA33" i="276" s="1"/>
  <c r="W32" i="276"/>
  <c r="AA32" i="276" s="1"/>
  <c r="W31" i="276"/>
  <c r="AA31" i="276" s="1"/>
  <c r="W30" i="276"/>
  <c r="X30" i="276" s="1"/>
  <c r="W29" i="276"/>
  <c r="X29" i="276" s="1"/>
  <c r="W28" i="276"/>
  <c r="AA28" i="276" s="1"/>
  <c r="W27" i="276"/>
  <c r="AA27" i="276" s="1"/>
  <c r="W26" i="276"/>
  <c r="X26" i="276" s="1"/>
  <c r="W25" i="276"/>
  <c r="AA25" i="276" s="1"/>
  <c r="W24" i="276"/>
  <c r="Z24" i="276" s="1"/>
  <c r="W23" i="276"/>
  <c r="AA23" i="276" s="1"/>
  <c r="W22" i="276"/>
  <c r="AA22" i="276" s="1"/>
  <c r="W21" i="276"/>
  <c r="AA21" i="276" s="1"/>
  <c r="W20" i="276"/>
  <c r="X20" i="276" s="1"/>
  <c r="W19" i="276"/>
  <c r="AA19" i="276" s="1"/>
  <c r="W18" i="276"/>
  <c r="Y18" i="276" s="1"/>
  <c r="W17" i="276"/>
  <c r="Y17" i="276" s="1"/>
  <c r="W16" i="276"/>
  <c r="Z16" i="276" s="1"/>
  <c r="W15" i="276"/>
  <c r="AA15" i="276" s="1"/>
  <c r="AO126" i="276" l="1"/>
  <c r="X126" i="276"/>
  <c r="Y126" i="276"/>
  <c r="AO134" i="276"/>
  <c r="X134" i="276"/>
  <c r="Y134" i="276"/>
  <c r="AO142" i="276"/>
  <c r="X142" i="276"/>
  <c r="Y142" i="276"/>
  <c r="AO150" i="276"/>
  <c r="X150" i="276"/>
  <c r="Y150" i="276"/>
  <c r="AO158" i="276"/>
  <c r="X158" i="276"/>
  <c r="Y158" i="276"/>
  <c r="AO204" i="276"/>
  <c r="X204" i="276"/>
  <c r="Y204" i="276"/>
  <c r="AO196" i="276"/>
  <c r="X196" i="276"/>
  <c r="Y196" i="276"/>
  <c r="AO188" i="276"/>
  <c r="X188" i="276"/>
  <c r="Y188" i="276"/>
  <c r="AO180" i="276"/>
  <c r="X180" i="276"/>
  <c r="Y180" i="276"/>
  <c r="AO172" i="276"/>
  <c r="X172" i="276"/>
  <c r="Y172" i="276"/>
  <c r="AO355" i="276"/>
  <c r="AH122" i="276"/>
  <c r="AI122" i="276"/>
  <c r="AO552" i="276"/>
  <c r="AL203" i="276"/>
  <c r="AM203" i="276"/>
  <c r="AO319" i="276"/>
  <c r="AD201" i="276"/>
  <c r="AE201" i="276"/>
  <c r="AO431" i="276"/>
  <c r="AH198" i="276"/>
  <c r="AI198" i="276"/>
  <c r="AO544" i="276"/>
  <c r="AL195" i="276"/>
  <c r="AM195" i="276"/>
  <c r="AO311" i="276"/>
  <c r="AD193" i="276"/>
  <c r="AE193" i="276"/>
  <c r="AO423" i="276"/>
  <c r="AH190" i="276"/>
  <c r="AI190" i="276"/>
  <c r="AO536" i="276"/>
  <c r="AL187" i="276"/>
  <c r="AM187" i="276"/>
  <c r="AO303" i="276"/>
  <c r="AD185" i="276"/>
  <c r="AE185" i="276"/>
  <c r="AO415" i="276"/>
  <c r="AH182" i="276"/>
  <c r="AI182" i="276"/>
  <c r="AO528" i="276"/>
  <c r="AL179" i="276"/>
  <c r="AM179" i="276"/>
  <c r="AO295" i="276"/>
  <c r="AD177" i="276"/>
  <c r="AE177" i="276"/>
  <c r="AO407" i="276"/>
  <c r="AH174" i="276"/>
  <c r="AI174" i="276"/>
  <c r="AO520" i="276"/>
  <c r="AL171" i="276"/>
  <c r="AM171" i="276"/>
  <c r="AO287" i="276"/>
  <c r="AD169" i="276"/>
  <c r="AE169" i="276"/>
  <c r="AO399" i="276"/>
  <c r="AH166" i="276"/>
  <c r="AI166" i="276"/>
  <c r="AO512" i="276"/>
  <c r="AL163" i="276"/>
  <c r="AM163" i="276"/>
  <c r="AO279" i="276"/>
  <c r="AD161" i="276"/>
  <c r="AE161" i="276"/>
  <c r="AO391" i="276"/>
  <c r="AH158" i="276"/>
  <c r="AI158" i="276"/>
  <c r="AO504" i="276"/>
  <c r="AL155" i="276"/>
  <c r="AM155" i="276"/>
  <c r="AO271" i="276"/>
  <c r="AD153" i="276"/>
  <c r="AE153" i="276"/>
  <c r="AO383" i="276"/>
  <c r="AH150" i="276"/>
  <c r="AI150" i="276"/>
  <c r="AO496" i="276"/>
  <c r="AL147" i="276"/>
  <c r="AM147" i="276"/>
  <c r="AO263" i="276"/>
  <c r="AD145" i="276"/>
  <c r="AE145" i="276"/>
  <c r="AO375" i="276"/>
  <c r="AH142" i="276"/>
  <c r="AI142" i="276"/>
  <c r="AO488" i="276"/>
  <c r="AL139" i="276"/>
  <c r="AM139" i="276"/>
  <c r="AO255" i="276"/>
  <c r="AD137" i="276"/>
  <c r="AE137" i="276"/>
  <c r="AO367" i="276"/>
  <c r="AH134" i="276"/>
  <c r="AI134" i="276"/>
  <c r="AO480" i="276"/>
  <c r="AL131" i="276"/>
  <c r="AM131" i="276"/>
  <c r="AO247" i="276"/>
  <c r="AD129" i="276"/>
  <c r="AE129" i="276"/>
  <c r="AO359" i="276"/>
  <c r="AH126" i="276"/>
  <c r="AI126" i="276"/>
  <c r="AO127" i="276"/>
  <c r="X127" i="276"/>
  <c r="Y127" i="276"/>
  <c r="AO135" i="276"/>
  <c r="X135" i="276"/>
  <c r="Y135" i="276"/>
  <c r="AO143" i="276"/>
  <c r="X143" i="276"/>
  <c r="Y143" i="276"/>
  <c r="AO151" i="276"/>
  <c r="X151" i="276"/>
  <c r="Y151" i="276"/>
  <c r="AO159" i="276"/>
  <c r="X159" i="276"/>
  <c r="Y159" i="276"/>
  <c r="AO203" i="276"/>
  <c r="X203" i="276"/>
  <c r="Y203" i="276"/>
  <c r="AO195" i="276"/>
  <c r="X195" i="276"/>
  <c r="Y195" i="276"/>
  <c r="AO187" i="276"/>
  <c r="X187" i="276"/>
  <c r="Y187" i="276"/>
  <c r="AO179" i="276"/>
  <c r="X179" i="276"/>
  <c r="Y179" i="276"/>
  <c r="AO171" i="276"/>
  <c r="X171" i="276"/>
  <c r="Y171" i="276"/>
  <c r="AO471" i="276"/>
  <c r="AL122" i="276"/>
  <c r="AM122" i="276"/>
  <c r="AO436" i="276"/>
  <c r="AH203" i="276"/>
  <c r="AI203" i="276"/>
  <c r="AO549" i="276"/>
  <c r="AL200" i="276"/>
  <c r="AM200" i="276"/>
  <c r="AO316" i="276"/>
  <c r="AD198" i="276"/>
  <c r="AE198" i="276"/>
  <c r="AO428" i="276"/>
  <c r="AH195" i="276"/>
  <c r="AI195" i="276"/>
  <c r="AO541" i="276"/>
  <c r="AL192" i="276"/>
  <c r="AM192" i="276"/>
  <c r="AO308" i="276"/>
  <c r="AD190" i="276"/>
  <c r="AE190" i="276"/>
  <c r="AO420" i="276"/>
  <c r="AH187" i="276"/>
  <c r="AI187" i="276"/>
  <c r="AO533" i="276"/>
  <c r="AL184" i="276"/>
  <c r="AM184" i="276"/>
  <c r="AO300" i="276"/>
  <c r="AD182" i="276"/>
  <c r="AE182" i="276"/>
  <c r="AO412" i="276"/>
  <c r="AH179" i="276"/>
  <c r="AI179" i="276"/>
  <c r="AO525" i="276"/>
  <c r="AL176" i="276"/>
  <c r="AM176" i="276"/>
  <c r="AO292" i="276"/>
  <c r="AD174" i="276"/>
  <c r="AE174" i="276"/>
  <c r="AO404" i="276"/>
  <c r="AH171" i="276"/>
  <c r="AI171" i="276"/>
  <c r="AO517" i="276"/>
  <c r="AL168" i="276"/>
  <c r="AM168" i="276"/>
  <c r="AO284" i="276"/>
  <c r="AD166" i="276"/>
  <c r="AE166" i="276"/>
  <c r="AO396" i="276"/>
  <c r="AH163" i="276"/>
  <c r="AI163" i="276"/>
  <c r="AO509" i="276"/>
  <c r="AL160" i="276"/>
  <c r="AM160" i="276"/>
  <c r="AO276" i="276"/>
  <c r="AD158" i="276"/>
  <c r="AE158" i="276"/>
  <c r="AO388" i="276"/>
  <c r="AH155" i="276"/>
  <c r="AI155" i="276"/>
  <c r="AO501" i="276"/>
  <c r="AL152" i="276"/>
  <c r="AM152" i="276"/>
  <c r="AO268" i="276"/>
  <c r="AD150" i="276"/>
  <c r="AE150" i="276"/>
  <c r="AO380" i="276"/>
  <c r="AH147" i="276"/>
  <c r="AI147" i="276"/>
  <c r="AO493" i="276"/>
  <c r="AL144" i="276"/>
  <c r="AM144" i="276"/>
  <c r="AO260" i="276"/>
  <c r="AD142" i="276"/>
  <c r="AE142" i="276"/>
  <c r="AO372" i="276"/>
  <c r="AH139" i="276"/>
  <c r="AI139" i="276"/>
  <c r="AO485" i="276"/>
  <c r="AL136" i="276"/>
  <c r="AM136" i="276"/>
  <c r="AO252" i="276"/>
  <c r="AD134" i="276"/>
  <c r="AE134" i="276"/>
  <c r="AO364" i="276"/>
  <c r="AH131" i="276"/>
  <c r="AI131" i="276"/>
  <c r="AO477" i="276"/>
  <c r="AL128" i="276"/>
  <c r="AM128" i="276"/>
  <c r="AO244" i="276"/>
  <c r="AD126" i="276"/>
  <c r="AE126" i="276"/>
  <c r="AO136" i="276"/>
  <c r="X136" i="276"/>
  <c r="Y136" i="276"/>
  <c r="AO144" i="276"/>
  <c r="X144" i="276"/>
  <c r="Y144" i="276"/>
  <c r="AO152" i="276"/>
  <c r="X152" i="276"/>
  <c r="Y152" i="276"/>
  <c r="AO160" i="276"/>
  <c r="X160" i="276"/>
  <c r="Y160" i="276"/>
  <c r="AO202" i="276"/>
  <c r="X202" i="276"/>
  <c r="Y202" i="276"/>
  <c r="AO194" i="276"/>
  <c r="X194" i="276"/>
  <c r="Y194" i="276"/>
  <c r="AO186" i="276"/>
  <c r="X186" i="276"/>
  <c r="Y186" i="276"/>
  <c r="AO178" i="276"/>
  <c r="X178" i="276"/>
  <c r="Y178" i="276"/>
  <c r="AO170" i="276"/>
  <c r="X170" i="276"/>
  <c r="Y170" i="276"/>
  <c r="AO241" i="276"/>
  <c r="AD123" i="276"/>
  <c r="AE123" i="276"/>
  <c r="AO321" i="276"/>
  <c r="AD203" i="276"/>
  <c r="AE203" i="276"/>
  <c r="AO433" i="276"/>
  <c r="AH200" i="276"/>
  <c r="AI200" i="276"/>
  <c r="AO546" i="276"/>
  <c r="AL197" i="276"/>
  <c r="AM197" i="276"/>
  <c r="AO313" i="276"/>
  <c r="AD195" i="276"/>
  <c r="AE195" i="276"/>
  <c r="AO425" i="276"/>
  <c r="AH192" i="276"/>
  <c r="AI192" i="276"/>
  <c r="AO538" i="276"/>
  <c r="AL189" i="276"/>
  <c r="AM189" i="276"/>
  <c r="AO305" i="276"/>
  <c r="AD187" i="276"/>
  <c r="AE187" i="276"/>
  <c r="AO417" i="276"/>
  <c r="AH184" i="276"/>
  <c r="AI184" i="276"/>
  <c r="AO530" i="276"/>
  <c r="AL181" i="276"/>
  <c r="AM181" i="276"/>
  <c r="AO297" i="276"/>
  <c r="AD179" i="276"/>
  <c r="AE179" i="276"/>
  <c r="AO409" i="276"/>
  <c r="AH176" i="276"/>
  <c r="AI176" i="276"/>
  <c r="AO522" i="276"/>
  <c r="AL173" i="276"/>
  <c r="AM173" i="276"/>
  <c r="AO289" i="276"/>
  <c r="AD171" i="276"/>
  <c r="AE171" i="276"/>
  <c r="AO401" i="276"/>
  <c r="AH168" i="276"/>
  <c r="AI168" i="276"/>
  <c r="AO514" i="276"/>
  <c r="AL165" i="276"/>
  <c r="AM165" i="276"/>
  <c r="AO281" i="276"/>
  <c r="AD163" i="276"/>
  <c r="AE163" i="276"/>
  <c r="AO393" i="276"/>
  <c r="AH160" i="276"/>
  <c r="AI160" i="276"/>
  <c r="AO506" i="276"/>
  <c r="AL157" i="276"/>
  <c r="AM157" i="276"/>
  <c r="AO273" i="276"/>
  <c r="AD155" i="276"/>
  <c r="AE155" i="276"/>
  <c r="AO385" i="276"/>
  <c r="AH152" i="276"/>
  <c r="AI152" i="276"/>
  <c r="AO498" i="276"/>
  <c r="AL149" i="276"/>
  <c r="AM149" i="276"/>
  <c r="AO265" i="276"/>
  <c r="AD147" i="276"/>
  <c r="AE147" i="276"/>
  <c r="AO377" i="276"/>
  <c r="AH144" i="276"/>
  <c r="AI144" i="276"/>
  <c r="AO490" i="276"/>
  <c r="AL141" i="276"/>
  <c r="AM141" i="276"/>
  <c r="AO257" i="276"/>
  <c r="AD139" i="276"/>
  <c r="AE139" i="276"/>
  <c r="AO369" i="276"/>
  <c r="AH136" i="276"/>
  <c r="AI136" i="276"/>
  <c r="AO482" i="276"/>
  <c r="AL133" i="276"/>
  <c r="AM133" i="276"/>
  <c r="AO249" i="276"/>
  <c r="AD131" i="276"/>
  <c r="AE131" i="276"/>
  <c r="AO361" i="276"/>
  <c r="AH128" i="276"/>
  <c r="AI128" i="276"/>
  <c r="AO474" i="276"/>
  <c r="AL125" i="276"/>
  <c r="AM125" i="276"/>
  <c r="AO128" i="276"/>
  <c r="X128" i="276"/>
  <c r="Y128" i="276"/>
  <c r="AO129" i="276"/>
  <c r="X129" i="276"/>
  <c r="Y129" i="276"/>
  <c r="AO137" i="276"/>
  <c r="X137" i="276"/>
  <c r="Y137" i="276"/>
  <c r="AO145" i="276"/>
  <c r="X145" i="276"/>
  <c r="Y145" i="276"/>
  <c r="AO153" i="276"/>
  <c r="X153" i="276"/>
  <c r="Y153" i="276"/>
  <c r="AO161" i="276"/>
  <c r="X161" i="276"/>
  <c r="Y161" i="276"/>
  <c r="AO201" i="276"/>
  <c r="X201" i="276"/>
  <c r="Y201" i="276"/>
  <c r="AO193" i="276"/>
  <c r="X193" i="276"/>
  <c r="Y193" i="276"/>
  <c r="AO185" i="276"/>
  <c r="X185" i="276"/>
  <c r="Y185" i="276"/>
  <c r="AO177" i="276"/>
  <c r="X177" i="276"/>
  <c r="Y177" i="276"/>
  <c r="AO169" i="276"/>
  <c r="X169" i="276"/>
  <c r="Y169" i="276"/>
  <c r="AO356" i="276"/>
  <c r="AH123" i="276"/>
  <c r="AI123" i="276"/>
  <c r="AO551" i="276"/>
  <c r="AL202" i="276"/>
  <c r="AM202" i="276"/>
  <c r="AO318" i="276"/>
  <c r="AD200" i="276"/>
  <c r="AE200" i="276"/>
  <c r="AO430" i="276"/>
  <c r="AH197" i="276"/>
  <c r="AI197" i="276"/>
  <c r="AO543" i="276"/>
  <c r="AL194" i="276"/>
  <c r="AM194" i="276"/>
  <c r="AO310" i="276"/>
  <c r="AD192" i="276"/>
  <c r="AE192" i="276"/>
  <c r="AO422" i="276"/>
  <c r="AH189" i="276"/>
  <c r="AI189" i="276"/>
  <c r="AO535" i="276"/>
  <c r="AL186" i="276"/>
  <c r="AM186" i="276"/>
  <c r="AO302" i="276"/>
  <c r="AD184" i="276"/>
  <c r="AE184" i="276"/>
  <c r="AO414" i="276"/>
  <c r="AH181" i="276"/>
  <c r="AI181" i="276"/>
  <c r="AO527" i="276"/>
  <c r="AL178" i="276"/>
  <c r="AM178" i="276"/>
  <c r="AO294" i="276"/>
  <c r="AD176" i="276"/>
  <c r="AE176" i="276"/>
  <c r="AO406" i="276"/>
  <c r="AH173" i="276"/>
  <c r="AI173" i="276"/>
  <c r="AO519" i="276"/>
  <c r="AL170" i="276"/>
  <c r="AM170" i="276"/>
  <c r="AO286" i="276"/>
  <c r="AD168" i="276"/>
  <c r="AE168" i="276"/>
  <c r="AO398" i="276"/>
  <c r="AH165" i="276"/>
  <c r="AI165" i="276"/>
  <c r="AO511" i="276"/>
  <c r="AL162" i="276"/>
  <c r="AM162" i="276"/>
  <c r="AO278" i="276"/>
  <c r="AD160" i="276"/>
  <c r="AE160" i="276"/>
  <c r="AO390" i="276"/>
  <c r="AH157" i="276"/>
  <c r="AI157" i="276"/>
  <c r="AO503" i="276"/>
  <c r="AL154" i="276"/>
  <c r="AM154" i="276"/>
  <c r="AO270" i="276"/>
  <c r="AD152" i="276"/>
  <c r="AE152" i="276"/>
  <c r="AO382" i="276"/>
  <c r="AH149" i="276"/>
  <c r="AI149" i="276"/>
  <c r="AO495" i="276"/>
  <c r="AL146" i="276"/>
  <c r="AM146" i="276"/>
  <c r="AO262" i="276"/>
  <c r="AD144" i="276"/>
  <c r="AE144" i="276"/>
  <c r="AO374" i="276"/>
  <c r="AH141" i="276"/>
  <c r="AI141" i="276"/>
  <c r="AO487" i="276"/>
  <c r="AL138" i="276"/>
  <c r="AM138" i="276"/>
  <c r="AO254" i="276"/>
  <c r="AD136" i="276"/>
  <c r="AE136" i="276"/>
  <c r="AO366" i="276"/>
  <c r="AH133" i="276"/>
  <c r="AI133" i="276"/>
  <c r="AO479" i="276"/>
  <c r="AL130" i="276"/>
  <c r="AM130" i="276"/>
  <c r="AO246" i="276"/>
  <c r="AD128" i="276"/>
  <c r="AE128" i="276"/>
  <c r="AO358" i="276"/>
  <c r="AH125" i="276"/>
  <c r="AI125" i="276"/>
  <c r="AO122" i="276"/>
  <c r="X122" i="276"/>
  <c r="Y122" i="276"/>
  <c r="AO130" i="276"/>
  <c r="X130" i="276"/>
  <c r="Y130" i="276"/>
  <c r="AO138" i="276"/>
  <c r="X138" i="276"/>
  <c r="Y138" i="276"/>
  <c r="AO146" i="276"/>
  <c r="X146" i="276"/>
  <c r="Y146" i="276"/>
  <c r="AO154" i="276"/>
  <c r="X154" i="276"/>
  <c r="Y154" i="276"/>
  <c r="AO162" i="276"/>
  <c r="X162" i="276"/>
  <c r="Y162" i="276"/>
  <c r="AO200" i="276"/>
  <c r="X200" i="276"/>
  <c r="Y200" i="276"/>
  <c r="AO192" i="276"/>
  <c r="X192" i="276"/>
  <c r="Y192" i="276"/>
  <c r="AO184" i="276"/>
  <c r="X184" i="276"/>
  <c r="Y184" i="276"/>
  <c r="AO176" i="276"/>
  <c r="X176" i="276"/>
  <c r="Y176" i="276"/>
  <c r="AO168" i="276"/>
  <c r="X168" i="276"/>
  <c r="Y168" i="276"/>
  <c r="AO472" i="276"/>
  <c r="AL123" i="276"/>
  <c r="AM123" i="276"/>
  <c r="AO435" i="276"/>
  <c r="AH202" i="276"/>
  <c r="AI202" i="276"/>
  <c r="AO548" i="276"/>
  <c r="AL199" i="276"/>
  <c r="AM199" i="276"/>
  <c r="AO315" i="276"/>
  <c r="AD197" i="276"/>
  <c r="AE197" i="276"/>
  <c r="AO427" i="276"/>
  <c r="AH194" i="276"/>
  <c r="AI194" i="276"/>
  <c r="AO540" i="276"/>
  <c r="AL191" i="276"/>
  <c r="AM191" i="276"/>
  <c r="AO307" i="276"/>
  <c r="AD189" i="276"/>
  <c r="AE189" i="276"/>
  <c r="AO419" i="276"/>
  <c r="AH186" i="276"/>
  <c r="AI186" i="276"/>
  <c r="AO532" i="276"/>
  <c r="AL183" i="276"/>
  <c r="AM183" i="276"/>
  <c r="AO299" i="276"/>
  <c r="AD181" i="276"/>
  <c r="AE181" i="276"/>
  <c r="AO411" i="276"/>
  <c r="AH178" i="276"/>
  <c r="AI178" i="276"/>
  <c r="AO524" i="276"/>
  <c r="AL175" i="276"/>
  <c r="AM175" i="276"/>
  <c r="AO291" i="276"/>
  <c r="AD173" i="276"/>
  <c r="AE173" i="276"/>
  <c r="AO403" i="276"/>
  <c r="AH170" i="276"/>
  <c r="AI170" i="276"/>
  <c r="AO516" i="276"/>
  <c r="AL167" i="276"/>
  <c r="AM167" i="276"/>
  <c r="AO283" i="276"/>
  <c r="AD165" i="276"/>
  <c r="AE165" i="276"/>
  <c r="AO395" i="276"/>
  <c r="AH162" i="276"/>
  <c r="AI162" i="276"/>
  <c r="AO508" i="276"/>
  <c r="AL159" i="276"/>
  <c r="AM159" i="276"/>
  <c r="AO275" i="276"/>
  <c r="AD157" i="276"/>
  <c r="AE157" i="276"/>
  <c r="AO387" i="276"/>
  <c r="AH154" i="276"/>
  <c r="AI154" i="276"/>
  <c r="AO500" i="276"/>
  <c r="AL151" i="276"/>
  <c r="AM151" i="276"/>
  <c r="AO267" i="276"/>
  <c r="AD149" i="276"/>
  <c r="AE149" i="276"/>
  <c r="AO379" i="276"/>
  <c r="AH146" i="276"/>
  <c r="AI146" i="276"/>
  <c r="AO492" i="276"/>
  <c r="AL143" i="276"/>
  <c r="AM143" i="276"/>
  <c r="AO259" i="276"/>
  <c r="AD141" i="276"/>
  <c r="AE141" i="276"/>
  <c r="AO371" i="276"/>
  <c r="AH138" i="276"/>
  <c r="AI138" i="276"/>
  <c r="AO484" i="276"/>
  <c r="AL135" i="276"/>
  <c r="AM135" i="276"/>
  <c r="AO251" i="276"/>
  <c r="AD133" i="276"/>
  <c r="AE133" i="276"/>
  <c r="AO363" i="276"/>
  <c r="AH130" i="276"/>
  <c r="AI130" i="276"/>
  <c r="AO476" i="276"/>
  <c r="AL127" i="276"/>
  <c r="AM127" i="276"/>
  <c r="AO243" i="276"/>
  <c r="AD125" i="276"/>
  <c r="AE125" i="276"/>
  <c r="AO123" i="276"/>
  <c r="X123" i="276"/>
  <c r="Y123" i="276"/>
  <c r="AO131" i="276"/>
  <c r="X131" i="276"/>
  <c r="Y131" i="276"/>
  <c r="AO139" i="276"/>
  <c r="X139" i="276"/>
  <c r="Y139" i="276"/>
  <c r="AO147" i="276"/>
  <c r="X147" i="276"/>
  <c r="Y147" i="276"/>
  <c r="AO155" i="276"/>
  <c r="X155" i="276"/>
  <c r="Y155" i="276"/>
  <c r="AO163" i="276"/>
  <c r="X163" i="276"/>
  <c r="Y163" i="276"/>
  <c r="AO199" i="276"/>
  <c r="X199" i="276"/>
  <c r="Y199" i="276"/>
  <c r="AO191" i="276"/>
  <c r="X191" i="276"/>
  <c r="Y191" i="276"/>
  <c r="AO183" i="276"/>
  <c r="X183" i="276"/>
  <c r="Y183" i="276"/>
  <c r="AO175" i="276"/>
  <c r="X175" i="276"/>
  <c r="Y175" i="276"/>
  <c r="AO167" i="276"/>
  <c r="X167" i="276"/>
  <c r="Y167" i="276"/>
  <c r="AO553" i="276"/>
  <c r="AL204" i="276"/>
  <c r="AM204" i="276"/>
  <c r="AO320" i="276"/>
  <c r="AD202" i="276"/>
  <c r="AE202" i="276"/>
  <c r="AO432" i="276"/>
  <c r="AH199" i="276"/>
  <c r="AI199" i="276"/>
  <c r="AO545" i="276"/>
  <c r="AL196" i="276"/>
  <c r="AM196" i="276"/>
  <c r="AO312" i="276"/>
  <c r="AD194" i="276"/>
  <c r="AE194" i="276"/>
  <c r="AO424" i="276"/>
  <c r="AH191" i="276"/>
  <c r="AI191" i="276"/>
  <c r="AO537" i="276"/>
  <c r="AL188" i="276"/>
  <c r="AM188" i="276"/>
  <c r="AO304" i="276"/>
  <c r="AD186" i="276"/>
  <c r="AE186" i="276"/>
  <c r="AO416" i="276"/>
  <c r="AH183" i="276"/>
  <c r="AI183" i="276"/>
  <c r="AO529" i="276"/>
  <c r="AL180" i="276"/>
  <c r="AM180" i="276"/>
  <c r="AO296" i="276"/>
  <c r="AD178" i="276"/>
  <c r="AE178" i="276"/>
  <c r="AO408" i="276"/>
  <c r="AH175" i="276"/>
  <c r="AI175" i="276"/>
  <c r="AO521" i="276"/>
  <c r="AL172" i="276"/>
  <c r="AM172" i="276"/>
  <c r="AO288" i="276"/>
  <c r="AD170" i="276"/>
  <c r="AE170" i="276"/>
  <c r="AO400" i="276"/>
  <c r="AH167" i="276"/>
  <c r="AI167" i="276"/>
  <c r="AO513" i="276"/>
  <c r="AL164" i="276"/>
  <c r="AM164" i="276"/>
  <c r="AO280" i="276"/>
  <c r="AD162" i="276"/>
  <c r="AE162" i="276"/>
  <c r="AO392" i="276"/>
  <c r="AH159" i="276"/>
  <c r="AI159" i="276"/>
  <c r="AO505" i="276"/>
  <c r="AL156" i="276"/>
  <c r="AM156" i="276"/>
  <c r="AO272" i="276"/>
  <c r="AD154" i="276"/>
  <c r="AE154" i="276"/>
  <c r="AO384" i="276"/>
  <c r="AH151" i="276"/>
  <c r="AI151" i="276"/>
  <c r="AO497" i="276"/>
  <c r="AL148" i="276"/>
  <c r="AM148" i="276"/>
  <c r="AO264" i="276"/>
  <c r="AD146" i="276"/>
  <c r="AE146" i="276"/>
  <c r="AO376" i="276"/>
  <c r="AH143" i="276"/>
  <c r="AI143" i="276"/>
  <c r="AO489" i="276"/>
  <c r="AL140" i="276"/>
  <c r="AM140" i="276"/>
  <c r="AO256" i="276"/>
  <c r="AD138" i="276"/>
  <c r="AE138" i="276"/>
  <c r="AO368" i="276"/>
  <c r="AH135" i="276"/>
  <c r="AI135" i="276"/>
  <c r="AO481" i="276"/>
  <c r="AL132" i="276"/>
  <c r="AM132" i="276"/>
  <c r="AO248" i="276"/>
  <c r="AD130" i="276"/>
  <c r="AE130" i="276"/>
  <c r="AO360" i="276"/>
  <c r="AH127" i="276"/>
  <c r="AI127" i="276"/>
  <c r="AO473" i="276"/>
  <c r="AL124" i="276"/>
  <c r="AM124" i="276"/>
  <c r="AO124" i="276"/>
  <c r="X124" i="276"/>
  <c r="Y124" i="276"/>
  <c r="AO132" i="276"/>
  <c r="X132" i="276"/>
  <c r="Y132" i="276"/>
  <c r="AO140" i="276"/>
  <c r="X140" i="276"/>
  <c r="Y140" i="276"/>
  <c r="AO148" i="276"/>
  <c r="X148" i="276"/>
  <c r="Y148" i="276"/>
  <c r="AO156" i="276"/>
  <c r="X156" i="276"/>
  <c r="Y156" i="276"/>
  <c r="AO164" i="276"/>
  <c r="X164" i="276"/>
  <c r="Y164" i="276"/>
  <c r="AO198" i="276"/>
  <c r="X198" i="276"/>
  <c r="Y198" i="276"/>
  <c r="AO190" i="276"/>
  <c r="X190" i="276"/>
  <c r="Y190" i="276"/>
  <c r="AO182" i="276"/>
  <c r="X182" i="276"/>
  <c r="Y182" i="276"/>
  <c r="AO174" i="276"/>
  <c r="X174" i="276"/>
  <c r="Y174" i="276"/>
  <c r="AO166" i="276"/>
  <c r="X166" i="276"/>
  <c r="Y166" i="276"/>
  <c r="AO437" i="276"/>
  <c r="AH204" i="276"/>
  <c r="AI204" i="276"/>
  <c r="AO550" i="276"/>
  <c r="AL201" i="276"/>
  <c r="AM201" i="276"/>
  <c r="AO317" i="276"/>
  <c r="AD199" i="276"/>
  <c r="AE199" i="276"/>
  <c r="AO429" i="276"/>
  <c r="AH196" i="276"/>
  <c r="AI196" i="276"/>
  <c r="AO542" i="276"/>
  <c r="AL193" i="276"/>
  <c r="AM193" i="276"/>
  <c r="AO309" i="276"/>
  <c r="AD191" i="276"/>
  <c r="AE191" i="276"/>
  <c r="AO421" i="276"/>
  <c r="AH188" i="276"/>
  <c r="AI188" i="276"/>
  <c r="AO534" i="276"/>
  <c r="AL185" i="276"/>
  <c r="AM185" i="276"/>
  <c r="AO301" i="276"/>
  <c r="AD183" i="276"/>
  <c r="AE183" i="276"/>
  <c r="AO413" i="276"/>
  <c r="AH180" i="276"/>
  <c r="AI180" i="276"/>
  <c r="AO526" i="276"/>
  <c r="AL177" i="276"/>
  <c r="AM177" i="276"/>
  <c r="AO293" i="276"/>
  <c r="AD175" i="276"/>
  <c r="AE175" i="276"/>
  <c r="AO405" i="276"/>
  <c r="AH172" i="276"/>
  <c r="AI172" i="276"/>
  <c r="AO518" i="276"/>
  <c r="AL169" i="276"/>
  <c r="AM169" i="276"/>
  <c r="AO285" i="276"/>
  <c r="AD167" i="276"/>
  <c r="AE167" i="276"/>
  <c r="AO397" i="276"/>
  <c r="AH164" i="276"/>
  <c r="AI164" i="276"/>
  <c r="AO510" i="276"/>
  <c r="AL161" i="276"/>
  <c r="AM161" i="276"/>
  <c r="AO277" i="276"/>
  <c r="AD159" i="276"/>
  <c r="AE159" i="276"/>
  <c r="AO389" i="276"/>
  <c r="AH156" i="276"/>
  <c r="AI156" i="276"/>
  <c r="AO502" i="276"/>
  <c r="AL153" i="276"/>
  <c r="AM153" i="276"/>
  <c r="AO269" i="276"/>
  <c r="AD151" i="276"/>
  <c r="AE151" i="276"/>
  <c r="AO381" i="276"/>
  <c r="AH148" i="276"/>
  <c r="AI148" i="276"/>
  <c r="AO494" i="276"/>
  <c r="AM145" i="276"/>
  <c r="AL145" i="276"/>
  <c r="AO261" i="276"/>
  <c r="AD143" i="276"/>
  <c r="AE143" i="276"/>
  <c r="AO373" i="276"/>
  <c r="AH140" i="276"/>
  <c r="AI140" i="276"/>
  <c r="AO486" i="276"/>
  <c r="AL137" i="276"/>
  <c r="AM137" i="276"/>
  <c r="AO253" i="276"/>
  <c r="AD135" i="276"/>
  <c r="AE135" i="276"/>
  <c r="AO365" i="276"/>
  <c r="AH132" i="276"/>
  <c r="AI132" i="276"/>
  <c r="AO478" i="276"/>
  <c r="AM129" i="276"/>
  <c r="AL129" i="276"/>
  <c r="AO245" i="276"/>
  <c r="AD127" i="276"/>
  <c r="AE127" i="276"/>
  <c r="AO357" i="276"/>
  <c r="AH124" i="276"/>
  <c r="AI124" i="276"/>
  <c r="AO125" i="276"/>
  <c r="X125" i="276"/>
  <c r="Y125" i="276"/>
  <c r="AO133" i="276"/>
  <c r="X133" i="276"/>
  <c r="Y133" i="276"/>
  <c r="AO141" i="276"/>
  <c r="X141" i="276"/>
  <c r="Y141" i="276"/>
  <c r="AO149" i="276"/>
  <c r="X149" i="276"/>
  <c r="Y149" i="276"/>
  <c r="AO157" i="276"/>
  <c r="X157" i="276"/>
  <c r="Y157" i="276"/>
  <c r="AO165" i="276"/>
  <c r="X165" i="276"/>
  <c r="Y165" i="276"/>
  <c r="AO197" i="276"/>
  <c r="X197" i="276"/>
  <c r="Y197" i="276"/>
  <c r="AO189" i="276"/>
  <c r="X189" i="276"/>
  <c r="Y189" i="276"/>
  <c r="AO181" i="276"/>
  <c r="X181" i="276"/>
  <c r="Y181" i="276"/>
  <c r="AO173" i="276"/>
  <c r="X173" i="276"/>
  <c r="Y173" i="276"/>
  <c r="AO240" i="276"/>
  <c r="AD122" i="276"/>
  <c r="AE122" i="276"/>
  <c r="AD204" i="276"/>
  <c r="AE204" i="276"/>
  <c r="AO434" i="276"/>
  <c r="AH201" i="276"/>
  <c r="AI201" i="276"/>
  <c r="AO547" i="276"/>
  <c r="AL198" i="276"/>
  <c r="AM198" i="276"/>
  <c r="AO314" i="276"/>
  <c r="AD196" i="276"/>
  <c r="AE196" i="276"/>
  <c r="AO426" i="276"/>
  <c r="AH193" i="276"/>
  <c r="AI193" i="276"/>
  <c r="AO539" i="276"/>
  <c r="AL190" i="276"/>
  <c r="AM190" i="276"/>
  <c r="AO306" i="276"/>
  <c r="AD188" i="276"/>
  <c r="AE188" i="276"/>
  <c r="AO418" i="276"/>
  <c r="AH185" i="276"/>
  <c r="AI185" i="276"/>
  <c r="AO531" i="276"/>
  <c r="AL182" i="276"/>
  <c r="AM182" i="276"/>
  <c r="AO298" i="276"/>
  <c r="AD180" i="276"/>
  <c r="AE180" i="276"/>
  <c r="AO410" i="276"/>
  <c r="AH177" i="276"/>
  <c r="AI177" i="276"/>
  <c r="AO523" i="276"/>
  <c r="AL174" i="276"/>
  <c r="AM174" i="276"/>
  <c r="AO290" i="276"/>
  <c r="AD172" i="276"/>
  <c r="AE172" i="276"/>
  <c r="AO402" i="276"/>
  <c r="AH169" i="276"/>
  <c r="AI169" i="276"/>
  <c r="AO515" i="276"/>
  <c r="AL166" i="276"/>
  <c r="AM166" i="276"/>
  <c r="AO282" i="276"/>
  <c r="AD164" i="276"/>
  <c r="AE164" i="276"/>
  <c r="AO394" i="276"/>
  <c r="AH161" i="276"/>
  <c r="AI161" i="276"/>
  <c r="AO507" i="276"/>
  <c r="AL158" i="276"/>
  <c r="AM158" i="276"/>
  <c r="AO274" i="276"/>
  <c r="AD156" i="276"/>
  <c r="AE156" i="276"/>
  <c r="AO386" i="276"/>
  <c r="AH153" i="276"/>
  <c r="AI153" i="276"/>
  <c r="AO499" i="276"/>
  <c r="AL150" i="276"/>
  <c r="AM150" i="276"/>
  <c r="AO266" i="276"/>
  <c r="AD148" i="276"/>
  <c r="AE148" i="276"/>
  <c r="AO378" i="276"/>
  <c r="AH145" i="276"/>
  <c r="AI145" i="276"/>
  <c r="AO491" i="276"/>
  <c r="AL142" i="276"/>
  <c r="AM142" i="276"/>
  <c r="AO258" i="276"/>
  <c r="AD140" i="276"/>
  <c r="AE140" i="276"/>
  <c r="AO370" i="276"/>
  <c r="AH137" i="276"/>
  <c r="AI137" i="276"/>
  <c r="AO483" i="276"/>
  <c r="AL134" i="276"/>
  <c r="AM134" i="276"/>
  <c r="AO250" i="276"/>
  <c r="AD132" i="276"/>
  <c r="AE132" i="276"/>
  <c r="AO362" i="276"/>
  <c r="AH129" i="276"/>
  <c r="AI129" i="276"/>
  <c r="AO475" i="276"/>
  <c r="AL126" i="276"/>
  <c r="AM126" i="276"/>
  <c r="AO242" i="276"/>
  <c r="AD124" i="276"/>
  <c r="AE124" i="276"/>
  <c r="Y94" i="276"/>
  <c r="X94" i="276"/>
  <c r="Y102" i="276"/>
  <c r="X102" i="276"/>
  <c r="Y110" i="276"/>
  <c r="X110" i="276"/>
  <c r="Y118" i="276"/>
  <c r="X118" i="276"/>
  <c r="X95" i="276"/>
  <c r="Y95" i="276"/>
  <c r="X103" i="276"/>
  <c r="Y103" i="276"/>
  <c r="X111" i="276"/>
  <c r="Y111" i="276"/>
  <c r="X119" i="276"/>
  <c r="Y119" i="276"/>
  <c r="X96" i="276"/>
  <c r="Y96" i="276"/>
  <c r="Y104" i="276"/>
  <c r="X104" i="276"/>
  <c r="X112" i="276"/>
  <c r="Y112" i="276"/>
  <c r="Y120" i="276"/>
  <c r="X120" i="276"/>
  <c r="X97" i="276"/>
  <c r="Y97" i="276"/>
  <c r="X105" i="276"/>
  <c r="Y105" i="276"/>
  <c r="X113" i="276"/>
  <c r="Y113" i="276"/>
  <c r="X121" i="276"/>
  <c r="Y121" i="276"/>
  <c r="Y90" i="276"/>
  <c r="X90" i="276"/>
  <c r="Y98" i="276"/>
  <c r="X98" i="276"/>
  <c r="Y106" i="276"/>
  <c r="X106" i="276"/>
  <c r="Y114" i="276"/>
  <c r="X114" i="276"/>
  <c r="X91" i="276"/>
  <c r="Y91" i="276"/>
  <c r="X99" i="276"/>
  <c r="Y99" i="276"/>
  <c r="X107" i="276"/>
  <c r="Y107" i="276"/>
  <c r="X115" i="276"/>
  <c r="Y115" i="276"/>
  <c r="X92" i="276"/>
  <c r="Y92" i="276"/>
  <c r="X100" i="276"/>
  <c r="Y100" i="276"/>
  <c r="X108" i="276"/>
  <c r="Y108" i="276"/>
  <c r="X116" i="276"/>
  <c r="Y116" i="276"/>
  <c r="X93" i="276"/>
  <c r="Y93" i="276"/>
  <c r="X101" i="276"/>
  <c r="Y101" i="276"/>
  <c r="X109" i="276"/>
  <c r="Y109" i="276"/>
  <c r="X117" i="276"/>
  <c r="Y117" i="276"/>
  <c r="AD93" i="276"/>
  <c r="AE93" i="276"/>
  <c r="AD101" i="276"/>
  <c r="AE101" i="276"/>
  <c r="AD109" i="276"/>
  <c r="AE109" i="276"/>
  <c r="AD117" i="276"/>
  <c r="AE117" i="276"/>
  <c r="AD96" i="276"/>
  <c r="AE96" i="276"/>
  <c r="AD104" i="276"/>
  <c r="AE104" i="276"/>
  <c r="AD112" i="276"/>
  <c r="AE112" i="276"/>
  <c r="AD120" i="276"/>
  <c r="AE120" i="276"/>
  <c r="AD91" i="276"/>
  <c r="AE91" i="276"/>
  <c r="AD99" i="276"/>
  <c r="AE99" i="276"/>
  <c r="AD107" i="276"/>
  <c r="AE107" i="276"/>
  <c r="AD115" i="276"/>
  <c r="AE115" i="276"/>
  <c r="AD94" i="276"/>
  <c r="AE94" i="276"/>
  <c r="AD102" i="276"/>
  <c r="AE102" i="276"/>
  <c r="AD110" i="276"/>
  <c r="AE110" i="276"/>
  <c r="AD118" i="276"/>
  <c r="AE118" i="276"/>
  <c r="AD97" i="276"/>
  <c r="AE97" i="276"/>
  <c r="AD105" i="276"/>
  <c r="AE105" i="276"/>
  <c r="AD113" i="276"/>
  <c r="AE113" i="276"/>
  <c r="AD121" i="276"/>
  <c r="AE121" i="276"/>
  <c r="AD92" i="276"/>
  <c r="AE92" i="276"/>
  <c r="AD100" i="276"/>
  <c r="AE100" i="276"/>
  <c r="AD108" i="276"/>
  <c r="AE108" i="276"/>
  <c r="AD116" i="276"/>
  <c r="AE116" i="276"/>
  <c r="AD95" i="276"/>
  <c r="AE95" i="276"/>
  <c r="AD103" i="276"/>
  <c r="AE103" i="276"/>
  <c r="AD111" i="276"/>
  <c r="AE111" i="276"/>
  <c r="AD119" i="276"/>
  <c r="AE119" i="276"/>
  <c r="AD90" i="276"/>
  <c r="AE90" i="276"/>
  <c r="AD98" i="276"/>
  <c r="AE98" i="276"/>
  <c r="AD106" i="276"/>
  <c r="AE106" i="276"/>
  <c r="AD114" i="276"/>
  <c r="AE114" i="276"/>
  <c r="AH90" i="276"/>
  <c r="AI90" i="276"/>
  <c r="AH98" i="276"/>
  <c r="AI98" i="276"/>
  <c r="AH106" i="276"/>
  <c r="AI106" i="276"/>
  <c r="AH114" i="276"/>
  <c r="AI114" i="276"/>
  <c r="AH93" i="276"/>
  <c r="AI93" i="276"/>
  <c r="AH101" i="276"/>
  <c r="AI101" i="276"/>
  <c r="AH109" i="276"/>
  <c r="AI109" i="276"/>
  <c r="AH117" i="276"/>
  <c r="AI117" i="276"/>
  <c r="AH96" i="276"/>
  <c r="AI96" i="276"/>
  <c r="AH104" i="276"/>
  <c r="AI104" i="276"/>
  <c r="AH112" i="276"/>
  <c r="AI112" i="276"/>
  <c r="AH120" i="276"/>
  <c r="AI120" i="276"/>
  <c r="AI91" i="276"/>
  <c r="AH91" i="276"/>
  <c r="AI99" i="276"/>
  <c r="AH99" i="276"/>
  <c r="AI107" i="276"/>
  <c r="AH107" i="276"/>
  <c r="AI115" i="276"/>
  <c r="AH115" i="276"/>
  <c r="AH94" i="276"/>
  <c r="AI94" i="276"/>
  <c r="AH102" i="276"/>
  <c r="AI102" i="276"/>
  <c r="AH110" i="276"/>
  <c r="AI110" i="276"/>
  <c r="AH118" i="276"/>
  <c r="AI118" i="276"/>
  <c r="AH97" i="276"/>
  <c r="AI97" i="276"/>
  <c r="AH105" i="276"/>
  <c r="AI105" i="276"/>
  <c r="AH113" i="276"/>
  <c r="AI113" i="276"/>
  <c r="AH121" i="276"/>
  <c r="AI121" i="276"/>
  <c r="AH92" i="276"/>
  <c r="AI92" i="276"/>
  <c r="AH100" i="276"/>
  <c r="AI100" i="276"/>
  <c r="AH108" i="276"/>
  <c r="AI108" i="276"/>
  <c r="AH116" i="276"/>
  <c r="AI116" i="276"/>
  <c r="AI95" i="276"/>
  <c r="AH95" i="276"/>
  <c r="AI103" i="276"/>
  <c r="AH103" i="276"/>
  <c r="AI111" i="276"/>
  <c r="AH111" i="276"/>
  <c r="AI119" i="276"/>
  <c r="AH119" i="276"/>
  <c r="AM95" i="276"/>
  <c r="AL95" i="276"/>
  <c r="AM103" i="276"/>
  <c r="AL103" i="276"/>
  <c r="AM111" i="276"/>
  <c r="AL111" i="276"/>
  <c r="AM119" i="276"/>
  <c r="AL119" i="276"/>
  <c r="AL90" i="276"/>
  <c r="AM90" i="276"/>
  <c r="AL98" i="276"/>
  <c r="AM98" i="276"/>
  <c r="AL106" i="276"/>
  <c r="AM106" i="276"/>
  <c r="AL114" i="276"/>
  <c r="AM114" i="276"/>
  <c r="AL93" i="276"/>
  <c r="AM93" i="276"/>
  <c r="AL101" i="276"/>
  <c r="AM101" i="276"/>
  <c r="AL109" i="276"/>
  <c r="AM109" i="276"/>
  <c r="AL117" i="276"/>
  <c r="AM117" i="276"/>
  <c r="AL96" i="276"/>
  <c r="AM96" i="276"/>
  <c r="AL104" i="276"/>
  <c r="AM104" i="276"/>
  <c r="AL112" i="276"/>
  <c r="AM112" i="276"/>
  <c r="AL120" i="276"/>
  <c r="AM120" i="276"/>
  <c r="AM91" i="276"/>
  <c r="AL91" i="276"/>
  <c r="AM99" i="276"/>
  <c r="AL99" i="276"/>
  <c r="AM107" i="276"/>
  <c r="AL107" i="276"/>
  <c r="AM115" i="276"/>
  <c r="AL115" i="276"/>
  <c r="AL94" i="276"/>
  <c r="AM94" i="276"/>
  <c r="AL102" i="276"/>
  <c r="AM102" i="276"/>
  <c r="AL110" i="276"/>
  <c r="AM110" i="276"/>
  <c r="AL118" i="276"/>
  <c r="AM118" i="276"/>
  <c r="AL97" i="276"/>
  <c r="AM97" i="276"/>
  <c r="AL105" i="276"/>
  <c r="AM105" i="276"/>
  <c r="AL113" i="276"/>
  <c r="AM113" i="276"/>
  <c r="AL121" i="276"/>
  <c r="AM121" i="276"/>
  <c r="AL92" i="276"/>
  <c r="AM92" i="276"/>
  <c r="AL100" i="276"/>
  <c r="AM100" i="276"/>
  <c r="AL108" i="276"/>
  <c r="AM108" i="276"/>
  <c r="AL116" i="276"/>
  <c r="AM116" i="276"/>
  <c r="Y60" i="276"/>
  <c r="X23" i="276"/>
  <c r="Y56" i="276"/>
  <c r="AA83" i="276"/>
  <c r="AA56" i="276"/>
  <c r="Z65" i="276"/>
  <c r="AA65" i="276"/>
  <c r="Y75" i="276"/>
  <c r="Z84" i="276"/>
  <c r="Z60" i="276"/>
  <c r="X85" i="276"/>
  <c r="Y85" i="276"/>
  <c r="Z85" i="276"/>
  <c r="AA84" i="276"/>
  <c r="X84" i="276"/>
  <c r="X83" i="276"/>
  <c r="Y83" i="276"/>
  <c r="AA82" i="276"/>
  <c r="X82" i="276"/>
  <c r="Y82" i="276"/>
  <c r="X81" i="276"/>
  <c r="Y81" i="276"/>
  <c r="Z81" i="276"/>
  <c r="Y80" i="276"/>
  <c r="X80" i="276"/>
  <c r="Z80" i="276"/>
  <c r="X79" i="276"/>
  <c r="Y79" i="276"/>
  <c r="Z79" i="276"/>
  <c r="X78" i="276"/>
  <c r="Y78" i="276"/>
  <c r="Z78" i="276"/>
  <c r="X77" i="276"/>
  <c r="Y77" i="276"/>
  <c r="Z77" i="276"/>
  <c r="AA76" i="276"/>
  <c r="X76" i="276"/>
  <c r="Y76" i="276"/>
  <c r="AA75" i="276"/>
  <c r="X75" i="276"/>
  <c r="Z74" i="276"/>
  <c r="Y74" i="276"/>
  <c r="AA74" i="276"/>
  <c r="AA73" i="276"/>
  <c r="X73" i="276"/>
  <c r="Y73" i="276"/>
  <c r="Y72" i="276"/>
  <c r="Z72" i="276"/>
  <c r="X72" i="276"/>
  <c r="X71" i="276"/>
  <c r="Y71" i="276"/>
  <c r="Z71" i="276"/>
  <c r="Y70" i="276"/>
  <c r="X70" i="276"/>
  <c r="Z70" i="276"/>
  <c r="X69" i="276"/>
  <c r="Y69" i="276"/>
  <c r="Z69" i="276"/>
  <c r="X68" i="276"/>
  <c r="Y68" i="276"/>
  <c r="Z68" i="276"/>
  <c r="X67" i="276"/>
  <c r="Y67" i="276"/>
  <c r="Z67" i="276"/>
  <c r="AA66" i="276"/>
  <c r="X66" i="276"/>
  <c r="Y66" i="276"/>
  <c r="X65" i="276"/>
  <c r="AA64" i="276"/>
  <c r="X64" i="276"/>
  <c r="Y64" i="276"/>
  <c r="AA63" i="276"/>
  <c r="X63" i="276"/>
  <c r="Y63" i="276"/>
  <c r="X62" i="276"/>
  <c r="Y62" i="276"/>
  <c r="Z62" i="276"/>
  <c r="X61" i="276"/>
  <c r="Y61" i="276"/>
  <c r="Z61" i="276"/>
  <c r="AA60" i="276"/>
  <c r="X59" i="276"/>
  <c r="Y59" i="276"/>
  <c r="Z59" i="276"/>
  <c r="AA58" i="276"/>
  <c r="X58" i="276"/>
  <c r="Y58" i="276"/>
  <c r="Z57" i="276"/>
  <c r="X57" i="276"/>
  <c r="AA57" i="276"/>
  <c r="X56" i="276"/>
  <c r="X55" i="276"/>
  <c r="Y55" i="276"/>
  <c r="AA55" i="276"/>
  <c r="Z54" i="276"/>
  <c r="AA54" i="276"/>
  <c r="X54" i="276"/>
  <c r="X53" i="276"/>
  <c r="Y53" i="276"/>
  <c r="AA53" i="276"/>
  <c r="AA52" i="276"/>
  <c r="X52" i="276"/>
  <c r="Y52" i="276"/>
  <c r="Z51" i="276"/>
  <c r="X51" i="276"/>
  <c r="Y51" i="276"/>
  <c r="AA50" i="276"/>
  <c r="X50" i="276"/>
  <c r="Y50" i="276"/>
  <c r="X49" i="276"/>
  <c r="Y49" i="276"/>
  <c r="Z49" i="276"/>
  <c r="AA48" i="276"/>
  <c r="Z48" i="276"/>
  <c r="X48" i="276"/>
  <c r="Y47" i="276"/>
  <c r="Z47" i="276"/>
  <c r="AA47" i="276"/>
  <c r="AA46" i="276"/>
  <c r="X46" i="276"/>
  <c r="Y46" i="276"/>
  <c r="AA45" i="276"/>
  <c r="X45" i="276"/>
  <c r="Y45" i="276"/>
  <c r="X44" i="276"/>
  <c r="Y44" i="276"/>
  <c r="Z44" i="276"/>
  <c r="Y43" i="276"/>
  <c r="Z43" i="276"/>
  <c r="AA43" i="276"/>
  <c r="Y42" i="276"/>
  <c r="X42" i="276"/>
  <c r="Z42" i="276"/>
  <c r="X41" i="276"/>
  <c r="Y41" i="276"/>
  <c r="Z41" i="276"/>
  <c r="X40" i="276"/>
  <c r="Y40" i="276"/>
  <c r="Z40" i="276"/>
  <c r="Z39" i="276"/>
  <c r="AA39" i="276"/>
  <c r="X39" i="276"/>
  <c r="X38" i="276"/>
  <c r="Y38" i="276"/>
  <c r="Z38" i="276"/>
  <c r="AA37" i="276"/>
  <c r="X37" i="276"/>
  <c r="Y37" i="276"/>
  <c r="Y36" i="276"/>
  <c r="Z36" i="276"/>
  <c r="AA36" i="276"/>
  <c r="X35" i="276"/>
  <c r="Y35" i="276"/>
  <c r="Z35" i="276"/>
  <c r="AA34" i="276"/>
  <c r="X34" i="276"/>
  <c r="Z34" i="276"/>
  <c r="X33" i="276"/>
  <c r="Y33" i="276"/>
  <c r="Z33" i="276"/>
  <c r="X32" i="276"/>
  <c r="Y32" i="276"/>
  <c r="Z32" i="276"/>
  <c r="Y31" i="276"/>
  <c r="Z31" i="276"/>
  <c r="X31" i="276"/>
  <c r="Z30" i="276"/>
  <c r="Y30" i="276"/>
  <c r="AA30" i="276"/>
  <c r="Y29" i="276"/>
  <c r="Z29" i="276"/>
  <c r="AA29" i="276"/>
  <c r="X28" i="276"/>
  <c r="Y28" i="276"/>
  <c r="Z28" i="276"/>
  <c r="X27" i="276"/>
  <c r="Y27" i="276"/>
  <c r="Z27" i="276"/>
  <c r="Y26" i="276"/>
  <c r="Z26" i="276"/>
  <c r="AA26" i="276"/>
  <c r="X25" i="276"/>
  <c r="Y25" i="276"/>
  <c r="Z25" i="276"/>
  <c r="AA24" i="276"/>
  <c r="X24" i="276"/>
  <c r="Y24" i="276"/>
  <c r="Z23" i="276"/>
  <c r="Y23" i="276"/>
  <c r="X22" i="276"/>
  <c r="Y22" i="276"/>
  <c r="Z22" i="276"/>
  <c r="Y21" i="276"/>
  <c r="X21" i="276"/>
  <c r="Z21" i="276"/>
  <c r="Y20" i="276"/>
  <c r="Z20" i="276"/>
  <c r="AA20" i="276"/>
  <c r="Y19" i="276"/>
  <c r="Z19" i="276"/>
  <c r="X19" i="276"/>
  <c r="X18" i="276"/>
  <c r="Z18" i="276"/>
  <c r="AA18" i="276"/>
  <c r="Z17" i="276"/>
  <c r="AA17" i="276"/>
  <c r="X17" i="276"/>
  <c r="AA16" i="276"/>
  <c r="X16" i="276"/>
  <c r="Y16" i="276"/>
  <c r="X15" i="276"/>
  <c r="Y15" i="276"/>
  <c r="Z15" i="276"/>
  <c r="D161" i="276"/>
  <c r="D146" i="276"/>
  <c r="D98" i="276"/>
  <c r="G97" i="276" s="1"/>
  <c r="AB16" i="276" l="1"/>
  <c r="AB57" i="276"/>
  <c r="AB63" i="276"/>
  <c r="AB56" i="276"/>
  <c r="AB65" i="276"/>
  <c r="AB54" i="276"/>
  <c r="AB72" i="276"/>
  <c r="AB20" i="276"/>
  <c r="AB23" i="276"/>
  <c r="AB47" i="276"/>
  <c r="AB50" i="276"/>
  <c r="AB55" i="276"/>
  <c r="AB60" i="276"/>
  <c r="AB83" i="276"/>
  <c r="AB25" i="276"/>
  <c r="AB33" i="276"/>
  <c r="AB49" i="276"/>
  <c r="AB52" i="276"/>
  <c r="AB58" i="276"/>
  <c r="AB64" i="276"/>
  <c r="AB67" i="276"/>
  <c r="AB29" i="276"/>
  <c r="AB53" i="276"/>
  <c r="AB66" i="276"/>
  <c r="AB74" i="276"/>
  <c r="AB80" i="276"/>
  <c r="AB30" i="276"/>
  <c r="AB43" i="276"/>
  <c r="AB46" i="276"/>
  <c r="AB17" i="276"/>
  <c r="AB38" i="276"/>
  <c r="AB84" i="276"/>
  <c r="AB39" i="276"/>
  <c r="AB36" i="276"/>
  <c r="AB44" i="276"/>
  <c r="AB73" i="276"/>
  <c r="AB76" i="276"/>
  <c r="AB26" i="276"/>
  <c r="AB37" i="276"/>
  <c r="AB45" i="276"/>
  <c r="AB82" i="276"/>
  <c r="AB85" i="276"/>
  <c r="AB81" i="276"/>
  <c r="AB79" i="276"/>
  <c r="AB78" i="276"/>
  <c r="AB77" i="276"/>
  <c r="AB75" i="276"/>
  <c r="AB71" i="276"/>
  <c r="AB70" i="276"/>
  <c r="AB69" i="276"/>
  <c r="AB68" i="276"/>
  <c r="AB62" i="276"/>
  <c r="AB61" i="276"/>
  <c r="AB59" i="276"/>
  <c r="AB51" i="276"/>
  <c r="AB48" i="276"/>
  <c r="AB42" i="276"/>
  <c r="AB41" i="276"/>
  <c r="AB40" i="276"/>
  <c r="AB35" i="276"/>
  <c r="AB34" i="276"/>
  <c r="AB32" i="276"/>
  <c r="AB31" i="276"/>
  <c r="AB28" i="276"/>
  <c r="AB27" i="276"/>
  <c r="AB24" i="276"/>
  <c r="AB22" i="276"/>
  <c r="AB21" i="276"/>
  <c r="AB19" i="276"/>
  <c r="AB18" i="276"/>
  <c r="AB15" i="276"/>
  <c r="D162" i="276" l="1"/>
  <c r="D147" i="276"/>
  <c r="B8" i="247" l="1"/>
  <c r="K8" i="262" l="1"/>
  <c r="K9" i="262"/>
  <c r="K2" i="262"/>
  <c r="L9" i="262"/>
  <c r="H7" i="247"/>
  <c r="H6" i="275"/>
  <c r="J6" i="275"/>
  <c r="H7" i="275"/>
  <c r="J7" i="275"/>
  <c r="H8" i="275"/>
  <c r="J8" i="275"/>
  <c r="H9" i="275"/>
  <c r="J9" i="275"/>
  <c r="H10" i="275"/>
  <c r="J10" i="275"/>
  <c r="H11" i="275"/>
  <c r="J11" i="275"/>
  <c r="H12" i="275"/>
  <c r="J12" i="275"/>
  <c r="H13" i="275"/>
  <c r="J13" i="275"/>
  <c r="H14" i="275"/>
  <c r="J14" i="275"/>
  <c r="H15" i="275"/>
  <c r="J15" i="275"/>
  <c r="H16" i="275"/>
  <c r="J16" i="275"/>
  <c r="H17" i="275"/>
  <c r="J17" i="275"/>
  <c r="H18" i="275"/>
  <c r="J18" i="275"/>
  <c r="H19" i="275"/>
  <c r="J19" i="275"/>
  <c r="H20" i="275"/>
  <c r="J20" i="275"/>
  <c r="H21" i="275"/>
  <c r="J21" i="275"/>
  <c r="H22" i="275"/>
  <c r="J22" i="275"/>
  <c r="H23" i="275"/>
  <c r="J23" i="275"/>
  <c r="H24" i="275"/>
  <c r="J24" i="275"/>
  <c r="H25" i="275"/>
  <c r="J25" i="275"/>
  <c r="H26" i="275"/>
  <c r="J26" i="275"/>
  <c r="H27" i="275"/>
  <c r="J27" i="275"/>
  <c r="H28" i="275"/>
  <c r="J28" i="275"/>
  <c r="H29" i="275"/>
  <c r="J29" i="275"/>
  <c r="H30" i="275"/>
  <c r="J30" i="275"/>
  <c r="H31" i="275"/>
  <c r="J31" i="275"/>
  <c r="H32" i="275"/>
  <c r="J32" i="275"/>
  <c r="H33" i="275"/>
  <c r="J33" i="275"/>
  <c r="H34" i="275"/>
  <c r="J34" i="275"/>
  <c r="H35" i="275"/>
  <c r="J35" i="275"/>
  <c r="H36" i="275"/>
  <c r="J36" i="275"/>
  <c r="H37" i="275"/>
  <c r="J37" i="275"/>
  <c r="H38" i="275"/>
  <c r="J38" i="275"/>
  <c r="H39" i="275"/>
  <c r="J39" i="275"/>
  <c r="H40" i="275"/>
  <c r="J40" i="275"/>
  <c r="H41" i="275"/>
  <c r="J41" i="275"/>
  <c r="H42" i="275"/>
  <c r="J42" i="275"/>
  <c r="H43" i="275"/>
  <c r="J43" i="275"/>
  <c r="H44" i="275"/>
  <c r="J44" i="275"/>
  <c r="H45" i="275"/>
  <c r="J45" i="275"/>
  <c r="H46" i="275"/>
  <c r="J46" i="275"/>
  <c r="H47" i="275"/>
  <c r="J47" i="275"/>
  <c r="H48" i="275"/>
  <c r="J48" i="275"/>
  <c r="H49" i="275"/>
  <c r="J49" i="275"/>
  <c r="H50" i="275"/>
  <c r="J50" i="275"/>
  <c r="H51" i="275"/>
  <c r="J51" i="275"/>
  <c r="H52" i="275"/>
  <c r="J52" i="275"/>
  <c r="H53" i="275"/>
  <c r="J53" i="275"/>
  <c r="H54" i="275"/>
  <c r="J54" i="275"/>
  <c r="H55" i="275"/>
  <c r="J55" i="275"/>
  <c r="H56" i="275"/>
  <c r="J56" i="275"/>
  <c r="H57" i="275"/>
  <c r="J57" i="275"/>
  <c r="H58" i="275"/>
  <c r="J58" i="275"/>
  <c r="H59" i="275"/>
  <c r="J59" i="275"/>
  <c r="H60" i="275"/>
  <c r="J60" i="275"/>
  <c r="H61" i="275"/>
  <c r="J61" i="275"/>
  <c r="H62" i="275"/>
  <c r="J62" i="275"/>
  <c r="H63" i="275"/>
  <c r="J63" i="275"/>
  <c r="H64" i="275"/>
  <c r="J64" i="275"/>
  <c r="H65" i="275"/>
  <c r="J65" i="275"/>
  <c r="H66" i="275"/>
  <c r="J66" i="275"/>
  <c r="H67" i="275"/>
  <c r="J67" i="275"/>
  <c r="H68" i="275"/>
  <c r="J68" i="275"/>
  <c r="H69" i="275"/>
  <c r="H70" i="275"/>
  <c r="H71" i="275"/>
  <c r="H72" i="275"/>
  <c r="H73" i="275"/>
  <c r="H74" i="275"/>
  <c r="H75" i="275"/>
  <c r="H76" i="275"/>
  <c r="H77" i="275"/>
  <c r="H78" i="275"/>
  <c r="H79" i="275"/>
  <c r="H80" i="275"/>
  <c r="H81" i="275"/>
  <c r="H82" i="275"/>
  <c r="H83" i="275"/>
  <c r="H84" i="275"/>
  <c r="H85" i="275"/>
  <c r="H86" i="275"/>
  <c r="H87" i="275"/>
  <c r="H88" i="275"/>
  <c r="H89" i="275"/>
  <c r="H90" i="275"/>
  <c r="H91" i="275"/>
  <c r="H92" i="275"/>
  <c r="H93" i="275"/>
  <c r="H94" i="275"/>
  <c r="H95" i="275"/>
  <c r="H96" i="275"/>
  <c r="H97" i="275"/>
  <c r="H98" i="275"/>
  <c r="H99" i="275"/>
  <c r="H100" i="275"/>
  <c r="H101" i="275"/>
  <c r="H102" i="275"/>
  <c r="H103" i="275"/>
  <c r="H104" i="275"/>
  <c r="H105" i="275"/>
  <c r="H106" i="275"/>
  <c r="H107" i="275"/>
  <c r="H108" i="275"/>
  <c r="H109" i="275"/>
  <c r="H110" i="275"/>
  <c r="H111" i="275"/>
  <c r="H112" i="275"/>
  <c r="H113" i="275"/>
  <c r="H114" i="275"/>
  <c r="H115" i="275"/>
  <c r="H116" i="275"/>
  <c r="H117" i="275"/>
  <c r="H118" i="275"/>
  <c r="H119" i="275"/>
  <c r="H120" i="275"/>
  <c r="H121" i="275"/>
  <c r="H122" i="275"/>
  <c r="H123" i="275"/>
  <c r="H124" i="275"/>
  <c r="S8" i="276" l="1"/>
  <c r="D114" i="276" l="1"/>
  <c r="D113" i="276" s="1"/>
  <c r="S24" i="276" l="1"/>
  <c r="W14" i="276" l="1"/>
  <c r="E16" i="276" s="1"/>
  <c r="E15" i="276" l="1"/>
  <c r="E14" i="276"/>
  <c r="E17" i="276"/>
  <c r="AA14" i="276"/>
  <c r="F83" i="276" s="1"/>
  <c r="Y14" i="276"/>
  <c r="D83" i="276" s="1"/>
  <c r="X14" i="276"/>
  <c r="C83" i="276" s="1"/>
  <c r="Z14" i="276"/>
  <c r="E83" i="276" s="1"/>
  <c r="H8" i="247"/>
  <c r="H9" i="247"/>
  <c r="H10" i="247"/>
  <c r="H11" i="247"/>
  <c r="H12" i="247"/>
  <c r="H13" i="247"/>
  <c r="H14" i="247"/>
  <c r="H15" i="247"/>
  <c r="H16" i="247"/>
  <c r="H17" i="247"/>
  <c r="H18" i="247"/>
  <c r="H19" i="247"/>
  <c r="H20" i="247"/>
  <c r="H21" i="247"/>
  <c r="H22" i="247"/>
  <c r="H23" i="247"/>
  <c r="H24" i="247"/>
  <c r="H25" i="247"/>
  <c r="H26" i="247"/>
  <c r="H27" i="247"/>
  <c r="H28" i="247"/>
  <c r="H29" i="247"/>
  <c r="H30" i="247"/>
  <c r="H31" i="247"/>
  <c r="H32" i="247"/>
  <c r="H33" i="247"/>
  <c r="H34" i="247"/>
  <c r="H35" i="247"/>
  <c r="H36" i="247"/>
  <c r="H37" i="247"/>
  <c r="H9" i="265"/>
  <c r="H10" i="265"/>
  <c r="H11" i="265"/>
  <c r="H12" i="265"/>
  <c r="H13" i="265"/>
  <c r="H14" i="265"/>
  <c r="H15" i="265"/>
  <c r="H16" i="265"/>
  <c r="H17" i="265"/>
  <c r="H18" i="265"/>
  <c r="H19" i="265"/>
  <c r="H20" i="265"/>
  <c r="H21" i="265"/>
  <c r="H22" i="265"/>
  <c r="H23" i="265"/>
  <c r="H24" i="265"/>
  <c r="H25" i="265"/>
  <c r="H26" i="265"/>
  <c r="H27" i="265"/>
  <c r="H28" i="265"/>
  <c r="H29" i="265"/>
  <c r="H30" i="265"/>
  <c r="H31" i="265"/>
  <c r="H32" i="265"/>
  <c r="H33" i="265"/>
  <c r="H34" i="265"/>
  <c r="H35" i="265"/>
  <c r="H36" i="265"/>
  <c r="H37" i="265"/>
  <c r="H7" i="266"/>
  <c r="H8" i="266"/>
  <c r="H9" i="266"/>
  <c r="H10" i="266"/>
  <c r="H11" i="266"/>
  <c r="H12" i="266"/>
  <c r="H13" i="266"/>
  <c r="H14" i="266"/>
  <c r="H15" i="266"/>
  <c r="H16" i="266"/>
  <c r="H17" i="266"/>
  <c r="H18" i="266"/>
  <c r="H19" i="266"/>
  <c r="H20" i="266"/>
  <c r="H21" i="266"/>
  <c r="H22" i="266"/>
  <c r="H23" i="266"/>
  <c r="H24" i="266"/>
  <c r="H25" i="266"/>
  <c r="H26" i="266"/>
  <c r="H27" i="266"/>
  <c r="H28" i="266"/>
  <c r="H29" i="266"/>
  <c r="H30" i="266"/>
  <c r="H31" i="266"/>
  <c r="H32" i="266"/>
  <c r="H33" i="266"/>
  <c r="H34" i="266"/>
  <c r="H35" i="266"/>
  <c r="H36" i="266"/>
  <c r="H7" i="267"/>
  <c r="H8" i="267"/>
  <c r="H9" i="267"/>
  <c r="H10" i="267"/>
  <c r="H11" i="267"/>
  <c r="H12" i="267"/>
  <c r="H13" i="267"/>
  <c r="H14" i="267"/>
  <c r="H15" i="267"/>
  <c r="H16" i="267"/>
  <c r="H17" i="267"/>
  <c r="H18" i="267"/>
  <c r="H19" i="267"/>
  <c r="H20" i="267"/>
  <c r="H21" i="267"/>
  <c r="H22" i="267"/>
  <c r="H23" i="267"/>
  <c r="H24" i="267"/>
  <c r="H25" i="267"/>
  <c r="H26" i="267"/>
  <c r="H27" i="267"/>
  <c r="H28" i="267"/>
  <c r="H29" i="267"/>
  <c r="H30" i="267"/>
  <c r="H31" i="267"/>
  <c r="H32" i="267"/>
  <c r="H33" i="267"/>
  <c r="H34" i="267"/>
  <c r="H35" i="267"/>
  <c r="H36" i="267"/>
  <c r="K10" i="262"/>
  <c r="K11" i="262"/>
  <c r="K12" i="262"/>
  <c r="K13" i="262"/>
  <c r="K14" i="262"/>
  <c r="K15" i="262"/>
  <c r="K16" i="262"/>
  <c r="K17" i="262"/>
  <c r="K18" i="262"/>
  <c r="K19" i="262"/>
  <c r="K20" i="262"/>
  <c r="K21" i="262"/>
  <c r="K22" i="262"/>
  <c r="K23" i="262"/>
  <c r="K24" i="262"/>
  <c r="K25" i="262"/>
  <c r="K26" i="262"/>
  <c r="K27" i="262"/>
  <c r="K28" i="262"/>
  <c r="K29" i="262"/>
  <c r="K30" i="262"/>
  <c r="K31" i="262"/>
  <c r="K32" i="262"/>
  <c r="K33" i="262"/>
  <c r="K34" i="262"/>
  <c r="K35" i="262"/>
  <c r="K36" i="262"/>
  <c r="K37" i="262"/>
  <c r="K38" i="262"/>
  <c r="K39" i="262"/>
  <c r="K40" i="262"/>
  <c r="K41" i="262"/>
  <c r="K42" i="262"/>
  <c r="K43" i="262"/>
  <c r="K44" i="262"/>
  <c r="K45" i="262"/>
  <c r="K51" i="262"/>
  <c r="K52" i="262"/>
  <c r="K53" i="262"/>
  <c r="K54" i="262"/>
  <c r="K55" i="262"/>
  <c r="K56" i="262"/>
  <c r="K57" i="262"/>
  <c r="K58" i="262"/>
  <c r="K59" i="262"/>
  <c r="K60" i="262"/>
  <c r="K48" i="262"/>
  <c r="K49" i="262"/>
  <c r="K50" i="262"/>
  <c r="K46" i="262"/>
  <c r="K47" i="262"/>
  <c r="L55" i="262"/>
  <c r="L56" i="262"/>
  <c r="L57" i="262"/>
  <c r="L58" i="262"/>
  <c r="L59" i="262"/>
  <c r="L60" i="262"/>
  <c r="L83" i="276" l="1"/>
  <c r="Q83" i="276"/>
  <c r="P83" i="276"/>
  <c r="K83" i="276"/>
  <c r="I83" i="276"/>
  <c r="J83" i="276"/>
  <c r="N83" i="276"/>
  <c r="O83" i="276"/>
  <c r="U18" i="276"/>
  <c r="S18" i="276"/>
  <c r="T18" i="276"/>
  <c r="S17" i="276"/>
  <c r="T17" i="276"/>
  <c r="T15" i="276"/>
  <c r="S15" i="276"/>
  <c r="S16" i="276"/>
  <c r="T16" i="276"/>
  <c r="AB14" i="276"/>
  <c r="L16" i="262"/>
  <c r="L17" i="262"/>
  <c r="L18" i="262"/>
  <c r="L19" i="262"/>
  <c r="L20" i="262"/>
  <c r="L21" i="262"/>
  <c r="L22" i="262"/>
  <c r="L23" i="262"/>
  <c r="L24" i="262"/>
  <c r="L25" i="262"/>
  <c r="L26" i="262"/>
  <c r="L27" i="262"/>
  <c r="L28" i="262"/>
  <c r="L29" i="262"/>
  <c r="L30" i="262"/>
  <c r="L31" i="262"/>
  <c r="L32" i="262"/>
  <c r="L33" i="262"/>
  <c r="L34" i="262"/>
  <c r="L35" i="262"/>
  <c r="L36" i="262"/>
  <c r="L37" i="262"/>
  <c r="L38" i="262"/>
  <c r="L39" i="262"/>
  <c r="L40" i="262"/>
  <c r="L41" i="262"/>
  <c r="L42" i="262"/>
  <c r="L43" i="262"/>
  <c r="L44" i="262"/>
  <c r="L45" i="262"/>
  <c r="L46" i="262"/>
  <c r="L47" i="262"/>
  <c r="L48" i="262"/>
  <c r="L49" i="262"/>
  <c r="L50" i="262"/>
  <c r="L51" i="262"/>
  <c r="L52" i="262"/>
  <c r="L53" i="262"/>
  <c r="L54" i="262"/>
  <c r="L10" i="262"/>
  <c r="L11" i="262"/>
  <c r="L12" i="262"/>
  <c r="L13" i="262"/>
  <c r="L14" i="262"/>
  <c r="L15" i="262"/>
  <c r="L8" i="262"/>
  <c r="E13" i="276" l="1"/>
  <c r="T14" i="276" s="1"/>
  <c r="T8" i="276"/>
  <c r="S14" i="276" l="1"/>
  <c r="E18" i="276"/>
  <c r="S19" i="276" s="1"/>
  <c r="B86" i="276"/>
  <c r="B10" i="276"/>
  <c r="B5" i="276" s="1"/>
  <c r="M13" i="277"/>
  <c r="G14" i="276" l="1"/>
  <c r="G13" i="276"/>
  <c r="G18" i="276"/>
  <c r="G17" i="276"/>
  <c r="G15" i="276"/>
  <c r="G16" i="276"/>
  <c r="T19" i="276"/>
  <c r="E19" i="276"/>
  <c r="E20" i="276" s="1"/>
  <c r="S21" i="276" s="1"/>
  <c r="B11" i="276"/>
  <c r="B22" i="276"/>
  <c r="S20" i="276" l="1"/>
  <c r="T20" i="276"/>
  <c r="G19" i="276"/>
  <c r="T21" i="276"/>
  <c r="G20" i="276"/>
  <c r="AK89" i="276"/>
  <c r="AG89" i="276"/>
  <c r="AC89" i="276"/>
  <c r="W89" i="276"/>
  <c r="AA12" i="276"/>
  <c r="AA13" i="276" s="1"/>
  <c r="Z12" i="276"/>
  <c r="Z13" i="276" s="1"/>
  <c r="Y12" i="276"/>
  <c r="Y13" i="276" s="1"/>
  <c r="X12" i="276"/>
  <c r="X13" i="276" s="1"/>
  <c r="Y89" i="276" l="1"/>
  <c r="X89" i="276"/>
  <c r="AE89" i="276"/>
  <c r="AD89" i="276"/>
  <c r="AI89" i="276"/>
  <c r="AH89" i="276"/>
  <c r="AM89" i="276"/>
  <c r="AL89" i="276"/>
  <c r="I82" i="276"/>
  <c r="N82" i="276"/>
  <c r="C82" i="276"/>
  <c r="D82" i="276"/>
  <c r="O82" i="276"/>
  <c r="J82" i="276"/>
  <c r="P82" i="276"/>
  <c r="K82" i="276"/>
  <c r="E82" i="276"/>
  <c r="Q82" i="276"/>
  <c r="L82" i="276"/>
  <c r="F82" i="276"/>
  <c r="AP89" i="276" a="1"/>
  <c r="AP89" i="276" s="1"/>
  <c r="N71" i="276"/>
  <c r="N61" i="276"/>
  <c r="N48" i="276"/>
  <c r="N57" i="276"/>
  <c r="N37" i="276"/>
  <c r="N64" i="276"/>
  <c r="N25" i="276"/>
  <c r="N31" i="276"/>
  <c r="N28" i="276"/>
  <c r="N47" i="276"/>
  <c r="N27" i="276"/>
  <c r="N36" i="276"/>
  <c r="N35" i="276"/>
  <c r="N33" i="276"/>
  <c r="N70" i="276"/>
  <c r="AR86" i="276"/>
  <c r="S12" i="276"/>
  <c r="AQ89" i="276" l="1"/>
  <c r="AP90" i="276" a="1"/>
  <c r="AP90" i="276" s="1"/>
  <c r="AQ90" i="276" s="1"/>
  <c r="W11" i="276"/>
  <c r="N39" i="276"/>
  <c r="N44" i="276"/>
  <c r="N40" i="276"/>
  <c r="N30" i="276"/>
  <c r="N24" i="276"/>
  <c r="N50" i="276"/>
  <c r="N41" i="276"/>
  <c r="N68" i="276"/>
  <c r="N49" i="276"/>
  <c r="N34" i="276"/>
  <c r="P71" i="276"/>
  <c r="P70" i="276"/>
  <c r="B1" i="277"/>
  <c r="AV86" i="276"/>
  <c r="AZ89" i="276" l="1"/>
  <c r="AP91" i="276" a="1"/>
  <c r="AP91" i="276" s="1"/>
  <c r="AQ91" i="276" s="1"/>
  <c r="BA89" i="276"/>
  <c r="AR90" i="276"/>
  <c r="AX90" i="276"/>
  <c r="AT90" i="276"/>
  <c r="AW90" i="276"/>
  <c r="AU90" i="276"/>
  <c r="AY90" i="276"/>
  <c r="AS90" i="276"/>
  <c r="AV90" i="276"/>
  <c r="N55" i="276"/>
  <c r="N58" i="276"/>
  <c r="N56" i="276"/>
  <c r="N59" i="276"/>
  <c r="N53" i="276"/>
  <c r="N62" i="276"/>
  <c r="N54" i="276"/>
  <c r="N66" i="276"/>
  <c r="N63" i="276"/>
  <c r="N52" i="276"/>
  <c r="N42" i="276"/>
  <c r="N29" i="276"/>
  <c r="N43" i="276"/>
  <c r="N45" i="276"/>
  <c r="N60" i="276"/>
  <c r="N46" i="276"/>
  <c r="N67" i="276"/>
  <c r="N26" i="276"/>
  <c r="N32" i="276"/>
  <c r="P32" i="276" s="1"/>
  <c r="P27" i="276"/>
  <c r="P37" i="276"/>
  <c r="P36" i="276"/>
  <c r="P35" i="276"/>
  <c r="P31" i="276"/>
  <c r="P28" i="276"/>
  <c r="P25" i="276"/>
  <c r="AP92" i="276" l="1" a="1"/>
  <c r="AP92" i="276" s="1"/>
  <c r="AQ92" i="276" s="1"/>
  <c r="AZ90" i="276"/>
  <c r="BA90" i="276"/>
  <c r="AT91" i="276"/>
  <c r="AR91" i="276"/>
  <c r="AW91" i="276"/>
  <c r="AY91" i="276"/>
  <c r="AX91" i="276"/>
  <c r="AV91" i="276"/>
  <c r="AU91" i="276"/>
  <c r="AS91" i="276"/>
  <c r="N38" i="276"/>
  <c r="B24" i="276" s="1"/>
  <c r="P67" i="276"/>
  <c r="P66" i="276"/>
  <c r="P68" i="276"/>
  <c r="P50" i="276"/>
  <c r="N51" i="276"/>
  <c r="B39" i="276" s="1"/>
  <c r="N69" i="276"/>
  <c r="B66" i="276" s="1"/>
  <c r="N65" i="276"/>
  <c r="B52" i="276" s="1"/>
  <c r="P26" i="276"/>
  <c r="P47" i="276"/>
  <c r="P46" i="276"/>
  <c r="P62" i="276"/>
  <c r="P44" i="276"/>
  <c r="P40" i="276"/>
  <c r="P49" i="276"/>
  <c r="P52" i="276"/>
  <c r="P61" i="276"/>
  <c r="P43" i="276"/>
  <c r="P58" i="276"/>
  <c r="P42" i="276"/>
  <c r="P45" i="276"/>
  <c r="P48" i="276"/>
  <c r="P55" i="276"/>
  <c r="P41" i="276"/>
  <c r="P39" i="276"/>
  <c r="P29" i="276"/>
  <c r="P57" i="276"/>
  <c r="P30" i="276"/>
  <c r="P34" i="276"/>
  <c r="P59" i="276"/>
  <c r="P56" i="276"/>
  <c r="P64" i="276"/>
  <c r="P54" i="276"/>
  <c r="P63" i="276"/>
  <c r="P53" i="276"/>
  <c r="P60" i="276"/>
  <c r="P24" i="276"/>
  <c r="P33" i="276"/>
  <c r="AP93" i="276" l="1" a="1"/>
  <c r="AP93" i="276" s="1"/>
  <c r="AQ93" i="276" s="1"/>
  <c r="N72" i="276"/>
  <c r="AT92" i="276"/>
  <c r="AS92" i="276"/>
  <c r="AR92" i="276"/>
  <c r="AY92" i="276"/>
  <c r="AX92" i="276"/>
  <c r="AW92" i="276"/>
  <c r="AV92" i="276"/>
  <c r="AU92" i="276"/>
  <c r="BA91" i="276"/>
  <c r="AZ91" i="276"/>
  <c r="P69" i="276"/>
  <c r="T69" i="276" s="1"/>
  <c r="P65" i="276"/>
  <c r="T55" i="276" s="1"/>
  <c r="P51" i="276"/>
  <c r="T42" i="276" s="1"/>
  <c r="P38" i="276"/>
  <c r="T25" i="276" s="1"/>
  <c r="U14" i="276"/>
  <c r="U16" i="276"/>
  <c r="U15" i="276"/>
  <c r="U17" i="276"/>
  <c r="U19" i="276"/>
  <c r="U20" i="276"/>
  <c r="AP94" i="276" l="1" a="1"/>
  <c r="AP94" i="276" s="1"/>
  <c r="AQ94" i="276" s="1"/>
  <c r="BA92" i="276"/>
  <c r="AZ92" i="276"/>
  <c r="AT93" i="276"/>
  <c r="AS93" i="276"/>
  <c r="AR93" i="276"/>
  <c r="AY93" i="276"/>
  <c r="AX93" i="276"/>
  <c r="AW93" i="276"/>
  <c r="AV93" i="276"/>
  <c r="AU93" i="276"/>
  <c r="U21" i="276"/>
  <c r="AP95" i="276" l="1" a="1"/>
  <c r="AP95" i="276" s="1"/>
  <c r="BA93" i="276"/>
  <c r="AZ93" i="276"/>
  <c r="AT94" i="276"/>
  <c r="AS94" i="276"/>
  <c r="AR94" i="276"/>
  <c r="AY94" i="276"/>
  <c r="AX94" i="276"/>
  <c r="AW94" i="276"/>
  <c r="AV94" i="276"/>
  <c r="AU94" i="276"/>
  <c r="AP96" i="276" l="1" a="1"/>
  <c r="AP96" i="276" s="1"/>
  <c r="AQ95" i="276"/>
  <c r="AT95" i="276"/>
  <c r="AS95" i="276"/>
  <c r="AR95" i="276"/>
  <c r="AY95" i="276"/>
  <c r="AX95" i="276"/>
  <c r="AW95" i="276"/>
  <c r="AV95" i="276"/>
  <c r="AU95" i="276"/>
  <c r="AZ94" i="276"/>
  <c r="BA94" i="276"/>
  <c r="AG87" i="276"/>
  <c r="AK87" i="276"/>
  <c r="AC87" i="276"/>
  <c r="H124" i="267"/>
  <c r="B124" i="267"/>
  <c r="H123" i="267"/>
  <c r="B123" i="267"/>
  <c r="H122" i="267"/>
  <c r="B122" i="267"/>
  <c r="H121" i="267"/>
  <c r="B121" i="267"/>
  <c r="H120" i="267"/>
  <c r="B120" i="267"/>
  <c r="H119" i="267"/>
  <c r="B119" i="267"/>
  <c r="H118" i="267"/>
  <c r="B118" i="267"/>
  <c r="H117" i="267"/>
  <c r="B117" i="267"/>
  <c r="H116" i="267"/>
  <c r="B116" i="267"/>
  <c r="H115" i="267"/>
  <c r="B115" i="267"/>
  <c r="H114" i="267"/>
  <c r="B114" i="267"/>
  <c r="H113" i="267"/>
  <c r="B113" i="267"/>
  <c r="H112" i="267"/>
  <c r="B112" i="267"/>
  <c r="H111" i="267"/>
  <c r="B111" i="267"/>
  <c r="H110" i="267"/>
  <c r="B110" i="267"/>
  <c r="H109" i="267"/>
  <c r="B109" i="267"/>
  <c r="H108" i="267"/>
  <c r="B108" i="267"/>
  <c r="H107" i="267"/>
  <c r="B107" i="267"/>
  <c r="H106" i="267"/>
  <c r="B106" i="267"/>
  <c r="H105" i="267"/>
  <c r="B105" i="267"/>
  <c r="H104" i="267"/>
  <c r="B104" i="267"/>
  <c r="H103" i="267"/>
  <c r="B103" i="267"/>
  <c r="H102" i="267"/>
  <c r="B102" i="267"/>
  <c r="H101" i="267"/>
  <c r="B101" i="267"/>
  <c r="H100" i="267"/>
  <c r="B100" i="267"/>
  <c r="H99" i="267"/>
  <c r="B99" i="267"/>
  <c r="H98" i="267"/>
  <c r="B98" i="267"/>
  <c r="H97" i="267"/>
  <c r="B97" i="267"/>
  <c r="H96" i="267"/>
  <c r="B96" i="267"/>
  <c r="H95" i="267"/>
  <c r="B95" i="267"/>
  <c r="H94" i="267"/>
  <c r="B94" i="267"/>
  <c r="H93" i="267"/>
  <c r="B93" i="267"/>
  <c r="H92" i="267"/>
  <c r="B92" i="267"/>
  <c r="H91" i="267"/>
  <c r="B91" i="267"/>
  <c r="H90" i="267"/>
  <c r="B90" i="267"/>
  <c r="H89" i="267"/>
  <c r="B89" i="267"/>
  <c r="H88" i="267"/>
  <c r="B88" i="267"/>
  <c r="H87" i="267"/>
  <c r="B87" i="267"/>
  <c r="H86" i="267"/>
  <c r="B86" i="267"/>
  <c r="H85" i="267"/>
  <c r="B85" i="267"/>
  <c r="H84" i="267"/>
  <c r="B84" i="267"/>
  <c r="H83" i="267"/>
  <c r="B83" i="267"/>
  <c r="H82" i="267"/>
  <c r="B82" i="267"/>
  <c r="H81" i="267"/>
  <c r="B81" i="267"/>
  <c r="H80" i="267"/>
  <c r="B80" i="267"/>
  <c r="H79" i="267"/>
  <c r="B79" i="267"/>
  <c r="H78" i="267"/>
  <c r="B78" i="267"/>
  <c r="H77" i="267"/>
  <c r="B77" i="267"/>
  <c r="H76" i="267"/>
  <c r="B76" i="267"/>
  <c r="H75" i="267"/>
  <c r="B75" i="267"/>
  <c r="H74" i="267"/>
  <c r="B74" i="267"/>
  <c r="H73" i="267"/>
  <c r="B73" i="267"/>
  <c r="H72" i="267"/>
  <c r="B72" i="267"/>
  <c r="H71" i="267"/>
  <c r="B71" i="267"/>
  <c r="H70" i="267"/>
  <c r="B70" i="267"/>
  <c r="H69" i="267"/>
  <c r="B69" i="267"/>
  <c r="H68" i="267"/>
  <c r="B68" i="267"/>
  <c r="H67" i="267"/>
  <c r="B67" i="267"/>
  <c r="H66" i="267"/>
  <c r="B66" i="267"/>
  <c r="H65" i="267"/>
  <c r="B65" i="267"/>
  <c r="H64" i="267"/>
  <c r="B64" i="267"/>
  <c r="H63" i="267"/>
  <c r="B63" i="267"/>
  <c r="H62" i="267"/>
  <c r="B62" i="267"/>
  <c r="H61" i="267"/>
  <c r="B61" i="267"/>
  <c r="H60" i="267"/>
  <c r="B60" i="267"/>
  <c r="H59" i="267"/>
  <c r="B59" i="267"/>
  <c r="H58" i="267"/>
  <c r="B58" i="267"/>
  <c r="H57" i="267"/>
  <c r="B57" i="267"/>
  <c r="H56" i="267"/>
  <c r="B56" i="267"/>
  <c r="H55" i="267"/>
  <c r="B55" i="267"/>
  <c r="H54" i="267"/>
  <c r="B54" i="267"/>
  <c r="H53" i="267"/>
  <c r="B53" i="267"/>
  <c r="H52" i="267"/>
  <c r="B52" i="267"/>
  <c r="H51" i="267"/>
  <c r="B51" i="267"/>
  <c r="H50" i="267"/>
  <c r="B50" i="267"/>
  <c r="H49" i="267"/>
  <c r="B49" i="267"/>
  <c r="H48" i="267"/>
  <c r="B48" i="267"/>
  <c r="H47" i="267"/>
  <c r="B47" i="267"/>
  <c r="H46" i="267"/>
  <c r="B46" i="267"/>
  <c r="H45" i="267"/>
  <c r="B45" i="267"/>
  <c r="H44" i="267"/>
  <c r="B44" i="267"/>
  <c r="H43" i="267"/>
  <c r="B43" i="267"/>
  <c r="H42" i="267"/>
  <c r="B42" i="267"/>
  <c r="H41" i="267"/>
  <c r="B41" i="267"/>
  <c r="H40" i="267"/>
  <c r="B40" i="267"/>
  <c r="H39" i="267"/>
  <c r="B39" i="267"/>
  <c r="H38" i="267"/>
  <c r="B38" i="267"/>
  <c r="H37" i="267"/>
  <c r="B37" i="267"/>
  <c r="B36" i="267"/>
  <c r="B35" i="267"/>
  <c r="B34" i="267"/>
  <c r="B33" i="267"/>
  <c r="B32" i="267"/>
  <c r="B31" i="267"/>
  <c r="B30" i="267"/>
  <c r="B29" i="267"/>
  <c r="B28" i="267"/>
  <c r="B27" i="267"/>
  <c r="B26" i="267"/>
  <c r="B25" i="267"/>
  <c r="B24" i="267"/>
  <c r="B23" i="267"/>
  <c r="B22" i="267"/>
  <c r="B21" i="267"/>
  <c r="B20" i="267"/>
  <c r="B19" i="267"/>
  <c r="B18" i="267"/>
  <c r="B17" i="267"/>
  <c r="B16" i="267"/>
  <c r="B15" i="267"/>
  <c r="B14" i="267"/>
  <c r="B13" i="267"/>
  <c r="B12" i="267"/>
  <c r="B11" i="267"/>
  <c r="B10" i="267"/>
  <c r="B9" i="267"/>
  <c r="B8" i="267"/>
  <c r="B7" i="267"/>
  <c r="H124" i="266"/>
  <c r="B124" i="266"/>
  <c r="H123" i="266"/>
  <c r="B123" i="266"/>
  <c r="H122" i="266"/>
  <c r="B122" i="266"/>
  <c r="H121" i="266"/>
  <c r="B121" i="266"/>
  <c r="H120" i="266"/>
  <c r="B120" i="266"/>
  <c r="H119" i="266"/>
  <c r="B119" i="266"/>
  <c r="H118" i="266"/>
  <c r="B118" i="266"/>
  <c r="H117" i="266"/>
  <c r="B117" i="266"/>
  <c r="H116" i="266"/>
  <c r="B116" i="266"/>
  <c r="H115" i="266"/>
  <c r="B115" i="266"/>
  <c r="H114" i="266"/>
  <c r="B114" i="266"/>
  <c r="H113" i="266"/>
  <c r="B113" i="266"/>
  <c r="H112" i="266"/>
  <c r="B112" i="266"/>
  <c r="H111" i="266"/>
  <c r="B111" i="266"/>
  <c r="H110" i="266"/>
  <c r="B110" i="266"/>
  <c r="H109" i="266"/>
  <c r="B109" i="266"/>
  <c r="H108" i="266"/>
  <c r="B108" i="266"/>
  <c r="H107" i="266"/>
  <c r="B107" i="266"/>
  <c r="H106" i="266"/>
  <c r="B106" i="266"/>
  <c r="H105" i="266"/>
  <c r="B105" i="266"/>
  <c r="H104" i="266"/>
  <c r="B104" i="266"/>
  <c r="H103" i="266"/>
  <c r="B103" i="266"/>
  <c r="H102" i="266"/>
  <c r="B102" i="266"/>
  <c r="H101" i="266"/>
  <c r="B101" i="266"/>
  <c r="H100" i="266"/>
  <c r="B100" i="266"/>
  <c r="H99" i="266"/>
  <c r="B99" i="266"/>
  <c r="H98" i="266"/>
  <c r="B98" i="266"/>
  <c r="H97" i="266"/>
  <c r="B97" i="266"/>
  <c r="H96" i="266"/>
  <c r="B96" i="266"/>
  <c r="H95" i="266"/>
  <c r="B95" i="266"/>
  <c r="H94" i="266"/>
  <c r="B94" i="266"/>
  <c r="H93" i="266"/>
  <c r="B93" i="266"/>
  <c r="H92" i="266"/>
  <c r="B92" i="266"/>
  <c r="H91" i="266"/>
  <c r="B91" i="266"/>
  <c r="H90" i="266"/>
  <c r="B90" i="266"/>
  <c r="H89" i="266"/>
  <c r="B89" i="266"/>
  <c r="H88" i="266"/>
  <c r="B88" i="266"/>
  <c r="H87" i="266"/>
  <c r="B87" i="266"/>
  <c r="H86" i="266"/>
  <c r="B86" i="266"/>
  <c r="H85" i="266"/>
  <c r="B85" i="266"/>
  <c r="H84" i="266"/>
  <c r="B84" i="266"/>
  <c r="H83" i="266"/>
  <c r="B83" i="266"/>
  <c r="H82" i="266"/>
  <c r="B82" i="266"/>
  <c r="H81" i="266"/>
  <c r="B81" i="266"/>
  <c r="H80" i="266"/>
  <c r="B80" i="266"/>
  <c r="H79" i="266"/>
  <c r="B79" i="266"/>
  <c r="H78" i="266"/>
  <c r="B78" i="266"/>
  <c r="H77" i="266"/>
  <c r="B77" i="266"/>
  <c r="H76" i="266"/>
  <c r="B76" i="266"/>
  <c r="H75" i="266"/>
  <c r="B75" i="266"/>
  <c r="H74" i="266"/>
  <c r="B74" i="266"/>
  <c r="H73" i="266"/>
  <c r="B73" i="266"/>
  <c r="H72" i="266"/>
  <c r="B72" i="266"/>
  <c r="H71" i="266"/>
  <c r="B71" i="266"/>
  <c r="H70" i="266"/>
  <c r="B70" i="266"/>
  <c r="H69" i="266"/>
  <c r="B69" i="266"/>
  <c r="H68" i="266"/>
  <c r="B68" i="266"/>
  <c r="H67" i="266"/>
  <c r="B67" i="266"/>
  <c r="H66" i="266"/>
  <c r="B66" i="266"/>
  <c r="H65" i="266"/>
  <c r="B65" i="266"/>
  <c r="H64" i="266"/>
  <c r="B64" i="266"/>
  <c r="H63" i="266"/>
  <c r="B63" i="266"/>
  <c r="H62" i="266"/>
  <c r="B62" i="266"/>
  <c r="H61" i="266"/>
  <c r="B61" i="266"/>
  <c r="H60" i="266"/>
  <c r="B60" i="266"/>
  <c r="H59" i="266"/>
  <c r="B59" i="266"/>
  <c r="H58" i="266"/>
  <c r="B58" i="266"/>
  <c r="H57" i="266"/>
  <c r="B57" i="266"/>
  <c r="H56" i="266"/>
  <c r="B56" i="266"/>
  <c r="H55" i="266"/>
  <c r="B55" i="266"/>
  <c r="H54" i="266"/>
  <c r="B54" i="266"/>
  <c r="H53" i="266"/>
  <c r="B53" i="266"/>
  <c r="H52" i="266"/>
  <c r="B52" i="266"/>
  <c r="H51" i="266"/>
  <c r="B51" i="266"/>
  <c r="H50" i="266"/>
  <c r="B50" i="266"/>
  <c r="H49" i="266"/>
  <c r="B49" i="266"/>
  <c r="H48" i="266"/>
  <c r="B48" i="266"/>
  <c r="H47" i="266"/>
  <c r="B47" i="266"/>
  <c r="H46" i="266"/>
  <c r="B46" i="266"/>
  <c r="H45" i="266"/>
  <c r="B45" i="266"/>
  <c r="H44" i="266"/>
  <c r="B44" i="266"/>
  <c r="H43" i="266"/>
  <c r="B43" i="266"/>
  <c r="H42" i="266"/>
  <c r="B42" i="266"/>
  <c r="H41" i="266"/>
  <c r="B41" i="266"/>
  <c r="H40" i="266"/>
  <c r="B40" i="266"/>
  <c r="H39" i="266"/>
  <c r="B39" i="266"/>
  <c r="H38" i="266"/>
  <c r="B38" i="266"/>
  <c r="H37" i="266"/>
  <c r="B37" i="266"/>
  <c r="B36" i="266"/>
  <c r="B35" i="266"/>
  <c r="B34" i="266"/>
  <c r="B33" i="266"/>
  <c r="B32" i="266"/>
  <c r="B31" i="266"/>
  <c r="B30" i="266"/>
  <c r="B29" i="266"/>
  <c r="B28" i="266"/>
  <c r="B27" i="266"/>
  <c r="B26" i="266"/>
  <c r="B25" i="266"/>
  <c r="B24" i="266"/>
  <c r="B23" i="266"/>
  <c r="B22" i="266"/>
  <c r="B21" i="266"/>
  <c r="B20" i="266"/>
  <c r="B19" i="266"/>
  <c r="B18" i="266"/>
  <c r="B17" i="266"/>
  <c r="B16" i="266"/>
  <c r="B15" i="266"/>
  <c r="B14" i="266"/>
  <c r="B13" i="266"/>
  <c r="B12" i="266"/>
  <c r="B11" i="266"/>
  <c r="B10" i="266"/>
  <c r="B9" i="266"/>
  <c r="B8" i="266"/>
  <c r="B7" i="266"/>
  <c r="H124" i="265"/>
  <c r="B124" i="265"/>
  <c r="H123" i="265"/>
  <c r="B123" i="265"/>
  <c r="H122" i="265"/>
  <c r="B122" i="265"/>
  <c r="H121" i="265"/>
  <c r="B121" i="265"/>
  <c r="H120" i="265"/>
  <c r="B120" i="265"/>
  <c r="H119" i="265"/>
  <c r="B119" i="265"/>
  <c r="H118" i="265"/>
  <c r="B118" i="265"/>
  <c r="H117" i="265"/>
  <c r="B117" i="265"/>
  <c r="H116" i="265"/>
  <c r="B116" i="265"/>
  <c r="H115" i="265"/>
  <c r="B115" i="265"/>
  <c r="H114" i="265"/>
  <c r="B114" i="265"/>
  <c r="H113" i="265"/>
  <c r="B113" i="265"/>
  <c r="H112" i="265"/>
  <c r="B112" i="265"/>
  <c r="H111" i="265"/>
  <c r="B111" i="265"/>
  <c r="H110" i="265"/>
  <c r="B110" i="265"/>
  <c r="H109" i="265"/>
  <c r="B109" i="265"/>
  <c r="H108" i="265"/>
  <c r="B108" i="265"/>
  <c r="H107" i="265"/>
  <c r="B107" i="265"/>
  <c r="H106" i="265"/>
  <c r="B106" i="265"/>
  <c r="H105" i="265"/>
  <c r="B105" i="265"/>
  <c r="H104" i="265"/>
  <c r="B104" i="265"/>
  <c r="H103" i="265"/>
  <c r="B103" i="265"/>
  <c r="H102" i="265"/>
  <c r="B102" i="265"/>
  <c r="H101" i="265"/>
  <c r="B101" i="265"/>
  <c r="H100" i="265"/>
  <c r="B100" i="265"/>
  <c r="H99" i="265"/>
  <c r="B99" i="265"/>
  <c r="H98" i="265"/>
  <c r="B98" i="265"/>
  <c r="H97" i="265"/>
  <c r="B97" i="265"/>
  <c r="H96" i="265"/>
  <c r="B96" i="265"/>
  <c r="H95" i="265"/>
  <c r="B95" i="265"/>
  <c r="H94" i="265"/>
  <c r="B94" i="265"/>
  <c r="H93" i="265"/>
  <c r="B93" i="265"/>
  <c r="H92" i="265"/>
  <c r="B92" i="265"/>
  <c r="H91" i="265"/>
  <c r="B91" i="265"/>
  <c r="H90" i="265"/>
  <c r="B90" i="265"/>
  <c r="H89" i="265"/>
  <c r="B89" i="265"/>
  <c r="H88" i="265"/>
  <c r="B88" i="265"/>
  <c r="H87" i="265"/>
  <c r="B87" i="265"/>
  <c r="H86" i="265"/>
  <c r="B86" i="265"/>
  <c r="H85" i="265"/>
  <c r="B85" i="265"/>
  <c r="H84" i="265"/>
  <c r="B84" i="265"/>
  <c r="H83" i="265"/>
  <c r="B83" i="265"/>
  <c r="H82" i="265"/>
  <c r="B82" i="265"/>
  <c r="H81" i="265"/>
  <c r="B81" i="265"/>
  <c r="H80" i="265"/>
  <c r="B80" i="265"/>
  <c r="H79" i="265"/>
  <c r="B79" i="265"/>
  <c r="H78" i="265"/>
  <c r="B78" i="265"/>
  <c r="H77" i="265"/>
  <c r="B77" i="265"/>
  <c r="H76" i="265"/>
  <c r="B76" i="265"/>
  <c r="H75" i="265"/>
  <c r="B75" i="265"/>
  <c r="H74" i="265"/>
  <c r="B74" i="265"/>
  <c r="H73" i="265"/>
  <c r="B73" i="265"/>
  <c r="H72" i="265"/>
  <c r="B72" i="265"/>
  <c r="H71" i="265"/>
  <c r="B71" i="265"/>
  <c r="H70" i="265"/>
  <c r="B70" i="265"/>
  <c r="H69" i="265"/>
  <c r="B69" i="265"/>
  <c r="H68" i="265"/>
  <c r="B68" i="265"/>
  <c r="H67" i="265"/>
  <c r="B67" i="265"/>
  <c r="H66" i="265"/>
  <c r="B66" i="265"/>
  <c r="H65" i="265"/>
  <c r="B65" i="265"/>
  <c r="H64" i="265"/>
  <c r="B64" i="265"/>
  <c r="H63" i="265"/>
  <c r="B63" i="265"/>
  <c r="H62" i="265"/>
  <c r="B62" i="265"/>
  <c r="H61" i="265"/>
  <c r="B61" i="265"/>
  <c r="H60" i="265"/>
  <c r="B60" i="265"/>
  <c r="H59" i="265"/>
  <c r="B59" i="265"/>
  <c r="H58" i="265"/>
  <c r="B58" i="265"/>
  <c r="H57" i="265"/>
  <c r="B57" i="265"/>
  <c r="H56" i="265"/>
  <c r="B56" i="265"/>
  <c r="H55" i="265"/>
  <c r="B55" i="265"/>
  <c r="H54" i="265"/>
  <c r="B54" i="265"/>
  <c r="H53" i="265"/>
  <c r="B53" i="265"/>
  <c r="H52" i="265"/>
  <c r="B52" i="265"/>
  <c r="H51" i="265"/>
  <c r="B51" i="265"/>
  <c r="H50" i="265"/>
  <c r="B50" i="265"/>
  <c r="H49" i="265"/>
  <c r="B49" i="265"/>
  <c r="H48" i="265"/>
  <c r="B48" i="265"/>
  <c r="H47" i="265"/>
  <c r="B47" i="265"/>
  <c r="H46" i="265"/>
  <c r="B46" i="265"/>
  <c r="H45" i="265"/>
  <c r="B45" i="265"/>
  <c r="H44" i="265"/>
  <c r="B44" i="265"/>
  <c r="H43" i="265"/>
  <c r="B43" i="265"/>
  <c r="H42" i="265"/>
  <c r="B42" i="265"/>
  <c r="H41" i="265"/>
  <c r="B41" i="265"/>
  <c r="H40" i="265"/>
  <c r="B40" i="265"/>
  <c r="H39" i="265"/>
  <c r="B39" i="265"/>
  <c r="H38" i="265"/>
  <c r="B38" i="265"/>
  <c r="B37" i="265"/>
  <c r="B36" i="265"/>
  <c r="B35" i="265"/>
  <c r="B34" i="265"/>
  <c r="B33" i="265"/>
  <c r="B32" i="265"/>
  <c r="B31" i="265"/>
  <c r="B30" i="265"/>
  <c r="B29" i="265"/>
  <c r="B28" i="265"/>
  <c r="B27" i="265"/>
  <c r="B26" i="265"/>
  <c r="B25" i="265"/>
  <c r="B24" i="265"/>
  <c r="B23" i="265"/>
  <c r="B22" i="265"/>
  <c r="B21" i="265"/>
  <c r="B20" i="265"/>
  <c r="B19" i="265"/>
  <c r="B18" i="265"/>
  <c r="B17" i="265"/>
  <c r="B16" i="265"/>
  <c r="B15" i="265"/>
  <c r="B14" i="265"/>
  <c r="B13" i="265"/>
  <c r="B12" i="265"/>
  <c r="B11" i="265"/>
  <c r="B10" i="265"/>
  <c r="B9" i="265"/>
  <c r="B8" i="265"/>
  <c r="B7" i="265"/>
  <c r="AP97" i="276" l="1" a="1"/>
  <c r="AP97" i="276" s="1"/>
  <c r="AQ96" i="276"/>
  <c r="AT96" i="276"/>
  <c r="AS96" i="276"/>
  <c r="AR96" i="276"/>
  <c r="AY96" i="276"/>
  <c r="AX96" i="276"/>
  <c r="AW96" i="276"/>
  <c r="AV96" i="276"/>
  <c r="AU96" i="276"/>
  <c r="BA95" i="276"/>
  <c r="AZ95" i="276"/>
  <c r="AP98" i="276" l="1" a="1"/>
  <c r="AP98" i="276" s="1"/>
  <c r="AQ97" i="276"/>
  <c r="AT97" i="276"/>
  <c r="AS97" i="276"/>
  <c r="AR97" i="276"/>
  <c r="AY97" i="276"/>
  <c r="AX97" i="276"/>
  <c r="AW97" i="276"/>
  <c r="AV97" i="276"/>
  <c r="AU97" i="276"/>
  <c r="BA96" i="276"/>
  <c r="AZ96" i="276"/>
  <c r="AV88" i="276"/>
  <c r="AR88" i="276"/>
  <c r="E98" i="276" s="1"/>
  <c r="AX88" i="276"/>
  <c r="AW88" i="276"/>
  <c r="AS88" i="276"/>
  <c r="AT88" i="276"/>
  <c r="AP99" i="276" l="1" a="1"/>
  <c r="AP99" i="276" s="1"/>
  <c r="AQ98" i="276"/>
  <c r="AT98" i="276"/>
  <c r="AS98" i="276"/>
  <c r="AR98" i="276"/>
  <c r="AY98" i="276"/>
  <c r="AX98" i="276"/>
  <c r="AW98" i="276"/>
  <c r="AV98" i="276"/>
  <c r="AU98" i="276"/>
  <c r="BA97" i="276"/>
  <c r="AZ97" i="276"/>
  <c r="F162" i="276"/>
  <c r="F147" i="276"/>
  <c r="E147" i="276"/>
  <c r="E162" i="276"/>
  <c r="G162" i="276"/>
  <c r="G147" i="276"/>
  <c r="F98" i="276"/>
  <c r="F114" i="276"/>
  <c r="E114" i="276"/>
  <c r="G114" i="276"/>
  <c r="G98" i="276"/>
  <c r="B13" i="277"/>
  <c r="B14" i="277"/>
  <c r="J15" i="277" s="1"/>
  <c r="B12" i="277"/>
  <c r="B8" i="277"/>
  <c r="B6" i="277"/>
  <c r="B7" i="277"/>
  <c r="AP100" i="276" l="1" a="1"/>
  <c r="AP100" i="276" s="1"/>
  <c r="AQ99" i="276"/>
  <c r="AT99" i="276"/>
  <c r="AS99" i="276"/>
  <c r="AR99" i="276"/>
  <c r="AY99" i="276"/>
  <c r="AX99" i="276"/>
  <c r="AW99" i="276"/>
  <c r="AV99" i="276"/>
  <c r="AU99" i="276"/>
  <c r="AZ98" i="276"/>
  <c r="BA98" i="276"/>
  <c r="J6" i="277"/>
  <c r="J13" i="277"/>
  <c r="J7" i="277"/>
  <c r="J14" i="277"/>
  <c r="J8" i="277"/>
  <c r="AP101" i="276" l="1" a="1"/>
  <c r="AP101" i="276" s="1"/>
  <c r="AQ100" i="276"/>
  <c r="AT100" i="276"/>
  <c r="AS100" i="276"/>
  <c r="AR100" i="276"/>
  <c r="AY100" i="276"/>
  <c r="AX100" i="276"/>
  <c r="AW100" i="276"/>
  <c r="AV100" i="276"/>
  <c r="AU100" i="276"/>
  <c r="BA99" i="276"/>
  <c r="AZ99" i="276"/>
  <c r="B104" i="247"/>
  <c r="B105" i="247"/>
  <c r="B106" i="247"/>
  <c r="B107" i="247"/>
  <c r="B108" i="247"/>
  <c r="B109" i="247"/>
  <c r="B110" i="247"/>
  <c r="B111" i="247"/>
  <c r="B112" i="247"/>
  <c r="B113" i="247"/>
  <c r="B114" i="247"/>
  <c r="B115" i="247"/>
  <c r="B116" i="247"/>
  <c r="B117" i="247"/>
  <c r="B118" i="247"/>
  <c r="B119" i="247"/>
  <c r="B120" i="247"/>
  <c r="B121" i="247"/>
  <c r="B122" i="247"/>
  <c r="B123" i="247"/>
  <c r="B124" i="247"/>
  <c r="B9" i="247"/>
  <c r="B10" i="247"/>
  <c r="B11" i="247"/>
  <c r="B12" i="247"/>
  <c r="B13" i="247"/>
  <c r="B14" i="247"/>
  <c r="B15" i="247"/>
  <c r="B16" i="247"/>
  <c r="B17" i="247"/>
  <c r="B18" i="247"/>
  <c r="B19" i="247"/>
  <c r="B20" i="247"/>
  <c r="B21" i="247"/>
  <c r="B22" i="247"/>
  <c r="B23" i="247"/>
  <c r="B24" i="247"/>
  <c r="B25" i="247"/>
  <c r="B26" i="247"/>
  <c r="B27" i="247"/>
  <c r="B28" i="247"/>
  <c r="B29" i="247"/>
  <c r="B30" i="247"/>
  <c r="B31" i="247"/>
  <c r="B32" i="247"/>
  <c r="B33" i="247"/>
  <c r="B34" i="247"/>
  <c r="B35" i="247"/>
  <c r="B36" i="247"/>
  <c r="B37" i="247"/>
  <c r="B38" i="247"/>
  <c r="B39" i="247"/>
  <c r="B40" i="247"/>
  <c r="B41" i="247"/>
  <c r="B42" i="247"/>
  <c r="B43" i="247"/>
  <c r="B44" i="247"/>
  <c r="B45" i="247"/>
  <c r="B46" i="247"/>
  <c r="B47" i="247"/>
  <c r="B48" i="247"/>
  <c r="B49" i="247"/>
  <c r="B50" i="247"/>
  <c r="B51" i="247"/>
  <c r="B52" i="247"/>
  <c r="B53" i="247"/>
  <c r="B54" i="247"/>
  <c r="B55" i="247"/>
  <c r="B56" i="247"/>
  <c r="B57" i="247"/>
  <c r="B58" i="247"/>
  <c r="B59" i="247"/>
  <c r="B60" i="247"/>
  <c r="B61" i="247"/>
  <c r="B62" i="247"/>
  <c r="B63" i="247"/>
  <c r="B64" i="247"/>
  <c r="B65" i="247"/>
  <c r="B66" i="247"/>
  <c r="B67" i="247"/>
  <c r="B68" i="247"/>
  <c r="B69" i="247"/>
  <c r="B70" i="247"/>
  <c r="B71" i="247"/>
  <c r="B72" i="247"/>
  <c r="B73" i="247"/>
  <c r="B74" i="247"/>
  <c r="B75" i="247"/>
  <c r="B76" i="247"/>
  <c r="B77" i="247"/>
  <c r="B78" i="247"/>
  <c r="B79" i="247"/>
  <c r="B80" i="247"/>
  <c r="B81" i="247"/>
  <c r="B82" i="247"/>
  <c r="B83" i="247"/>
  <c r="B84" i="247"/>
  <c r="B85" i="247"/>
  <c r="B86" i="247"/>
  <c r="B87" i="247"/>
  <c r="B88" i="247"/>
  <c r="B89" i="247"/>
  <c r="B90" i="247"/>
  <c r="B91" i="247"/>
  <c r="B92" i="247"/>
  <c r="B93" i="247"/>
  <c r="B94" i="247"/>
  <c r="B95" i="247"/>
  <c r="B96" i="247"/>
  <c r="B97" i="247"/>
  <c r="B98" i="247"/>
  <c r="B99" i="247"/>
  <c r="B100" i="247"/>
  <c r="B101" i="247"/>
  <c r="B102" i="247"/>
  <c r="B103" i="247"/>
  <c r="B7" i="247"/>
  <c r="AP102" i="276" l="1" a="1"/>
  <c r="AP102" i="276" s="1"/>
  <c r="AQ101" i="276"/>
  <c r="AT101" i="276"/>
  <c r="AS101" i="276"/>
  <c r="AR101" i="276"/>
  <c r="AY101" i="276"/>
  <c r="AX101" i="276"/>
  <c r="AW101" i="276"/>
  <c r="AV101" i="276"/>
  <c r="AU101" i="276"/>
  <c r="BA100" i="276"/>
  <c r="AZ100" i="276"/>
  <c r="H38" i="247"/>
  <c r="H39" i="247"/>
  <c r="H40" i="247"/>
  <c r="H41" i="247"/>
  <c r="H42" i="247"/>
  <c r="H43" i="247"/>
  <c r="H44" i="247"/>
  <c r="H45" i="247"/>
  <c r="H46" i="247"/>
  <c r="H47" i="247"/>
  <c r="H48" i="247"/>
  <c r="H49" i="247"/>
  <c r="H50" i="247"/>
  <c r="H51" i="247"/>
  <c r="H52" i="247"/>
  <c r="H53" i="247"/>
  <c r="H54" i="247"/>
  <c r="H55" i="247"/>
  <c r="H56" i="247"/>
  <c r="H57" i="247"/>
  <c r="H58" i="247"/>
  <c r="H59" i="247"/>
  <c r="H60" i="247"/>
  <c r="H61" i="247"/>
  <c r="H62" i="247"/>
  <c r="H63" i="247"/>
  <c r="H64" i="247"/>
  <c r="H65" i="247"/>
  <c r="H66" i="247"/>
  <c r="H67" i="247"/>
  <c r="H68" i="247"/>
  <c r="H69" i="247"/>
  <c r="H70" i="247"/>
  <c r="H71" i="247"/>
  <c r="H72" i="247"/>
  <c r="H73" i="247"/>
  <c r="H74" i="247"/>
  <c r="H75" i="247"/>
  <c r="H76" i="247"/>
  <c r="H77" i="247"/>
  <c r="H78" i="247"/>
  <c r="H79" i="247"/>
  <c r="H80" i="247"/>
  <c r="H81" i="247"/>
  <c r="H82" i="247"/>
  <c r="H83" i="247"/>
  <c r="H84" i="247"/>
  <c r="H85" i="247"/>
  <c r="H86" i="247"/>
  <c r="H87" i="247"/>
  <c r="H88" i="247"/>
  <c r="H89" i="247"/>
  <c r="H90" i="247"/>
  <c r="H91" i="247"/>
  <c r="H92" i="247"/>
  <c r="H93" i="247"/>
  <c r="H94" i="247"/>
  <c r="H95" i="247"/>
  <c r="H96" i="247"/>
  <c r="H97" i="247"/>
  <c r="H98" i="247"/>
  <c r="H99" i="247"/>
  <c r="H100" i="247"/>
  <c r="H101" i="247"/>
  <c r="H102" i="247"/>
  <c r="H103" i="247"/>
  <c r="H104" i="247"/>
  <c r="H105" i="247"/>
  <c r="H106" i="247"/>
  <c r="H107" i="247"/>
  <c r="H108" i="247"/>
  <c r="H109" i="247"/>
  <c r="H110" i="247"/>
  <c r="H111" i="247"/>
  <c r="H112" i="247"/>
  <c r="H113" i="247"/>
  <c r="H114" i="247"/>
  <c r="H115" i="247"/>
  <c r="H116" i="247"/>
  <c r="H117" i="247"/>
  <c r="H118" i="247"/>
  <c r="H119" i="247"/>
  <c r="H120" i="247"/>
  <c r="H121" i="247"/>
  <c r="H122" i="247"/>
  <c r="H123" i="247"/>
  <c r="H124" i="247"/>
  <c r="W87" i="276"/>
  <c r="AP103" i="276" l="1" a="1"/>
  <c r="AP103" i="276" s="1"/>
  <c r="AQ102" i="276"/>
  <c r="AT102" i="276"/>
  <c r="AS102" i="276"/>
  <c r="AR102" i="276"/>
  <c r="AY102" i="276"/>
  <c r="AX102" i="276"/>
  <c r="AW102" i="276"/>
  <c r="AV102" i="276"/>
  <c r="AU102" i="276"/>
  <c r="BA101" i="276"/>
  <c r="AZ101" i="276"/>
  <c r="AU88" i="276"/>
  <c r="AY88" i="276"/>
  <c r="B15" i="277" s="1"/>
  <c r="J16" i="277" s="1"/>
  <c r="AP104" i="276" l="1" a="1"/>
  <c r="AP104" i="276" s="1"/>
  <c r="AQ103" i="276"/>
  <c r="AT103" i="276"/>
  <c r="AS103" i="276"/>
  <c r="AR103" i="276"/>
  <c r="AY103" i="276"/>
  <c r="AX103" i="276"/>
  <c r="AW103" i="276"/>
  <c r="AV103" i="276"/>
  <c r="AU103" i="276"/>
  <c r="AZ102" i="276"/>
  <c r="BA102" i="276"/>
  <c r="H147" i="276"/>
  <c r="H162" i="276"/>
  <c r="H98" i="276"/>
  <c r="H114" i="276"/>
  <c r="B9" i="277"/>
  <c r="AP105" i="276" l="1" a="1"/>
  <c r="AP105" i="276" s="1"/>
  <c r="AQ104" i="276"/>
  <c r="AT104" i="276"/>
  <c r="AS104" i="276"/>
  <c r="AR104" i="276"/>
  <c r="AY104" i="276"/>
  <c r="AX104" i="276"/>
  <c r="AW104" i="276"/>
  <c r="AV104" i="276"/>
  <c r="AU104" i="276"/>
  <c r="BA103" i="276"/>
  <c r="AZ103" i="276"/>
  <c r="AP106" i="276" l="1" a="1"/>
  <c r="AP106" i="276" s="1"/>
  <c r="AQ105" i="276"/>
  <c r="AT105" i="276"/>
  <c r="AS105" i="276"/>
  <c r="AR105" i="276"/>
  <c r="AY105" i="276"/>
  <c r="AX105" i="276"/>
  <c r="AW105" i="276"/>
  <c r="AV105" i="276"/>
  <c r="AU105" i="276"/>
  <c r="BA104" i="276"/>
  <c r="AZ104" i="276"/>
  <c r="M6" i="277"/>
  <c r="J9" i="277"/>
  <c r="AP107" i="276" l="1" a="1"/>
  <c r="AP107" i="276" s="1"/>
  <c r="AQ106" i="276"/>
  <c r="AT106" i="276"/>
  <c r="AS106" i="276"/>
  <c r="AR106" i="276"/>
  <c r="AY106" i="276"/>
  <c r="AX106" i="276"/>
  <c r="AW106" i="276"/>
  <c r="AV106" i="276"/>
  <c r="AU106" i="276"/>
  <c r="BA105" i="276"/>
  <c r="AZ105" i="276"/>
  <c r="AP108" i="276" l="1" a="1"/>
  <c r="AP108" i="276" s="1"/>
  <c r="AQ107" i="276"/>
  <c r="AT107" i="276"/>
  <c r="AS107" i="276"/>
  <c r="AR107" i="276"/>
  <c r="AY107" i="276"/>
  <c r="AX107" i="276"/>
  <c r="AW107" i="276"/>
  <c r="AV107" i="276"/>
  <c r="AU107" i="276"/>
  <c r="AZ106" i="276"/>
  <c r="BA106" i="276"/>
  <c r="AP109" i="276" l="1" a="1"/>
  <c r="AP109" i="276" s="1"/>
  <c r="AQ108" i="276"/>
  <c r="BA107" i="276"/>
  <c r="AZ107" i="276"/>
  <c r="AT108" i="276"/>
  <c r="AS108" i="276"/>
  <c r="AR108" i="276"/>
  <c r="AY108" i="276"/>
  <c r="AX108" i="276"/>
  <c r="AW108" i="276"/>
  <c r="AV108" i="276"/>
  <c r="AU108" i="276"/>
  <c r="AP110" i="276" l="1" a="1"/>
  <c r="AP110" i="276" s="1"/>
  <c r="AQ109" i="276"/>
  <c r="BA108" i="276"/>
  <c r="AZ108" i="276"/>
  <c r="AT109" i="276"/>
  <c r="AS109" i="276"/>
  <c r="AR109" i="276"/>
  <c r="AY109" i="276"/>
  <c r="AX109" i="276"/>
  <c r="AW109" i="276"/>
  <c r="AV109" i="276"/>
  <c r="AU109" i="276"/>
  <c r="AP111" i="276" l="1" a="1"/>
  <c r="AP111" i="276" s="1"/>
  <c r="AQ110" i="276"/>
  <c r="BA109" i="276"/>
  <c r="AZ109" i="276"/>
  <c r="AT110" i="276"/>
  <c r="AS110" i="276"/>
  <c r="AR110" i="276"/>
  <c r="AY110" i="276"/>
  <c r="AX110" i="276"/>
  <c r="AW110" i="276"/>
  <c r="AV110" i="276"/>
  <c r="AU110" i="276"/>
  <c r="AP112" i="276" l="1" a="1"/>
  <c r="AP112" i="276" s="1"/>
  <c r="AQ111" i="276"/>
  <c r="AZ110" i="276"/>
  <c r="BA110" i="276"/>
  <c r="AT111" i="276"/>
  <c r="AS111" i="276"/>
  <c r="AR111" i="276"/>
  <c r="AY111" i="276"/>
  <c r="AX111" i="276"/>
  <c r="AW111" i="276"/>
  <c r="AV111" i="276"/>
  <c r="AU111" i="276"/>
  <c r="AP113" i="276" l="1" a="1"/>
  <c r="AP113" i="276" s="1"/>
  <c r="AQ112" i="276"/>
  <c r="BA111" i="276"/>
  <c r="AZ111" i="276"/>
  <c r="AT112" i="276"/>
  <c r="AS112" i="276"/>
  <c r="AR112" i="276"/>
  <c r="AY112" i="276"/>
  <c r="AX112" i="276"/>
  <c r="AW112" i="276"/>
  <c r="AV112" i="276"/>
  <c r="AU112" i="276"/>
  <c r="AQ113" i="276" l="1"/>
  <c r="AP114" i="276" a="1"/>
  <c r="AP114" i="276" s="1"/>
  <c r="AT113" i="276"/>
  <c r="AS113" i="276"/>
  <c r="AR113" i="276"/>
  <c r="AY113" i="276"/>
  <c r="AX113" i="276"/>
  <c r="AW113" i="276"/>
  <c r="AV113" i="276"/>
  <c r="AU113" i="276"/>
  <c r="BA112" i="276"/>
  <c r="AZ112" i="276"/>
  <c r="AP115" i="276" l="1" a="1"/>
  <c r="AP115" i="276" s="1"/>
  <c r="AQ114" i="276"/>
  <c r="AT114" i="276"/>
  <c r="AS114" i="276"/>
  <c r="AR114" i="276"/>
  <c r="AY114" i="276"/>
  <c r="AX114" i="276"/>
  <c r="AW114" i="276"/>
  <c r="AV114" i="276"/>
  <c r="AU114" i="276"/>
  <c r="BA113" i="276"/>
  <c r="AZ113" i="276"/>
  <c r="AP116" i="276" l="1" a="1"/>
  <c r="AP116" i="276" s="1"/>
  <c r="AQ115" i="276"/>
  <c r="AW115" i="276"/>
  <c r="AV115" i="276"/>
  <c r="AU115" i="276"/>
  <c r="AR115" i="276"/>
  <c r="AY115" i="276"/>
  <c r="AX115" i="276"/>
  <c r="AT115" i="276"/>
  <c r="AS115" i="276"/>
  <c r="AZ114" i="276"/>
  <c r="BA114" i="276"/>
  <c r="AP117" i="276" l="1" a="1"/>
  <c r="AP117" i="276" s="1"/>
  <c r="AQ116" i="276"/>
  <c r="AW116" i="276"/>
  <c r="AV116" i="276"/>
  <c r="AU116" i="276"/>
  <c r="AS116" i="276"/>
  <c r="AR116" i="276"/>
  <c r="AY116" i="276"/>
  <c r="AX116" i="276"/>
  <c r="AT116" i="276"/>
  <c r="BA115" i="276"/>
  <c r="AZ115" i="276"/>
  <c r="AP118" i="276" l="1" a="1"/>
  <c r="AP118" i="276" s="1"/>
  <c r="AQ117" i="276"/>
  <c r="AW117" i="276"/>
  <c r="AV117" i="276"/>
  <c r="AU117" i="276"/>
  <c r="AS117" i="276"/>
  <c r="AR117" i="276"/>
  <c r="AY117" i="276"/>
  <c r="AX117" i="276"/>
  <c r="AT117" i="276"/>
  <c r="BA116" i="276"/>
  <c r="AZ116" i="276"/>
  <c r="AP119" i="276" l="1" a="1"/>
  <c r="AP119" i="276" s="1"/>
  <c r="AQ118" i="276"/>
  <c r="AW118" i="276"/>
  <c r="AV118" i="276"/>
  <c r="AU118" i="276"/>
  <c r="AS118" i="276"/>
  <c r="AR118" i="276"/>
  <c r="AY118" i="276"/>
  <c r="AX118" i="276"/>
  <c r="AT118" i="276"/>
  <c r="BA117" i="276"/>
  <c r="AZ117" i="276"/>
  <c r="AP120" i="276" l="1" a="1"/>
  <c r="AP120" i="276" s="1"/>
  <c r="AQ119" i="276"/>
  <c r="AW119" i="276"/>
  <c r="AV119" i="276"/>
  <c r="AU119" i="276"/>
  <c r="AS119" i="276"/>
  <c r="AR119" i="276"/>
  <c r="AY119" i="276"/>
  <c r="AX119" i="276"/>
  <c r="AT119" i="276"/>
  <c r="AZ118" i="276"/>
  <c r="BA118" i="276"/>
  <c r="AP121" i="276" l="1" a="1"/>
  <c r="AP121" i="276" s="1"/>
  <c r="AQ120" i="276"/>
  <c r="AW120" i="276"/>
  <c r="AV120" i="276"/>
  <c r="AU120" i="276"/>
  <c r="AS120" i="276"/>
  <c r="AR120" i="276"/>
  <c r="AY120" i="276"/>
  <c r="AX120" i="276"/>
  <c r="AT120" i="276"/>
  <c r="BA119" i="276"/>
  <c r="AZ119" i="276"/>
  <c r="AP122" i="276" l="1" a="1"/>
  <c r="AP122" i="276" s="1"/>
  <c r="AQ121" i="276"/>
  <c r="AW121" i="276"/>
  <c r="AV121" i="276"/>
  <c r="AU121" i="276"/>
  <c r="AS121" i="276"/>
  <c r="AR121" i="276"/>
  <c r="AY121" i="276"/>
  <c r="AX121" i="276"/>
  <c r="AT121" i="276"/>
  <c r="BA120" i="276"/>
  <c r="AZ120" i="276"/>
  <c r="AP123" i="276" l="1" a="1"/>
  <c r="AP123" i="276" s="1"/>
  <c r="AQ122" i="276"/>
  <c r="AW122" i="276"/>
  <c r="AV122" i="276"/>
  <c r="AU122" i="276"/>
  <c r="AS122" i="276"/>
  <c r="AR122" i="276"/>
  <c r="AY122" i="276"/>
  <c r="AX122" i="276"/>
  <c r="AT122" i="276"/>
  <c r="BA121" i="276"/>
  <c r="AZ121" i="276"/>
  <c r="AP124" i="276" l="1" a="1"/>
  <c r="AP124" i="276" s="1"/>
  <c r="AQ123" i="276"/>
  <c r="AW123" i="276"/>
  <c r="AV123" i="276"/>
  <c r="AU123" i="276"/>
  <c r="AS123" i="276"/>
  <c r="AR123" i="276"/>
  <c r="AY123" i="276"/>
  <c r="AX123" i="276"/>
  <c r="AT123" i="276"/>
  <c r="AZ122" i="276"/>
  <c r="BA122" i="276"/>
  <c r="AP125" i="276" l="1" a="1"/>
  <c r="AP125" i="276" s="1"/>
  <c r="AQ124" i="276"/>
  <c r="AW124" i="276"/>
  <c r="AV124" i="276"/>
  <c r="AU124" i="276"/>
  <c r="AS124" i="276"/>
  <c r="AR124" i="276"/>
  <c r="AY124" i="276"/>
  <c r="AX124" i="276"/>
  <c r="AT124" i="276"/>
  <c r="BA123" i="276"/>
  <c r="AZ123" i="276"/>
  <c r="AP126" i="276" l="1" a="1"/>
  <c r="AP126" i="276" s="1"/>
  <c r="AQ125" i="276"/>
  <c r="AW125" i="276"/>
  <c r="AV125" i="276"/>
  <c r="AU125" i="276"/>
  <c r="AT125" i="276"/>
  <c r="AS125" i="276"/>
  <c r="AR125" i="276"/>
  <c r="AY125" i="276"/>
  <c r="AX125" i="276"/>
  <c r="BA124" i="276"/>
  <c r="AZ124" i="276"/>
  <c r="AP127" i="276" l="1" a="1"/>
  <c r="AP127" i="276" s="1"/>
  <c r="AQ126" i="276"/>
  <c r="AW126" i="276"/>
  <c r="AV126" i="276"/>
  <c r="AU126" i="276"/>
  <c r="AT126" i="276"/>
  <c r="AS126" i="276"/>
  <c r="AR126" i="276"/>
  <c r="AY126" i="276"/>
  <c r="AX126" i="276"/>
  <c r="BA125" i="276"/>
  <c r="AZ125" i="276"/>
  <c r="AP128" i="276" l="1" a="1"/>
  <c r="AP128" i="276" s="1"/>
  <c r="AQ127" i="276"/>
  <c r="AW127" i="276"/>
  <c r="AV127" i="276"/>
  <c r="AU127" i="276"/>
  <c r="AT127" i="276"/>
  <c r="AS127" i="276"/>
  <c r="AR127" i="276"/>
  <c r="AY127" i="276"/>
  <c r="AX127" i="276"/>
  <c r="AZ126" i="276"/>
  <c r="BA126" i="276"/>
  <c r="AP129" i="276" l="1" a="1"/>
  <c r="AP129" i="276" s="1"/>
  <c r="AQ128" i="276"/>
  <c r="AW128" i="276"/>
  <c r="AV128" i="276"/>
  <c r="AU128" i="276"/>
  <c r="AT128" i="276"/>
  <c r="AS128" i="276"/>
  <c r="AR128" i="276"/>
  <c r="AY128" i="276"/>
  <c r="AX128" i="276"/>
  <c r="BA127" i="276"/>
  <c r="AZ127" i="276"/>
  <c r="AP130" i="276" l="1" a="1"/>
  <c r="AP130" i="276" s="1"/>
  <c r="AQ129" i="276"/>
  <c r="AW129" i="276"/>
  <c r="AV129" i="276"/>
  <c r="AU129" i="276"/>
  <c r="AT129" i="276"/>
  <c r="AS129" i="276"/>
  <c r="AR129" i="276"/>
  <c r="AY129" i="276"/>
  <c r="AX129" i="276"/>
  <c r="BA128" i="276"/>
  <c r="AZ128" i="276"/>
  <c r="AP131" i="276" l="1" a="1"/>
  <c r="AP131" i="276" s="1"/>
  <c r="AQ130" i="276"/>
  <c r="AW130" i="276"/>
  <c r="AV130" i="276"/>
  <c r="AU130" i="276"/>
  <c r="AT130" i="276"/>
  <c r="AS130" i="276"/>
  <c r="AR130" i="276"/>
  <c r="AY130" i="276"/>
  <c r="AX130" i="276"/>
  <c r="BA129" i="276"/>
  <c r="AZ129" i="276"/>
  <c r="AP132" i="276" l="1" a="1"/>
  <c r="AP132" i="276" s="1"/>
  <c r="AQ131" i="276"/>
  <c r="AW131" i="276"/>
  <c r="AV131" i="276"/>
  <c r="AU131" i="276"/>
  <c r="AT131" i="276"/>
  <c r="AS131" i="276"/>
  <c r="AR131" i="276"/>
  <c r="AY131" i="276"/>
  <c r="AX131" i="276"/>
  <c r="AZ130" i="276"/>
  <c r="BA130" i="276"/>
  <c r="AP133" i="276" l="1" a="1"/>
  <c r="AP133" i="276" s="1"/>
  <c r="AQ132" i="276"/>
  <c r="AW132" i="276"/>
  <c r="AV132" i="276"/>
  <c r="AU132" i="276"/>
  <c r="AT132" i="276"/>
  <c r="AS132" i="276"/>
  <c r="AR132" i="276"/>
  <c r="AY132" i="276"/>
  <c r="AX132" i="276"/>
  <c r="BA131" i="276"/>
  <c r="AZ131" i="276"/>
  <c r="AP134" i="276" l="1" a="1"/>
  <c r="AP134" i="276" s="1"/>
  <c r="AQ133" i="276"/>
  <c r="AW133" i="276"/>
  <c r="AV133" i="276"/>
  <c r="AU133" i="276"/>
  <c r="AT133" i="276"/>
  <c r="AS133" i="276"/>
  <c r="AR133" i="276"/>
  <c r="AY133" i="276"/>
  <c r="AX133" i="276"/>
  <c r="BA132" i="276"/>
  <c r="AZ132" i="276"/>
  <c r="AP135" i="276" l="1" a="1"/>
  <c r="AP135" i="276" s="1"/>
  <c r="AQ134" i="276"/>
  <c r="AW134" i="276"/>
  <c r="AV134" i="276"/>
  <c r="AU134" i="276"/>
  <c r="AT134" i="276"/>
  <c r="AS134" i="276"/>
  <c r="AR134" i="276"/>
  <c r="AY134" i="276"/>
  <c r="AX134" i="276"/>
  <c r="BA133" i="276"/>
  <c r="AZ133" i="276"/>
  <c r="AP136" i="276" l="1" a="1"/>
  <c r="AP136" i="276" s="1"/>
  <c r="AQ135" i="276"/>
  <c r="AW135" i="276"/>
  <c r="AV135" i="276"/>
  <c r="AU135" i="276"/>
  <c r="AT135" i="276"/>
  <c r="AS135" i="276"/>
  <c r="AR135" i="276"/>
  <c r="AY135" i="276"/>
  <c r="AX135" i="276"/>
  <c r="AZ134" i="276"/>
  <c r="BA134" i="276"/>
  <c r="AP137" i="276" l="1" a="1"/>
  <c r="AP137" i="276" s="1"/>
  <c r="AQ136" i="276"/>
  <c r="AW136" i="276"/>
  <c r="AV136" i="276"/>
  <c r="AU136" i="276"/>
  <c r="AT136" i="276"/>
  <c r="AS136" i="276"/>
  <c r="AR136" i="276"/>
  <c r="AY136" i="276"/>
  <c r="AX136" i="276"/>
  <c r="BA135" i="276"/>
  <c r="AZ135" i="276"/>
  <c r="AP138" i="276" l="1" a="1"/>
  <c r="AP138" i="276" s="1"/>
  <c r="AQ137" i="276"/>
  <c r="AW137" i="276"/>
  <c r="AV137" i="276"/>
  <c r="AU137" i="276"/>
  <c r="AT137" i="276"/>
  <c r="AS137" i="276"/>
  <c r="AR137" i="276"/>
  <c r="AY137" i="276"/>
  <c r="AX137" i="276"/>
  <c r="BA136" i="276"/>
  <c r="AZ136" i="276"/>
  <c r="AP139" i="276" l="1" a="1"/>
  <c r="AP139" i="276" s="1"/>
  <c r="AQ138" i="276"/>
  <c r="AW138" i="276"/>
  <c r="AV138" i="276"/>
  <c r="AU138" i="276"/>
  <c r="AT138" i="276"/>
  <c r="AS138" i="276"/>
  <c r="AR138" i="276"/>
  <c r="AY138" i="276"/>
  <c r="AX138" i="276"/>
  <c r="BA137" i="276"/>
  <c r="AZ137" i="276"/>
  <c r="AP140" i="276" l="1" a="1"/>
  <c r="AP140" i="276" s="1"/>
  <c r="AQ139" i="276"/>
  <c r="AW139" i="276"/>
  <c r="AV139" i="276"/>
  <c r="AU139" i="276"/>
  <c r="AT139" i="276"/>
  <c r="AS139" i="276"/>
  <c r="AR139" i="276"/>
  <c r="AY139" i="276"/>
  <c r="AX139" i="276"/>
  <c r="AZ138" i="276"/>
  <c r="BA138" i="276"/>
  <c r="AP141" i="276" l="1" a="1"/>
  <c r="AP141" i="276" s="1"/>
  <c r="AQ140" i="276"/>
  <c r="AW140" i="276"/>
  <c r="AV140" i="276"/>
  <c r="AU140" i="276"/>
  <c r="AT140" i="276"/>
  <c r="AS140" i="276"/>
  <c r="AR140" i="276"/>
  <c r="AY140" i="276"/>
  <c r="AX140" i="276"/>
  <c r="BA139" i="276"/>
  <c r="AZ139" i="276"/>
  <c r="AP142" i="276" l="1" a="1"/>
  <c r="AP142" i="276" s="1"/>
  <c r="AQ141" i="276"/>
  <c r="AW141" i="276"/>
  <c r="AV141" i="276"/>
  <c r="AU141" i="276"/>
  <c r="AT141" i="276"/>
  <c r="AS141" i="276"/>
  <c r="AR141" i="276"/>
  <c r="AY141" i="276"/>
  <c r="AX141" i="276"/>
  <c r="BA140" i="276"/>
  <c r="AZ140" i="276"/>
  <c r="AP143" i="276" l="1" a="1"/>
  <c r="AP143" i="276" s="1"/>
  <c r="AQ142" i="276"/>
  <c r="AW142" i="276"/>
  <c r="AV142" i="276"/>
  <c r="AU142" i="276"/>
  <c r="AT142" i="276"/>
  <c r="AS142" i="276"/>
  <c r="AR142" i="276"/>
  <c r="AY142" i="276"/>
  <c r="AX142" i="276"/>
  <c r="BA141" i="276"/>
  <c r="AZ141" i="276"/>
  <c r="AP144" i="276" l="1" a="1"/>
  <c r="AP144" i="276" s="1"/>
  <c r="AQ143" i="276"/>
  <c r="AW143" i="276"/>
  <c r="AV143" i="276"/>
  <c r="AU143" i="276"/>
  <c r="AT143" i="276"/>
  <c r="AS143" i="276"/>
  <c r="AR143" i="276"/>
  <c r="AY143" i="276"/>
  <c r="AX143" i="276"/>
  <c r="AZ142" i="276"/>
  <c r="BA142" i="276"/>
  <c r="AP145" i="276" l="1" a="1"/>
  <c r="AP145" i="276" s="1"/>
  <c r="AQ144" i="276"/>
  <c r="AW144" i="276"/>
  <c r="AV144" i="276"/>
  <c r="AU144" i="276"/>
  <c r="AT144" i="276"/>
  <c r="AS144" i="276"/>
  <c r="AR144" i="276"/>
  <c r="AY144" i="276"/>
  <c r="AX144" i="276"/>
  <c r="BA143" i="276"/>
  <c r="AZ143" i="276"/>
  <c r="AP146" i="276" l="1" a="1"/>
  <c r="AP146" i="276" s="1"/>
  <c r="AQ145" i="276"/>
  <c r="AW145" i="276"/>
  <c r="AV145" i="276"/>
  <c r="AU145" i="276"/>
  <c r="AT145" i="276"/>
  <c r="AS145" i="276"/>
  <c r="AR145" i="276"/>
  <c r="AY145" i="276"/>
  <c r="AX145" i="276"/>
  <c r="BA144" i="276"/>
  <c r="AZ144" i="276"/>
  <c r="AP147" i="276" l="1" a="1"/>
  <c r="AP147" i="276" s="1"/>
  <c r="AQ146" i="276"/>
  <c r="AW146" i="276"/>
  <c r="AV146" i="276"/>
  <c r="AU146" i="276"/>
  <c r="AT146" i="276"/>
  <c r="AS146" i="276"/>
  <c r="AR146" i="276"/>
  <c r="AY146" i="276"/>
  <c r="AX146" i="276"/>
  <c r="BA145" i="276"/>
  <c r="AZ145" i="276"/>
  <c r="AP148" i="276" l="1" a="1"/>
  <c r="AP148" i="276" s="1"/>
  <c r="AQ147" i="276"/>
  <c r="AW147" i="276"/>
  <c r="AV147" i="276"/>
  <c r="AU147" i="276"/>
  <c r="AT147" i="276"/>
  <c r="AS147" i="276"/>
  <c r="AR147" i="276"/>
  <c r="AY147" i="276"/>
  <c r="AX147" i="276"/>
  <c r="AZ146" i="276"/>
  <c r="BA146" i="276"/>
  <c r="AP149" i="276" l="1" a="1"/>
  <c r="AP149" i="276" s="1"/>
  <c r="AQ148" i="276"/>
  <c r="AW148" i="276"/>
  <c r="AV148" i="276"/>
  <c r="AU148" i="276"/>
  <c r="AT148" i="276"/>
  <c r="AS148" i="276"/>
  <c r="AR148" i="276"/>
  <c r="AY148" i="276"/>
  <c r="AX148" i="276"/>
  <c r="BA147" i="276"/>
  <c r="AZ147" i="276"/>
  <c r="AP150" i="276" l="1" a="1"/>
  <c r="AP150" i="276" s="1"/>
  <c r="AQ149" i="276"/>
  <c r="AW149" i="276"/>
  <c r="AV149" i="276"/>
  <c r="AU149" i="276"/>
  <c r="AT149" i="276"/>
  <c r="AS149" i="276"/>
  <c r="AR149" i="276"/>
  <c r="AY149" i="276"/>
  <c r="AX149" i="276"/>
  <c r="BA148" i="276"/>
  <c r="AZ148" i="276"/>
  <c r="AP151" i="276" l="1" a="1"/>
  <c r="AP151" i="276" s="1"/>
  <c r="AQ150" i="276"/>
  <c r="AW150" i="276"/>
  <c r="AV150" i="276"/>
  <c r="AU150" i="276"/>
  <c r="AT150" i="276"/>
  <c r="AS150" i="276"/>
  <c r="AR150" i="276"/>
  <c r="AY150" i="276"/>
  <c r="AX150" i="276"/>
  <c r="BA149" i="276"/>
  <c r="AZ149" i="276"/>
  <c r="AP152" i="276" l="1" a="1"/>
  <c r="AP152" i="276" s="1"/>
  <c r="AQ151" i="276"/>
  <c r="AW151" i="276"/>
  <c r="AV151" i="276"/>
  <c r="AU151" i="276"/>
  <c r="AT151" i="276"/>
  <c r="AS151" i="276"/>
  <c r="AR151" i="276"/>
  <c r="AY151" i="276"/>
  <c r="AX151" i="276"/>
  <c r="AZ150" i="276"/>
  <c r="BA150" i="276"/>
  <c r="AP153" i="276" l="1" a="1"/>
  <c r="AP153" i="276" s="1"/>
  <c r="AQ152" i="276"/>
  <c r="AW152" i="276"/>
  <c r="AV152" i="276"/>
  <c r="AU152" i="276"/>
  <c r="AT152" i="276"/>
  <c r="AS152" i="276"/>
  <c r="AR152" i="276"/>
  <c r="AY152" i="276"/>
  <c r="AX152" i="276"/>
  <c r="BA151" i="276"/>
  <c r="AZ151" i="276"/>
  <c r="AP154" i="276" l="1" a="1"/>
  <c r="AP154" i="276" s="1"/>
  <c r="AQ153" i="276"/>
  <c r="AW153" i="276"/>
  <c r="AV153" i="276"/>
  <c r="AU153" i="276"/>
  <c r="AT153" i="276"/>
  <c r="AS153" i="276"/>
  <c r="AR153" i="276"/>
  <c r="AY153" i="276"/>
  <c r="AX153" i="276"/>
  <c r="BA152" i="276"/>
  <c r="AZ152" i="276"/>
  <c r="AP155" i="276" l="1" a="1"/>
  <c r="AP155" i="276" s="1"/>
  <c r="AQ154" i="276"/>
  <c r="AW154" i="276"/>
  <c r="AV154" i="276"/>
  <c r="AU154" i="276"/>
  <c r="AT154" i="276"/>
  <c r="AS154" i="276"/>
  <c r="AR154" i="276"/>
  <c r="AY154" i="276"/>
  <c r="AX154" i="276"/>
  <c r="BA153" i="276"/>
  <c r="AZ153" i="276"/>
  <c r="AP156" i="276" l="1" a="1"/>
  <c r="AP156" i="276" s="1"/>
  <c r="AQ155" i="276"/>
  <c r="AW155" i="276"/>
  <c r="AV155" i="276"/>
  <c r="AU155" i="276"/>
  <c r="AT155" i="276"/>
  <c r="AS155" i="276"/>
  <c r="AR155" i="276"/>
  <c r="AY155" i="276"/>
  <c r="AX155" i="276"/>
  <c r="AZ154" i="276"/>
  <c r="BA154" i="276"/>
  <c r="AP157" i="276" l="1" a="1"/>
  <c r="AP157" i="276" s="1"/>
  <c r="AQ156" i="276"/>
  <c r="AW156" i="276"/>
  <c r="AV156" i="276"/>
  <c r="AU156" i="276"/>
  <c r="AT156" i="276"/>
  <c r="AS156" i="276"/>
  <c r="AR156" i="276"/>
  <c r="AY156" i="276"/>
  <c r="AX156" i="276"/>
  <c r="BA155" i="276"/>
  <c r="AZ155" i="276"/>
  <c r="AP158" i="276" l="1" a="1"/>
  <c r="AP158" i="276" s="1"/>
  <c r="AQ157" i="276"/>
  <c r="AW157" i="276"/>
  <c r="AV157" i="276"/>
  <c r="AU157" i="276"/>
  <c r="AT157" i="276"/>
  <c r="AS157" i="276"/>
  <c r="AR157" i="276"/>
  <c r="AY157" i="276"/>
  <c r="AX157" i="276"/>
  <c r="BA156" i="276"/>
  <c r="AZ156" i="276"/>
  <c r="AP159" i="276" l="1" a="1"/>
  <c r="AP159" i="276" s="1"/>
  <c r="AQ158" i="276"/>
  <c r="AW158" i="276"/>
  <c r="AV158" i="276"/>
  <c r="AU158" i="276"/>
  <c r="AT158" i="276"/>
  <c r="AS158" i="276"/>
  <c r="AR158" i="276"/>
  <c r="AY158" i="276"/>
  <c r="AX158" i="276"/>
  <c r="BA157" i="276"/>
  <c r="AZ157" i="276"/>
  <c r="AP160" i="276" l="1" a="1"/>
  <c r="AP160" i="276" s="1"/>
  <c r="AQ159" i="276"/>
  <c r="AW159" i="276"/>
  <c r="AV159" i="276"/>
  <c r="AU159" i="276"/>
  <c r="AT159" i="276"/>
  <c r="AS159" i="276"/>
  <c r="AR159" i="276"/>
  <c r="AY159" i="276"/>
  <c r="AX159" i="276"/>
  <c r="AZ158" i="276"/>
  <c r="BA158" i="276"/>
  <c r="AP161" i="276" l="1" a="1"/>
  <c r="AP161" i="276" s="1"/>
  <c r="AQ160" i="276"/>
  <c r="AW160" i="276"/>
  <c r="AV160" i="276"/>
  <c r="AU160" i="276"/>
  <c r="AT160" i="276"/>
  <c r="AS160" i="276"/>
  <c r="AR160" i="276"/>
  <c r="AY160" i="276"/>
  <c r="AX160" i="276"/>
  <c r="BA159" i="276"/>
  <c r="AZ159" i="276"/>
  <c r="AP162" i="276" l="1" a="1"/>
  <c r="AP162" i="276" s="1"/>
  <c r="AQ161" i="276"/>
  <c r="AW161" i="276"/>
  <c r="AV161" i="276"/>
  <c r="AU161" i="276"/>
  <c r="AT161" i="276"/>
  <c r="AS161" i="276"/>
  <c r="AR161" i="276"/>
  <c r="AY161" i="276"/>
  <c r="AX161" i="276"/>
  <c r="BA160" i="276"/>
  <c r="AZ160" i="276"/>
  <c r="AP163" i="276" l="1" a="1"/>
  <c r="AP163" i="276" s="1"/>
  <c r="AQ162" i="276"/>
  <c r="AW162" i="276"/>
  <c r="AV162" i="276"/>
  <c r="AU162" i="276"/>
  <c r="AT162" i="276"/>
  <c r="AS162" i="276"/>
  <c r="AR162" i="276"/>
  <c r="AY162" i="276"/>
  <c r="AX162" i="276"/>
  <c r="BA161" i="276"/>
  <c r="AZ161" i="276"/>
  <c r="AP164" i="276" l="1" a="1"/>
  <c r="AP164" i="276" s="1"/>
  <c r="AQ163" i="276"/>
  <c r="AW163" i="276"/>
  <c r="AV163" i="276"/>
  <c r="AU163" i="276"/>
  <c r="AT163" i="276"/>
  <c r="AS163" i="276"/>
  <c r="AR163" i="276"/>
  <c r="AY163" i="276"/>
  <c r="AX163" i="276"/>
  <c r="AZ162" i="276"/>
  <c r="BA162" i="276"/>
  <c r="AP165" i="276" l="1" a="1"/>
  <c r="AP165" i="276" s="1"/>
  <c r="AQ164" i="276"/>
  <c r="AW164" i="276"/>
  <c r="AV164" i="276"/>
  <c r="AU164" i="276"/>
  <c r="AT164" i="276"/>
  <c r="AS164" i="276"/>
  <c r="AR164" i="276"/>
  <c r="AY164" i="276"/>
  <c r="AX164" i="276"/>
  <c r="BA163" i="276"/>
  <c r="AZ163" i="276"/>
  <c r="AP166" i="276" l="1" a="1"/>
  <c r="AP166" i="276" s="1"/>
  <c r="AQ165" i="276"/>
  <c r="AW165" i="276"/>
  <c r="AV165" i="276"/>
  <c r="AU165" i="276"/>
  <c r="AT165" i="276"/>
  <c r="AS165" i="276"/>
  <c r="AR165" i="276"/>
  <c r="AY165" i="276"/>
  <c r="AX165" i="276"/>
  <c r="BA164" i="276"/>
  <c r="AZ164" i="276"/>
  <c r="AP167" i="276" l="1" a="1"/>
  <c r="AP167" i="276" s="1"/>
  <c r="AQ166" i="276"/>
  <c r="AW166" i="276"/>
  <c r="AV166" i="276"/>
  <c r="AU166" i="276"/>
  <c r="AT166" i="276"/>
  <c r="AS166" i="276"/>
  <c r="AR166" i="276"/>
  <c r="AY166" i="276"/>
  <c r="AX166" i="276"/>
  <c r="BA165" i="276"/>
  <c r="AZ165" i="276"/>
  <c r="AP168" i="276" l="1" a="1"/>
  <c r="AP168" i="276" s="1"/>
  <c r="AQ167" i="276"/>
  <c r="AW167" i="276"/>
  <c r="AV167" i="276"/>
  <c r="AU167" i="276"/>
  <c r="AT167" i="276"/>
  <c r="AS167" i="276"/>
  <c r="AR167" i="276"/>
  <c r="AY167" i="276"/>
  <c r="AX167" i="276"/>
  <c r="AZ166" i="276"/>
  <c r="BA166" i="276"/>
  <c r="AP169" i="276" l="1" a="1"/>
  <c r="AP169" i="276" s="1"/>
  <c r="AQ168" i="276"/>
  <c r="AW168" i="276"/>
  <c r="AV168" i="276"/>
  <c r="AU168" i="276"/>
  <c r="AT168" i="276"/>
  <c r="AS168" i="276"/>
  <c r="AR168" i="276"/>
  <c r="AY168" i="276"/>
  <c r="AX168" i="276"/>
  <c r="BA167" i="276"/>
  <c r="AZ167" i="276"/>
  <c r="AP170" i="276" l="1" a="1"/>
  <c r="AP170" i="276" s="1"/>
  <c r="AQ169" i="276"/>
  <c r="AW169" i="276"/>
  <c r="AV169" i="276"/>
  <c r="AU169" i="276"/>
  <c r="AT169" i="276"/>
  <c r="AS169" i="276"/>
  <c r="AR169" i="276"/>
  <c r="AY169" i="276"/>
  <c r="AX169" i="276"/>
  <c r="BA168" i="276"/>
  <c r="AZ168" i="276"/>
  <c r="AP171" i="276" l="1" a="1"/>
  <c r="AP171" i="276" s="1"/>
  <c r="AQ170" i="276"/>
  <c r="AW170" i="276"/>
  <c r="AV170" i="276"/>
  <c r="AU170" i="276"/>
  <c r="AT170" i="276"/>
  <c r="AS170" i="276"/>
  <c r="AR170" i="276"/>
  <c r="AY170" i="276"/>
  <c r="AX170" i="276"/>
  <c r="BA169" i="276"/>
  <c r="AZ169" i="276"/>
  <c r="AP172" i="276" l="1" a="1"/>
  <c r="AP172" i="276" s="1"/>
  <c r="AQ171" i="276"/>
  <c r="AW171" i="276"/>
  <c r="AV171" i="276"/>
  <c r="AU171" i="276"/>
  <c r="AT171" i="276"/>
  <c r="AS171" i="276"/>
  <c r="AR171" i="276"/>
  <c r="AY171" i="276"/>
  <c r="AX171" i="276"/>
  <c r="AZ170" i="276"/>
  <c r="BA170" i="276"/>
  <c r="AP173" i="276" l="1" a="1"/>
  <c r="AP173" i="276" s="1"/>
  <c r="AQ172" i="276"/>
  <c r="AW172" i="276"/>
  <c r="AV172" i="276"/>
  <c r="AU172" i="276"/>
  <c r="AT172" i="276"/>
  <c r="AS172" i="276"/>
  <c r="AR172" i="276"/>
  <c r="AY172" i="276"/>
  <c r="AX172" i="276"/>
  <c r="BA171" i="276"/>
  <c r="AZ171" i="276"/>
  <c r="AP174" i="276" l="1" a="1"/>
  <c r="AP174" i="276" s="1"/>
  <c r="AQ173" i="276"/>
  <c r="AW173" i="276"/>
  <c r="AV173" i="276"/>
  <c r="AU173" i="276"/>
  <c r="AT173" i="276"/>
  <c r="AS173" i="276"/>
  <c r="AR173" i="276"/>
  <c r="AY173" i="276"/>
  <c r="AX173" i="276"/>
  <c r="BA172" i="276"/>
  <c r="AZ172" i="276"/>
  <c r="AP175" i="276" l="1" a="1"/>
  <c r="AP175" i="276" s="1"/>
  <c r="AQ174" i="276"/>
  <c r="AW174" i="276"/>
  <c r="AV174" i="276"/>
  <c r="AU174" i="276"/>
  <c r="AT174" i="276"/>
  <c r="AS174" i="276"/>
  <c r="AR174" i="276"/>
  <c r="AY174" i="276"/>
  <c r="AX174" i="276"/>
  <c r="BA173" i="276"/>
  <c r="AZ173" i="276"/>
  <c r="AP176" i="276" l="1" a="1"/>
  <c r="AP176" i="276" s="1"/>
  <c r="AQ175" i="276"/>
  <c r="AW175" i="276"/>
  <c r="AV175" i="276"/>
  <c r="AU175" i="276"/>
  <c r="AT175" i="276"/>
  <c r="AS175" i="276"/>
  <c r="AR175" i="276"/>
  <c r="AY175" i="276"/>
  <c r="AX175" i="276"/>
  <c r="AZ174" i="276"/>
  <c r="BA174" i="276"/>
  <c r="AP177" i="276" l="1" a="1"/>
  <c r="AP177" i="276" s="1"/>
  <c r="AQ176" i="276"/>
  <c r="AW176" i="276"/>
  <c r="AV176" i="276"/>
  <c r="AU176" i="276"/>
  <c r="AT176" i="276"/>
  <c r="AS176" i="276"/>
  <c r="AR176" i="276"/>
  <c r="AY176" i="276"/>
  <c r="AX176" i="276"/>
  <c r="BA175" i="276"/>
  <c r="AZ175" i="276"/>
  <c r="AP178" i="276" l="1" a="1"/>
  <c r="AP178" i="276" s="1"/>
  <c r="AQ177" i="276"/>
  <c r="AW177" i="276"/>
  <c r="AV177" i="276"/>
  <c r="AU177" i="276"/>
  <c r="AT177" i="276"/>
  <c r="AS177" i="276"/>
  <c r="AR177" i="276"/>
  <c r="AY177" i="276"/>
  <c r="AX177" i="276"/>
  <c r="BA176" i="276"/>
  <c r="AZ176" i="276"/>
  <c r="AP179" i="276" l="1" a="1"/>
  <c r="AP179" i="276" s="1"/>
  <c r="AQ178" i="276"/>
  <c r="AW178" i="276"/>
  <c r="AV178" i="276"/>
  <c r="AU178" i="276"/>
  <c r="AT178" i="276"/>
  <c r="AS178" i="276"/>
  <c r="AR178" i="276"/>
  <c r="AY178" i="276"/>
  <c r="AX178" i="276"/>
  <c r="BA177" i="276"/>
  <c r="AZ177" i="276"/>
  <c r="AP180" i="276" l="1" a="1"/>
  <c r="AP180" i="276" s="1"/>
  <c r="AQ179" i="276"/>
  <c r="AW179" i="276"/>
  <c r="AV179" i="276"/>
  <c r="AU179" i="276"/>
  <c r="AT179" i="276"/>
  <c r="AS179" i="276"/>
  <c r="AR179" i="276"/>
  <c r="AY179" i="276"/>
  <c r="AX179" i="276"/>
  <c r="AZ178" i="276"/>
  <c r="BA178" i="276"/>
  <c r="AP181" i="276" l="1" a="1"/>
  <c r="AP181" i="276" s="1"/>
  <c r="AQ180" i="276"/>
  <c r="AW180" i="276"/>
  <c r="AV180" i="276"/>
  <c r="AU180" i="276"/>
  <c r="AT180" i="276"/>
  <c r="AS180" i="276"/>
  <c r="AR180" i="276"/>
  <c r="AY180" i="276"/>
  <c r="AX180" i="276"/>
  <c r="BA179" i="276"/>
  <c r="AZ179" i="276"/>
  <c r="AP182" i="276" l="1" a="1"/>
  <c r="AP182" i="276" s="1"/>
  <c r="AQ181" i="276"/>
  <c r="AW181" i="276"/>
  <c r="AV181" i="276"/>
  <c r="AU181" i="276"/>
  <c r="AT181" i="276"/>
  <c r="AS181" i="276"/>
  <c r="AR181" i="276"/>
  <c r="AY181" i="276"/>
  <c r="AX181" i="276"/>
  <c r="BA180" i="276"/>
  <c r="AZ180" i="276"/>
  <c r="AP183" i="276" l="1" a="1"/>
  <c r="AP183" i="276" s="1"/>
  <c r="AQ182" i="276"/>
  <c r="AW182" i="276"/>
  <c r="AV182" i="276"/>
  <c r="AU182" i="276"/>
  <c r="AT182" i="276"/>
  <c r="AS182" i="276"/>
  <c r="AR182" i="276"/>
  <c r="AY182" i="276"/>
  <c r="AX182" i="276"/>
  <c r="BA181" i="276"/>
  <c r="AZ181" i="276"/>
  <c r="AP184" i="276" l="1" a="1"/>
  <c r="AP184" i="276" s="1"/>
  <c r="AQ183" i="276"/>
  <c r="AW183" i="276"/>
  <c r="AV183" i="276"/>
  <c r="AU183" i="276"/>
  <c r="AT183" i="276"/>
  <c r="AS183" i="276"/>
  <c r="AR183" i="276"/>
  <c r="AY183" i="276"/>
  <c r="AX183" i="276"/>
  <c r="AZ182" i="276"/>
  <c r="BA182" i="276"/>
  <c r="AP185" i="276" l="1" a="1"/>
  <c r="AP185" i="276" s="1"/>
  <c r="AQ184" i="276"/>
  <c r="AW184" i="276"/>
  <c r="AV184" i="276"/>
  <c r="AU184" i="276"/>
  <c r="AT184" i="276"/>
  <c r="AS184" i="276"/>
  <c r="AR184" i="276"/>
  <c r="AY184" i="276"/>
  <c r="AX184" i="276"/>
  <c r="BA183" i="276"/>
  <c r="AZ183" i="276"/>
  <c r="AP186" i="276" l="1" a="1"/>
  <c r="AP186" i="276" s="1"/>
  <c r="AQ185" i="276"/>
  <c r="AW185" i="276"/>
  <c r="AV185" i="276"/>
  <c r="AU185" i="276"/>
  <c r="AT185" i="276"/>
  <c r="AS185" i="276"/>
  <c r="AR185" i="276"/>
  <c r="AY185" i="276"/>
  <c r="AX185" i="276"/>
  <c r="BA184" i="276"/>
  <c r="AZ184" i="276"/>
  <c r="AP187" i="276" l="1" a="1"/>
  <c r="AP187" i="276" s="1"/>
  <c r="AQ186" i="276"/>
  <c r="AY186" i="276"/>
  <c r="AW186" i="276"/>
  <c r="AV186" i="276"/>
  <c r="AU186" i="276"/>
  <c r="AT186" i="276"/>
  <c r="AS186" i="276"/>
  <c r="AR186" i="276"/>
  <c r="AX186" i="276"/>
  <c r="BA185" i="276"/>
  <c r="AZ185" i="276"/>
  <c r="AP188" i="276" l="1" a="1"/>
  <c r="AP188" i="276" s="1"/>
  <c r="AQ187" i="276"/>
  <c r="AY187" i="276"/>
  <c r="AX187" i="276"/>
  <c r="AW187" i="276"/>
  <c r="AV187" i="276"/>
  <c r="AU187" i="276"/>
  <c r="AT187" i="276"/>
  <c r="AS187" i="276"/>
  <c r="AR187" i="276"/>
  <c r="AZ186" i="276"/>
  <c r="BA186" i="276"/>
  <c r="AP189" i="276" l="1" a="1"/>
  <c r="AP189" i="276" s="1"/>
  <c r="AQ188" i="276"/>
  <c r="AY188" i="276"/>
  <c r="AX188" i="276"/>
  <c r="AW188" i="276"/>
  <c r="AV188" i="276"/>
  <c r="AU188" i="276"/>
  <c r="AT188" i="276"/>
  <c r="AS188" i="276"/>
  <c r="AR188" i="276"/>
  <c r="BA187" i="276"/>
  <c r="AZ187" i="276"/>
  <c r="AP190" i="276" l="1" a="1"/>
  <c r="AP190" i="276" s="1"/>
  <c r="AQ189" i="276"/>
  <c r="AY189" i="276"/>
  <c r="AX189" i="276"/>
  <c r="AW189" i="276"/>
  <c r="AV189" i="276"/>
  <c r="AU189" i="276"/>
  <c r="AT189" i="276"/>
  <c r="AS189" i="276"/>
  <c r="AR189" i="276"/>
  <c r="BA188" i="276"/>
  <c r="AZ188" i="276"/>
  <c r="AP191" i="276" l="1" a="1"/>
  <c r="AP191" i="276" s="1"/>
  <c r="AQ190" i="276"/>
  <c r="AY190" i="276"/>
  <c r="AX190" i="276"/>
  <c r="AW190" i="276"/>
  <c r="AV190" i="276"/>
  <c r="AU190" i="276"/>
  <c r="AT190" i="276"/>
  <c r="AR190" i="276"/>
  <c r="AS190" i="276"/>
  <c r="BA189" i="276"/>
  <c r="AZ189" i="276"/>
  <c r="AP192" i="276" l="1" a="1"/>
  <c r="AP192" i="276" s="1"/>
  <c r="AQ191" i="276"/>
  <c r="AY191" i="276"/>
  <c r="AX191" i="276"/>
  <c r="AW191" i="276"/>
  <c r="AV191" i="276"/>
  <c r="AU191" i="276"/>
  <c r="AT191" i="276"/>
  <c r="AS191" i="276"/>
  <c r="AR191" i="276"/>
  <c r="AZ190" i="276"/>
  <c r="BA190" i="276"/>
  <c r="AP193" i="276" l="1" a="1"/>
  <c r="AP193" i="276" s="1"/>
  <c r="AQ192" i="276"/>
  <c r="AY192" i="276"/>
  <c r="AX192" i="276"/>
  <c r="AW192" i="276"/>
  <c r="AV192" i="276"/>
  <c r="AU192" i="276"/>
  <c r="AT192" i="276"/>
  <c r="AS192" i="276"/>
  <c r="AR192" i="276"/>
  <c r="BA191" i="276"/>
  <c r="AZ191" i="276"/>
  <c r="AP194" i="276" l="1" a="1"/>
  <c r="AP194" i="276" s="1"/>
  <c r="AQ193" i="276"/>
  <c r="AY193" i="276"/>
  <c r="AX193" i="276"/>
  <c r="AW193" i="276"/>
  <c r="AV193" i="276"/>
  <c r="AU193" i="276"/>
  <c r="AT193" i="276"/>
  <c r="AS193" i="276"/>
  <c r="AR193" i="276"/>
  <c r="BA192" i="276"/>
  <c r="AZ192" i="276"/>
  <c r="AP195" i="276" l="1" a="1"/>
  <c r="AP195" i="276" s="1"/>
  <c r="AQ194" i="276"/>
  <c r="AY194" i="276"/>
  <c r="AX194" i="276"/>
  <c r="AW194" i="276"/>
  <c r="AV194" i="276"/>
  <c r="AU194" i="276"/>
  <c r="AT194" i="276"/>
  <c r="AR194" i="276"/>
  <c r="AS194" i="276"/>
  <c r="BA193" i="276"/>
  <c r="AZ193" i="276"/>
  <c r="AP196" i="276" l="1" a="1"/>
  <c r="AP196" i="276" s="1"/>
  <c r="AQ195" i="276"/>
  <c r="AY195" i="276"/>
  <c r="AX195" i="276"/>
  <c r="AW195" i="276"/>
  <c r="AV195" i="276"/>
  <c r="AU195" i="276"/>
  <c r="AT195" i="276"/>
  <c r="AS195" i="276"/>
  <c r="AR195" i="276"/>
  <c r="AZ194" i="276"/>
  <c r="BA194" i="276"/>
  <c r="AP197" i="276" l="1" a="1"/>
  <c r="AP197" i="276" s="1"/>
  <c r="AQ196" i="276"/>
  <c r="AY196" i="276"/>
  <c r="AX196" i="276"/>
  <c r="AW196" i="276"/>
  <c r="AV196" i="276"/>
  <c r="AU196" i="276"/>
  <c r="AT196" i="276"/>
  <c r="AS196" i="276"/>
  <c r="AR196" i="276"/>
  <c r="BA195" i="276"/>
  <c r="AZ195" i="276"/>
  <c r="AP198" i="276" l="1" a="1"/>
  <c r="AP198" i="276" s="1"/>
  <c r="AQ197" i="276"/>
  <c r="AY197" i="276"/>
  <c r="AX197" i="276"/>
  <c r="AW197" i="276"/>
  <c r="AV197" i="276"/>
  <c r="AU197" i="276"/>
  <c r="AT197" i="276"/>
  <c r="AS197" i="276"/>
  <c r="AR197" i="276"/>
  <c r="BA196" i="276"/>
  <c r="AZ196" i="276"/>
  <c r="AP199" i="276" l="1" a="1"/>
  <c r="AP199" i="276" s="1"/>
  <c r="AQ198" i="276"/>
  <c r="AY198" i="276"/>
  <c r="AX198" i="276"/>
  <c r="AW198" i="276"/>
  <c r="AV198" i="276"/>
  <c r="AU198" i="276"/>
  <c r="AT198" i="276"/>
  <c r="AR198" i="276"/>
  <c r="AS198" i="276"/>
  <c r="BA197" i="276"/>
  <c r="AZ197" i="276"/>
  <c r="AP200" i="276" l="1" a="1"/>
  <c r="AP200" i="276" s="1"/>
  <c r="AQ199" i="276"/>
  <c r="AY199" i="276"/>
  <c r="AX199" i="276"/>
  <c r="AW199" i="276"/>
  <c r="AV199" i="276"/>
  <c r="AU199" i="276"/>
  <c r="AT199" i="276"/>
  <c r="AS199" i="276"/>
  <c r="AR199" i="276"/>
  <c r="AZ198" i="276"/>
  <c r="BA198" i="276"/>
  <c r="AP201" i="276" l="1" a="1"/>
  <c r="AP201" i="276" s="1"/>
  <c r="AQ200" i="276"/>
  <c r="AY200" i="276"/>
  <c r="AX200" i="276"/>
  <c r="AW200" i="276"/>
  <c r="AV200" i="276"/>
  <c r="AU200" i="276"/>
  <c r="AT200" i="276"/>
  <c r="AS200" i="276"/>
  <c r="AR200" i="276"/>
  <c r="BA199" i="276"/>
  <c r="AZ199" i="276"/>
  <c r="AP202" i="276" l="1" a="1"/>
  <c r="AP202" i="276" s="1"/>
  <c r="AQ201" i="276"/>
  <c r="AY201" i="276"/>
  <c r="AX201" i="276"/>
  <c r="AW201" i="276"/>
  <c r="AV201" i="276"/>
  <c r="AU201" i="276"/>
  <c r="AT201" i="276"/>
  <c r="AS201" i="276"/>
  <c r="AR201" i="276"/>
  <c r="BA200" i="276"/>
  <c r="AZ200" i="276"/>
  <c r="AP203" i="276" l="1" a="1"/>
  <c r="AP203" i="276" s="1"/>
  <c r="AQ202" i="276"/>
  <c r="AY202" i="276"/>
  <c r="AX202" i="276"/>
  <c r="AW202" i="276"/>
  <c r="AV202" i="276"/>
  <c r="AU202" i="276"/>
  <c r="AT202" i="276"/>
  <c r="AR202" i="276"/>
  <c r="AS202" i="276"/>
  <c r="BA201" i="276"/>
  <c r="AZ201" i="276"/>
  <c r="AP204" i="276" l="1" a="1"/>
  <c r="AP204" i="276" s="1"/>
  <c r="AQ203" i="276"/>
  <c r="AY203" i="276"/>
  <c r="AX203" i="276"/>
  <c r="AW203" i="276"/>
  <c r="AV203" i="276"/>
  <c r="AU203" i="276"/>
  <c r="AT203" i="276"/>
  <c r="AS203" i="276"/>
  <c r="AR203" i="276"/>
  <c r="AZ202" i="276"/>
  <c r="BA202" i="276"/>
  <c r="AP205" i="276" l="1" a="1"/>
  <c r="AP205" i="276" s="1"/>
  <c r="AQ204" i="276"/>
  <c r="AY204" i="276"/>
  <c r="AX204" i="276"/>
  <c r="AW204" i="276"/>
  <c r="AV204" i="276"/>
  <c r="AU204" i="276"/>
  <c r="AT204" i="276"/>
  <c r="AS204" i="276"/>
  <c r="AR204" i="276"/>
  <c r="BA203" i="276"/>
  <c r="AZ203" i="276"/>
  <c r="AP206" i="276" l="1" a="1"/>
  <c r="AP206" i="276" s="1"/>
  <c r="AQ205" i="276"/>
  <c r="AY205" i="276"/>
  <c r="AX205" i="276"/>
  <c r="AW205" i="276"/>
  <c r="AV205" i="276"/>
  <c r="AU205" i="276"/>
  <c r="AT205" i="276"/>
  <c r="AS205" i="276"/>
  <c r="AR205" i="276"/>
  <c r="BA204" i="276"/>
  <c r="AZ204" i="276"/>
  <c r="AP207" i="276" l="1" a="1"/>
  <c r="AP207" i="276" s="1"/>
  <c r="AQ206" i="276"/>
  <c r="AY206" i="276"/>
  <c r="AX206" i="276"/>
  <c r="AW206" i="276"/>
  <c r="AV206" i="276"/>
  <c r="AU206" i="276"/>
  <c r="AT206" i="276"/>
  <c r="AR206" i="276"/>
  <c r="AS206" i="276"/>
  <c r="BA205" i="276"/>
  <c r="AZ205" i="276"/>
  <c r="AP208" i="276" l="1" a="1"/>
  <c r="AP208" i="276" s="1"/>
  <c r="AQ207" i="276"/>
  <c r="AY207" i="276"/>
  <c r="AX207" i="276"/>
  <c r="AW207" i="276"/>
  <c r="AV207" i="276"/>
  <c r="AU207" i="276"/>
  <c r="AT207" i="276"/>
  <c r="AS207" i="276"/>
  <c r="AR207" i="276"/>
  <c r="AZ206" i="276"/>
  <c r="BA206" i="276"/>
  <c r="AP209" i="276" l="1" a="1"/>
  <c r="AP209" i="276" s="1"/>
  <c r="AQ208" i="276"/>
  <c r="AY208" i="276"/>
  <c r="AX208" i="276"/>
  <c r="AW208" i="276"/>
  <c r="AV208" i="276"/>
  <c r="AU208" i="276"/>
  <c r="AT208" i="276"/>
  <c r="AS208" i="276"/>
  <c r="AR208" i="276"/>
  <c r="BA207" i="276"/>
  <c r="AZ207" i="276"/>
  <c r="AP210" i="276" l="1" a="1"/>
  <c r="AP210" i="276" s="1"/>
  <c r="AQ209" i="276"/>
  <c r="AY209" i="276"/>
  <c r="AX209" i="276"/>
  <c r="AW209" i="276"/>
  <c r="AV209" i="276"/>
  <c r="AU209" i="276"/>
  <c r="AT209" i="276"/>
  <c r="AS209" i="276"/>
  <c r="AR209" i="276"/>
  <c r="BA208" i="276"/>
  <c r="AZ208" i="276"/>
  <c r="AP211" i="276" l="1" a="1"/>
  <c r="AP211" i="276" s="1"/>
  <c r="AQ210" i="276"/>
  <c r="AY210" i="276"/>
  <c r="AX210" i="276"/>
  <c r="AW210" i="276"/>
  <c r="AV210" i="276"/>
  <c r="AU210" i="276"/>
  <c r="AT210" i="276"/>
  <c r="AS210" i="276"/>
  <c r="AR210" i="276"/>
  <c r="BA209" i="276"/>
  <c r="AZ209" i="276"/>
  <c r="AP212" i="276" l="1" a="1"/>
  <c r="AP212" i="276" s="1"/>
  <c r="AQ211" i="276"/>
  <c r="AY211" i="276"/>
  <c r="AX211" i="276"/>
  <c r="AW211" i="276"/>
  <c r="AV211" i="276"/>
  <c r="AU211" i="276"/>
  <c r="AT211" i="276"/>
  <c r="AS211" i="276"/>
  <c r="AR211" i="276"/>
  <c r="AZ210" i="276"/>
  <c r="BA210" i="276"/>
  <c r="AP213" i="276" l="1" a="1"/>
  <c r="AP213" i="276" s="1"/>
  <c r="AQ212" i="276"/>
  <c r="AY212" i="276"/>
  <c r="AX212" i="276"/>
  <c r="AW212" i="276"/>
  <c r="AV212" i="276"/>
  <c r="AU212" i="276"/>
  <c r="AT212" i="276"/>
  <c r="AS212" i="276"/>
  <c r="AR212" i="276"/>
  <c r="BA211" i="276"/>
  <c r="AZ211" i="276"/>
  <c r="AP214" i="276" l="1" a="1"/>
  <c r="AP214" i="276" s="1"/>
  <c r="AQ213" i="276"/>
  <c r="AY213" i="276"/>
  <c r="AX213" i="276"/>
  <c r="AW213" i="276"/>
  <c r="AV213" i="276"/>
  <c r="AU213" i="276"/>
  <c r="AT213" i="276"/>
  <c r="AS213" i="276"/>
  <c r="AR213" i="276"/>
  <c r="BA212" i="276"/>
  <c r="AZ212" i="276"/>
  <c r="AP216" i="276" l="1" a="1"/>
  <c r="AP216" i="276" s="1"/>
  <c r="AQ214" i="276"/>
  <c r="AY214" i="276"/>
  <c r="AX214" i="276"/>
  <c r="AW214" i="276"/>
  <c r="AV214" i="276"/>
  <c r="AU214" i="276"/>
  <c r="AT214" i="276"/>
  <c r="AS214" i="276"/>
  <c r="AR214" i="276"/>
  <c r="BA213" i="276"/>
  <c r="AZ213" i="276"/>
  <c r="AP217" i="276" l="1" a="1"/>
  <c r="AP217" i="276" s="1"/>
  <c r="AQ216" i="276"/>
  <c r="AY216" i="276"/>
  <c r="AX216" i="276"/>
  <c r="AW216" i="276"/>
  <c r="AV216" i="276"/>
  <c r="AU216" i="276"/>
  <c r="AT216" i="276"/>
  <c r="AS216" i="276"/>
  <c r="AR216" i="276"/>
  <c r="AZ214" i="276"/>
  <c r="BA214" i="276"/>
  <c r="AP218" i="276" l="1" a="1"/>
  <c r="AP218" i="276" s="1"/>
  <c r="AQ217" i="276"/>
  <c r="AY217" i="276"/>
  <c r="AX217" i="276"/>
  <c r="AW217" i="276"/>
  <c r="AV217" i="276"/>
  <c r="AU217" i="276"/>
  <c r="AT217" i="276"/>
  <c r="AS217" i="276"/>
  <c r="AR217" i="276"/>
  <c r="BA216" i="276"/>
  <c r="AZ216" i="276"/>
  <c r="AP219" i="276" l="1" a="1"/>
  <c r="AP219" i="276" s="1"/>
  <c r="AQ218" i="276"/>
  <c r="AY218" i="276"/>
  <c r="AX218" i="276"/>
  <c r="AW218" i="276"/>
  <c r="AV218" i="276"/>
  <c r="AU218" i="276"/>
  <c r="AT218" i="276"/>
  <c r="AS218" i="276"/>
  <c r="AR218" i="276"/>
  <c r="BA217" i="276"/>
  <c r="AZ217" i="276"/>
  <c r="AP220" i="276" l="1" a="1"/>
  <c r="AP220" i="276" s="1"/>
  <c r="AQ219" i="276"/>
  <c r="AY219" i="276"/>
  <c r="AX219" i="276"/>
  <c r="AW219" i="276"/>
  <c r="AV219" i="276"/>
  <c r="AU219" i="276"/>
  <c r="AT219" i="276"/>
  <c r="AS219" i="276"/>
  <c r="AR219" i="276"/>
  <c r="BA218" i="276"/>
  <c r="AZ218" i="276"/>
  <c r="AP221" i="276" l="1" a="1"/>
  <c r="AP221" i="276" s="1"/>
  <c r="AQ220" i="276"/>
  <c r="AY220" i="276"/>
  <c r="AX220" i="276"/>
  <c r="AW220" i="276"/>
  <c r="AV220" i="276"/>
  <c r="AU220" i="276"/>
  <c r="AT220" i="276"/>
  <c r="AS220" i="276"/>
  <c r="AR220" i="276"/>
  <c r="AZ219" i="276"/>
  <c r="BA219" i="276"/>
  <c r="AP222" i="276" l="1" a="1"/>
  <c r="AP222" i="276" s="1"/>
  <c r="AQ221" i="276"/>
  <c r="AY221" i="276"/>
  <c r="AX221" i="276"/>
  <c r="AW221" i="276"/>
  <c r="AV221" i="276"/>
  <c r="AU221" i="276"/>
  <c r="AT221" i="276"/>
  <c r="AS221" i="276"/>
  <c r="AR221" i="276"/>
  <c r="BA220" i="276"/>
  <c r="AZ220" i="276"/>
  <c r="AP223" i="276" l="1" a="1"/>
  <c r="AP223" i="276" s="1"/>
  <c r="AQ222" i="276"/>
  <c r="AY222" i="276"/>
  <c r="AX222" i="276"/>
  <c r="AW222" i="276"/>
  <c r="AV222" i="276"/>
  <c r="AU222" i="276"/>
  <c r="AT222" i="276"/>
  <c r="AS222" i="276"/>
  <c r="AR222" i="276"/>
  <c r="BA221" i="276"/>
  <c r="AZ221" i="276"/>
  <c r="AP224" i="276" l="1" a="1"/>
  <c r="AP224" i="276" s="1"/>
  <c r="AQ223" i="276"/>
  <c r="AY223" i="276"/>
  <c r="AX223" i="276"/>
  <c r="AW223" i="276"/>
  <c r="AV223" i="276"/>
  <c r="AU223" i="276"/>
  <c r="AT223" i="276"/>
  <c r="AS223" i="276"/>
  <c r="AR223" i="276"/>
  <c r="BA222" i="276"/>
  <c r="AZ222" i="276"/>
  <c r="AP225" i="276" l="1" a="1"/>
  <c r="AP225" i="276" s="1"/>
  <c r="AQ224" i="276"/>
  <c r="AY224" i="276"/>
  <c r="AX224" i="276"/>
  <c r="AW224" i="276"/>
  <c r="AV224" i="276"/>
  <c r="AU224" i="276"/>
  <c r="AT224" i="276"/>
  <c r="AS224" i="276"/>
  <c r="AR224" i="276"/>
  <c r="AZ223" i="276"/>
  <c r="BA223" i="276"/>
  <c r="AP226" i="276" l="1" a="1"/>
  <c r="AP226" i="276" s="1"/>
  <c r="AQ225" i="276"/>
  <c r="AY225" i="276"/>
  <c r="AX225" i="276"/>
  <c r="AW225" i="276"/>
  <c r="AV225" i="276"/>
  <c r="AU225" i="276"/>
  <c r="AT225" i="276"/>
  <c r="AS225" i="276"/>
  <c r="AR225" i="276"/>
  <c r="BA224" i="276"/>
  <c r="AZ224" i="276"/>
  <c r="C7" i="277" l="1"/>
  <c r="C15" i="277"/>
  <c r="C13" i="277"/>
  <c r="C14" i="277"/>
  <c r="C9" i="277"/>
  <c r="C6" i="277"/>
  <c r="K6" i="277" s="1"/>
  <c r="C12" i="277"/>
  <c r="K13" i="277" s="1"/>
  <c r="C8" i="277"/>
  <c r="AP227" i="276" a="1"/>
  <c r="AP227" i="276" s="1"/>
  <c r="AQ226" i="276"/>
  <c r="AY226" i="276"/>
  <c r="AX226" i="276"/>
  <c r="AW226" i="276"/>
  <c r="AV226" i="276"/>
  <c r="AU226" i="276"/>
  <c r="AT226" i="276"/>
  <c r="AS226" i="276"/>
  <c r="AR226" i="276"/>
  <c r="BA225" i="276"/>
  <c r="AZ225" i="276"/>
  <c r="F116" i="276"/>
  <c r="H148" i="276"/>
  <c r="F100" i="276"/>
  <c r="G99" i="276"/>
  <c r="F148" i="276"/>
  <c r="H99" i="276"/>
  <c r="F163" i="276"/>
  <c r="G148" i="276"/>
  <c r="F115" i="276"/>
  <c r="G116" i="276"/>
  <c r="G163" i="276"/>
  <c r="G164" i="276"/>
  <c r="F164" i="276"/>
  <c r="H116" i="276"/>
  <c r="H149" i="276"/>
  <c r="E164" i="276"/>
  <c r="G149" i="276"/>
  <c r="H164" i="276"/>
  <c r="G115" i="276"/>
  <c r="F99" i="276"/>
  <c r="G100" i="276"/>
  <c r="E99" i="276"/>
  <c r="H115" i="276"/>
  <c r="E116" i="276"/>
  <c r="E115" i="276"/>
  <c r="H163" i="276"/>
  <c r="E163" i="276"/>
  <c r="E100" i="276"/>
  <c r="E148" i="276"/>
  <c r="F149" i="276"/>
  <c r="H100" i="276"/>
  <c r="E149" i="276"/>
  <c r="E8" i="277" l="1"/>
  <c r="D8" i="277"/>
  <c r="E9" i="277"/>
  <c r="L9" i="277" s="1"/>
  <c r="D9" i="277"/>
  <c r="D14" i="277"/>
  <c r="E14" i="277"/>
  <c r="L15" i="277" s="1"/>
  <c r="D13" i="277"/>
  <c r="E13" i="277"/>
  <c r="L14" i="277" s="1"/>
  <c r="E15" i="277"/>
  <c r="L16" i="277" s="1"/>
  <c r="D15" i="277"/>
  <c r="E7" i="277"/>
  <c r="D7" i="277"/>
  <c r="J91" i="276"/>
  <c r="K91" i="276"/>
  <c r="Q91" i="276" s="1"/>
  <c r="AP229" i="276" a="1"/>
  <c r="AP229" i="276" s="1"/>
  <c r="AQ227" i="276"/>
  <c r="J95" i="276"/>
  <c r="K92" i="276"/>
  <c r="Q92" i="276" s="1"/>
  <c r="K95" i="276"/>
  <c r="O95" i="276" s="1"/>
  <c r="J89" i="276"/>
  <c r="J90" i="276"/>
  <c r="J94" i="276"/>
  <c r="K90" i="276"/>
  <c r="O90" i="276" s="1"/>
  <c r="J88" i="276"/>
  <c r="K93" i="276"/>
  <c r="O93" i="276" s="1"/>
  <c r="J93" i="276"/>
  <c r="K94" i="276"/>
  <c r="Q94" i="276" s="1"/>
  <c r="K89" i="276"/>
  <c r="Q89" i="276" s="1"/>
  <c r="K88" i="276"/>
  <c r="Q88" i="276" s="1"/>
  <c r="J92" i="276"/>
  <c r="AY227" i="276"/>
  <c r="AX227" i="276"/>
  <c r="AW227" i="276"/>
  <c r="AV227" i="276"/>
  <c r="AU227" i="276"/>
  <c r="AT227" i="276"/>
  <c r="AS227" i="276"/>
  <c r="AR227" i="276"/>
  <c r="BA226" i="276"/>
  <c r="AZ226" i="276"/>
  <c r="I100" i="276"/>
  <c r="J100" i="276"/>
  <c r="I163" i="276"/>
  <c r="J163" i="276"/>
  <c r="J115" i="276"/>
  <c r="I115" i="276"/>
  <c r="J149" i="276"/>
  <c r="I149" i="276"/>
  <c r="J116" i="276"/>
  <c r="I116" i="276"/>
  <c r="J164" i="276"/>
  <c r="I164" i="276"/>
  <c r="I99" i="276"/>
  <c r="J99" i="276"/>
  <c r="J148" i="276"/>
  <c r="I148" i="276"/>
  <c r="K7" i="277"/>
  <c r="K16" i="277"/>
  <c r="K14" i="277"/>
  <c r="L8" i="277"/>
  <c r="K8" i="277"/>
  <c r="K15" i="277"/>
  <c r="K9" i="277"/>
  <c r="K163" i="276" l="1"/>
  <c r="O170" i="276" s="1"/>
  <c r="K164" i="276"/>
  <c r="Q170" i="276" s="1"/>
  <c r="F7" i="277"/>
  <c r="F8" i="277"/>
  <c r="H14" i="277"/>
  <c r="M15" i="277" s="1"/>
  <c r="H9" i="277"/>
  <c r="M9" i="277" s="1"/>
  <c r="L7" i="277"/>
  <c r="H13" i="277"/>
  <c r="M14" i="277" s="1"/>
  <c r="G14" i="277"/>
  <c r="G7" i="277"/>
  <c r="F9" i="277"/>
  <c r="H15" i="277"/>
  <c r="M16" i="277" s="1"/>
  <c r="H8" i="277"/>
  <c r="M8" i="277" s="1"/>
  <c r="F15" i="277"/>
  <c r="F13" i="277"/>
  <c r="G9" i="277"/>
  <c r="G15" i="277"/>
  <c r="H7" i="277"/>
  <c r="M7" i="277" s="1"/>
  <c r="F14" i="277"/>
  <c r="G13" i="277"/>
  <c r="G8" i="277"/>
  <c r="O91" i="276"/>
  <c r="AP230" i="276" a="1"/>
  <c r="AP230" i="276" s="1"/>
  <c r="AQ229" i="276"/>
  <c r="Q95" i="276"/>
  <c r="O92" i="276"/>
  <c r="O89" i="276"/>
  <c r="O94" i="276"/>
  <c r="Q90" i="276"/>
  <c r="Q93" i="276"/>
  <c r="O88" i="276"/>
  <c r="K99" i="276"/>
  <c r="O108" i="276" s="1"/>
  <c r="AY229" i="276"/>
  <c r="AX229" i="276"/>
  <c r="AW229" i="276"/>
  <c r="AV229" i="276"/>
  <c r="AU229" i="276"/>
  <c r="AT229" i="276"/>
  <c r="AS229" i="276"/>
  <c r="AR229" i="276"/>
  <c r="AZ227" i="276"/>
  <c r="BA227" i="276"/>
  <c r="K100" i="276"/>
  <c r="Q108" i="276" s="1"/>
  <c r="K116" i="276"/>
  <c r="Q121" i="276" s="1"/>
  <c r="K148" i="276"/>
  <c r="O156" i="276" s="1"/>
  <c r="K149" i="276"/>
  <c r="Q156" i="276" s="1"/>
  <c r="K115" i="276"/>
  <c r="O121" i="276" s="1"/>
  <c r="AP231" i="276" l="1" a="1"/>
  <c r="AP231" i="276" s="1"/>
  <c r="AQ230" i="276"/>
  <c r="AY230" i="276"/>
  <c r="AX230" i="276"/>
  <c r="AW230" i="276"/>
  <c r="AV230" i="276"/>
  <c r="AU230" i="276"/>
  <c r="AT230" i="276"/>
  <c r="AS230" i="276"/>
  <c r="AR230" i="276"/>
  <c r="BA229" i="276"/>
  <c r="AZ229" i="276"/>
  <c r="AP232" i="276" l="1" a="1"/>
  <c r="AP232" i="276" s="1"/>
  <c r="AQ231" i="276"/>
  <c r="BA230" i="276"/>
  <c r="AZ230" i="276"/>
  <c r="AY231" i="276"/>
  <c r="AX231" i="276"/>
  <c r="AW231" i="276"/>
  <c r="AV231" i="276"/>
  <c r="AU231" i="276"/>
  <c r="AT231" i="276"/>
  <c r="AS231" i="276"/>
  <c r="AR231" i="276"/>
  <c r="AP233" i="276" l="1" a="1"/>
  <c r="AP233" i="276" s="1"/>
  <c r="AQ232" i="276"/>
  <c r="BA231" i="276"/>
  <c r="AZ231" i="276"/>
  <c r="AY232" i="276"/>
  <c r="AX232" i="276"/>
  <c r="AW232" i="276"/>
  <c r="AV232" i="276"/>
  <c r="AU232" i="276"/>
  <c r="AT232" i="276"/>
  <c r="AS232" i="276"/>
  <c r="AR232" i="276"/>
  <c r="AP234" i="276" l="1" a="1"/>
  <c r="AP234" i="276" s="1"/>
  <c r="AQ233" i="276"/>
  <c r="AZ232" i="276"/>
  <c r="BA232" i="276"/>
  <c r="AY233" i="276"/>
  <c r="AX233" i="276"/>
  <c r="AW233" i="276"/>
  <c r="AV233" i="276"/>
  <c r="AU233" i="276"/>
  <c r="AT233" i="276"/>
  <c r="AS233" i="276"/>
  <c r="AR233" i="276"/>
  <c r="AP235" i="276" l="1" a="1"/>
  <c r="AP235" i="276" s="1"/>
  <c r="AQ234" i="276"/>
  <c r="AY234" i="276"/>
  <c r="AX234" i="276"/>
  <c r="AW234" i="276"/>
  <c r="AV234" i="276"/>
  <c r="AU234" i="276"/>
  <c r="AT234" i="276"/>
  <c r="AS234" i="276"/>
  <c r="AR234" i="276"/>
  <c r="BA233" i="276"/>
  <c r="AZ233" i="276"/>
  <c r="AP236" i="276" l="1" a="1"/>
  <c r="AP236" i="276" s="1"/>
  <c r="AQ235" i="276"/>
  <c r="AY235" i="276"/>
  <c r="AX235" i="276"/>
  <c r="AW235" i="276"/>
  <c r="AV235" i="276"/>
  <c r="AU235" i="276"/>
  <c r="AT235" i="276"/>
  <c r="AS235" i="276"/>
  <c r="AR235" i="276"/>
  <c r="BA234" i="276"/>
  <c r="AZ234" i="276"/>
  <c r="AP237" i="276" l="1" a="1"/>
  <c r="AP237" i="276" s="1"/>
  <c r="AQ236" i="276"/>
  <c r="AY236" i="276"/>
  <c r="AX236" i="276"/>
  <c r="AW236" i="276"/>
  <c r="AV236" i="276"/>
  <c r="AU236" i="276"/>
  <c r="AT236" i="276"/>
  <c r="AS236" i="276"/>
  <c r="AR236" i="276"/>
  <c r="BA235" i="276"/>
  <c r="AZ235" i="276"/>
  <c r="AP238" i="276" l="1" a="1"/>
  <c r="AP238" i="276" s="1"/>
  <c r="AQ237" i="276"/>
  <c r="AY237" i="276"/>
  <c r="AX237" i="276"/>
  <c r="AW237" i="276"/>
  <c r="AV237" i="276"/>
  <c r="AU237" i="276"/>
  <c r="AT237" i="276"/>
  <c r="AS237" i="276"/>
  <c r="AR237" i="276"/>
  <c r="AZ236" i="276"/>
  <c r="BA236" i="276"/>
  <c r="AP239" i="276" l="1" a="1"/>
  <c r="AP239" i="276" s="1"/>
  <c r="AQ238" i="276"/>
  <c r="BA237" i="276"/>
  <c r="AZ237" i="276"/>
  <c r="AY238" i="276"/>
  <c r="AX238" i="276"/>
  <c r="AW238" i="276"/>
  <c r="AV238" i="276"/>
  <c r="AU238" i="276"/>
  <c r="AT238" i="276"/>
  <c r="AS238" i="276"/>
  <c r="AR238" i="276"/>
  <c r="AP240" i="276" l="1" a="1"/>
  <c r="AP240" i="276" s="1"/>
  <c r="AQ239" i="276"/>
  <c r="AY239" i="276"/>
  <c r="AX239" i="276"/>
  <c r="AW239" i="276"/>
  <c r="AV239" i="276"/>
  <c r="AU239" i="276"/>
  <c r="AT239" i="276"/>
  <c r="AS239" i="276"/>
  <c r="AR239" i="276"/>
  <c r="BA238" i="276"/>
  <c r="AZ238" i="276"/>
  <c r="AP241" i="276" l="1" a="1"/>
  <c r="AP241" i="276" s="1"/>
  <c r="AQ240" i="276"/>
  <c r="AY240" i="276"/>
  <c r="AX240" i="276"/>
  <c r="AW240" i="276"/>
  <c r="AV240" i="276"/>
  <c r="AU240" i="276"/>
  <c r="AT240" i="276"/>
  <c r="AS240" i="276"/>
  <c r="AR240" i="276"/>
  <c r="BA239" i="276"/>
  <c r="AZ239" i="276"/>
  <c r="AP242" i="276" l="1" a="1"/>
  <c r="AP242" i="276" s="1"/>
  <c r="AQ241" i="276"/>
  <c r="AY241" i="276"/>
  <c r="AX241" i="276"/>
  <c r="AW241" i="276"/>
  <c r="AV241" i="276"/>
  <c r="AU241" i="276"/>
  <c r="AT241" i="276"/>
  <c r="AS241" i="276"/>
  <c r="AR241" i="276"/>
  <c r="AZ240" i="276"/>
  <c r="BA240" i="276"/>
  <c r="AP243" i="276" l="1" a="1"/>
  <c r="AP243" i="276" s="1"/>
  <c r="AQ242" i="276"/>
  <c r="AY242" i="276"/>
  <c r="AX242" i="276"/>
  <c r="AW242" i="276"/>
  <c r="AV242" i="276"/>
  <c r="AU242" i="276"/>
  <c r="AT242" i="276"/>
  <c r="AS242" i="276"/>
  <c r="AR242" i="276"/>
  <c r="BA241" i="276"/>
  <c r="AZ241" i="276"/>
  <c r="AP244" i="276" l="1" a="1"/>
  <c r="AP244" i="276" s="1"/>
  <c r="AQ243" i="276"/>
  <c r="AY243" i="276"/>
  <c r="AX243" i="276"/>
  <c r="AW243" i="276"/>
  <c r="AV243" i="276"/>
  <c r="AU243" i="276"/>
  <c r="AT243" i="276"/>
  <c r="AS243" i="276"/>
  <c r="AR243" i="276"/>
  <c r="BA242" i="276"/>
  <c r="AZ242" i="276"/>
  <c r="AP245" i="276" l="1" a="1"/>
  <c r="AP245" i="276" s="1"/>
  <c r="AQ244" i="276"/>
  <c r="AY244" i="276"/>
  <c r="AX244" i="276"/>
  <c r="AW244" i="276"/>
  <c r="AV244" i="276"/>
  <c r="AU244" i="276"/>
  <c r="AT244" i="276"/>
  <c r="AS244" i="276"/>
  <c r="AR244" i="276"/>
  <c r="BA243" i="276"/>
  <c r="AZ243" i="276"/>
  <c r="AP246" i="276" l="1" a="1"/>
  <c r="AP246" i="276" s="1"/>
  <c r="AQ245" i="276"/>
  <c r="AY245" i="276"/>
  <c r="AX245" i="276"/>
  <c r="AW245" i="276"/>
  <c r="AV245" i="276"/>
  <c r="AU245" i="276"/>
  <c r="AT245" i="276"/>
  <c r="AS245" i="276"/>
  <c r="AR245" i="276"/>
  <c r="AZ244" i="276"/>
  <c r="BA244" i="276"/>
  <c r="AP247" i="276" l="1" a="1"/>
  <c r="AP247" i="276" s="1"/>
  <c r="AQ246" i="276"/>
  <c r="AY246" i="276"/>
  <c r="AX246" i="276"/>
  <c r="AW246" i="276"/>
  <c r="AV246" i="276"/>
  <c r="AU246" i="276"/>
  <c r="AT246" i="276"/>
  <c r="AS246" i="276"/>
  <c r="AR246" i="276"/>
  <c r="BA245" i="276"/>
  <c r="AZ245" i="276"/>
  <c r="AP248" i="276" l="1" a="1"/>
  <c r="AP248" i="276" s="1"/>
  <c r="AQ247" i="276"/>
  <c r="AY247" i="276"/>
  <c r="AX247" i="276"/>
  <c r="AW247" i="276"/>
  <c r="AV247" i="276"/>
  <c r="AU247" i="276"/>
  <c r="AT247" i="276"/>
  <c r="AS247" i="276"/>
  <c r="AR247" i="276"/>
  <c r="BA246" i="276"/>
  <c r="AZ246" i="276"/>
  <c r="AP249" i="276" l="1" a="1"/>
  <c r="AP249" i="276" s="1"/>
  <c r="AQ248" i="276"/>
  <c r="AY248" i="276"/>
  <c r="AX248" i="276"/>
  <c r="AW248" i="276"/>
  <c r="AV248" i="276"/>
  <c r="AU248" i="276"/>
  <c r="AT248" i="276"/>
  <c r="AS248" i="276"/>
  <c r="AR248" i="276"/>
  <c r="BA247" i="276"/>
  <c r="AZ247" i="276"/>
  <c r="AP250" i="276" l="1" a="1"/>
  <c r="AP250" i="276" s="1"/>
  <c r="AQ249" i="276"/>
  <c r="AY249" i="276"/>
  <c r="AX249" i="276"/>
  <c r="AW249" i="276"/>
  <c r="AV249" i="276"/>
  <c r="AU249" i="276"/>
  <c r="AT249" i="276"/>
  <c r="AS249" i="276"/>
  <c r="AR249" i="276"/>
  <c r="AZ248" i="276"/>
  <c r="BA248" i="276"/>
  <c r="AP251" i="276" l="1" a="1"/>
  <c r="AP251" i="276" s="1"/>
  <c r="AQ250" i="276"/>
  <c r="AY250" i="276"/>
  <c r="AX250" i="276"/>
  <c r="AW250" i="276"/>
  <c r="AV250" i="276"/>
  <c r="AU250" i="276"/>
  <c r="AT250" i="276"/>
  <c r="AS250" i="276"/>
  <c r="AR250" i="276"/>
  <c r="BA249" i="276"/>
  <c r="AZ249" i="276"/>
  <c r="AP252" i="276" l="1" a="1"/>
  <c r="AP252" i="276" s="1"/>
  <c r="AQ251" i="276"/>
  <c r="AY251" i="276"/>
  <c r="AX251" i="276"/>
  <c r="AW251" i="276"/>
  <c r="AV251" i="276"/>
  <c r="AU251" i="276"/>
  <c r="AT251" i="276"/>
  <c r="AS251" i="276"/>
  <c r="AR251" i="276"/>
  <c r="BA250" i="276"/>
  <c r="AZ250" i="276"/>
  <c r="AP253" i="276" l="1" a="1"/>
  <c r="AP253" i="276" s="1"/>
  <c r="AQ252" i="276"/>
  <c r="BA251" i="276"/>
  <c r="AZ251" i="276"/>
  <c r="AR252" i="276"/>
  <c r="AX252" i="276"/>
  <c r="AW252" i="276"/>
  <c r="AY252" i="276"/>
  <c r="AV252" i="276"/>
  <c r="AU252" i="276"/>
  <c r="AT252" i="276"/>
  <c r="AS252" i="276"/>
  <c r="AP254" i="276" l="1" a="1"/>
  <c r="AP254" i="276" s="1"/>
  <c r="AQ253" i="276"/>
  <c r="AT253" i="276"/>
  <c r="AS253" i="276"/>
  <c r="AR253" i="276"/>
  <c r="AY253" i="276"/>
  <c r="AX253" i="276"/>
  <c r="AW253" i="276"/>
  <c r="AV253" i="276"/>
  <c r="AU253" i="276"/>
  <c r="AZ252" i="276"/>
  <c r="BA252" i="276"/>
  <c r="AP255" i="276" l="1" a="1"/>
  <c r="AP255" i="276" s="1"/>
  <c r="AQ254" i="276"/>
  <c r="BA253" i="276"/>
  <c r="AZ253" i="276"/>
  <c r="AT254" i="276"/>
  <c r="AS254" i="276"/>
  <c r="AR254" i="276"/>
  <c r="AY254" i="276"/>
  <c r="AX254" i="276"/>
  <c r="AW254" i="276"/>
  <c r="AU254" i="276"/>
  <c r="AV254" i="276"/>
  <c r="AP256" i="276" l="1" a="1"/>
  <c r="AP256" i="276" s="1"/>
  <c r="AQ255" i="276"/>
  <c r="AT255" i="276"/>
  <c r="AS255" i="276"/>
  <c r="AR255" i="276"/>
  <c r="AY255" i="276"/>
  <c r="AX255" i="276"/>
  <c r="AW255" i="276"/>
  <c r="AV255" i="276"/>
  <c r="AU255" i="276"/>
  <c r="BA254" i="276"/>
  <c r="AZ254" i="276"/>
  <c r="AP257" i="276" l="1" a="1"/>
  <c r="AP257" i="276" s="1"/>
  <c r="AQ256" i="276"/>
  <c r="AT256" i="276"/>
  <c r="AS256" i="276"/>
  <c r="AR256" i="276"/>
  <c r="AY256" i="276"/>
  <c r="AX256" i="276"/>
  <c r="AW256" i="276"/>
  <c r="AV256" i="276"/>
  <c r="AU256" i="276"/>
  <c r="BA255" i="276"/>
  <c r="AZ255" i="276"/>
  <c r="AP258" i="276" l="1" a="1"/>
  <c r="AP258" i="276" s="1"/>
  <c r="AQ257" i="276"/>
  <c r="AZ256" i="276"/>
  <c r="BA256" i="276"/>
  <c r="AT257" i="276"/>
  <c r="AS257" i="276"/>
  <c r="AR257" i="276"/>
  <c r="AY257" i="276"/>
  <c r="AX257" i="276"/>
  <c r="AW257" i="276"/>
  <c r="AV257" i="276"/>
  <c r="AU257" i="276"/>
  <c r="AP259" i="276" l="1" a="1"/>
  <c r="AP259" i="276" s="1"/>
  <c r="AQ258" i="276"/>
  <c r="AT258" i="276"/>
  <c r="AS258" i="276"/>
  <c r="AR258" i="276"/>
  <c r="AY258" i="276"/>
  <c r="AX258" i="276"/>
  <c r="AW258" i="276"/>
  <c r="AU258" i="276"/>
  <c r="AV258" i="276"/>
  <c r="BA257" i="276"/>
  <c r="AZ257" i="276"/>
  <c r="AP260" i="276" l="1" a="1"/>
  <c r="AP260" i="276" s="1"/>
  <c r="AQ259" i="276"/>
  <c r="BA258" i="276"/>
  <c r="AZ258" i="276"/>
  <c r="AT259" i="276"/>
  <c r="AS259" i="276"/>
  <c r="AR259" i="276"/>
  <c r="AY259" i="276"/>
  <c r="AX259" i="276"/>
  <c r="AW259" i="276"/>
  <c r="AV259" i="276"/>
  <c r="AU259" i="276"/>
  <c r="AP261" i="276" l="1" a="1"/>
  <c r="AP261" i="276" s="1"/>
  <c r="AQ260" i="276"/>
  <c r="AT260" i="276"/>
  <c r="AS260" i="276"/>
  <c r="AR260" i="276"/>
  <c r="AY260" i="276"/>
  <c r="AX260" i="276"/>
  <c r="AW260" i="276"/>
  <c r="AV260" i="276"/>
  <c r="AU260" i="276"/>
  <c r="BA259" i="276"/>
  <c r="AZ259" i="276"/>
  <c r="AP262" i="276" l="1" a="1"/>
  <c r="AP262" i="276" s="1"/>
  <c r="AQ261" i="276"/>
  <c r="AZ260" i="276"/>
  <c r="BA260" i="276"/>
  <c r="AT261" i="276"/>
  <c r="AS261" i="276"/>
  <c r="AR261" i="276"/>
  <c r="AY261" i="276"/>
  <c r="AX261" i="276"/>
  <c r="AW261" i="276"/>
  <c r="AV261" i="276"/>
  <c r="AU261" i="276"/>
  <c r="AP263" i="276" l="1" a="1"/>
  <c r="AP263" i="276" s="1"/>
  <c r="AQ262" i="276"/>
  <c r="BA261" i="276"/>
  <c r="AZ261" i="276"/>
  <c r="AT262" i="276"/>
  <c r="AS262" i="276"/>
  <c r="AR262" i="276"/>
  <c r="AY262" i="276"/>
  <c r="AX262" i="276"/>
  <c r="AW262" i="276"/>
  <c r="AU262" i="276"/>
  <c r="AV262" i="276"/>
  <c r="AP264" i="276" l="1" a="1"/>
  <c r="AP264" i="276" s="1"/>
  <c r="AQ263" i="276"/>
  <c r="AT263" i="276"/>
  <c r="AS263" i="276"/>
  <c r="AR263" i="276"/>
  <c r="AY263" i="276"/>
  <c r="AX263" i="276"/>
  <c r="AW263" i="276"/>
  <c r="AV263" i="276"/>
  <c r="AU263" i="276"/>
  <c r="BA262" i="276"/>
  <c r="AZ262" i="276"/>
  <c r="AP265" i="276" l="1" a="1"/>
  <c r="AP265" i="276" s="1"/>
  <c r="AQ264" i="276"/>
  <c r="AT264" i="276"/>
  <c r="AS264" i="276"/>
  <c r="AR264" i="276"/>
  <c r="AY264" i="276"/>
  <c r="AX264" i="276"/>
  <c r="AW264" i="276"/>
  <c r="AV264" i="276"/>
  <c r="AU264" i="276"/>
  <c r="BA263" i="276"/>
  <c r="AZ263" i="276"/>
  <c r="AP266" i="276" l="1" a="1"/>
  <c r="AP266" i="276" s="1"/>
  <c r="AQ265" i="276"/>
  <c r="AT265" i="276"/>
  <c r="AS265" i="276"/>
  <c r="AR265" i="276"/>
  <c r="AY265" i="276"/>
  <c r="AX265" i="276"/>
  <c r="AW265" i="276"/>
  <c r="AV265" i="276"/>
  <c r="AU265" i="276"/>
  <c r="AZ264" i="276"/>
  <c r="BA264" i="276"/>
  <c r="AP267" i="276" l="1" a="1"/>
  <c r="AP267" i="276" s="1"/>
  <c r="AQ266" i="276"/>
  <c r="AT266" i="276"/>
  <c r="AS266" i="276"/>
  <c r="AR266" i="276"/>
  <c r="AY266" i="276"/>
  <c r="AX266" i="276"/>
  <c r="AW266" i="276"/>
  <c r="AU266" i="276"/>
  <c r="AV266" i="276"/>
  <c r="BA265" i="276"/>
  <c r="AZ265" i="276"/>
  <c r="AP268" i="276" l="1" a="1"/>
  <c r="AP268" i="276" s="1"/>
  <c r="AQ267" i="276"/>
  <c r="BA266" i="276"/>
  <c r="AZ266" i="276"/>
  <c r="AT267" i="276"/>
  <c r="AS267" i="276"/>
  <c r="AR267" i="276"/>
  <c r="AY267" i="276"/>
  <c r="AX267" i="276"/>
  <c r="AW267" i="276"/>
  <c r="AV267" i="276"/>
  <c r="AU267" i="276"/>
  <c r="AP269" i="276" l="1" a="1"/>
  <c r="AP269" i="276" s="1"/>
  <c r="AQ268" i="276"/>
  <c r="BA267" i="276"/>
  <c r="AZ267" i="276"/>
  <c r="AT268" i="276"/>
  <c r="AS268" i="276"/>
  <c r="AR268" i="276"/>
  <c r="AY268" i="276"/>
  <c r="AX268" i="276"/>
  <c r="AW268" i="276"/>
  <c r="AV268" i="276"/>
  <c r="AU268" i="276"/>
  <c r="AP270" i="276" l="1" a="1"/>
  <c r="AP270" i="276" s="1"/>
  <c r="AQ269" i="276"/>
  <c r="AT269" i="276"/>
  <c r="AS269" i="276"/>
  <c r="AR269" i="276"/>
  <c r="AY269" i="276"/>
  <c r="AX269" i="276"/>
  <c r="AW269" i="276"/>
  <c r="AV269" i="276"/>
  <c r="AU269" i="276"/>
  <c r="AZ268" i="276"/>
  <c r="BA268" i="276"/>
  <c r="AP271" i="276" l="1" a="1"/>
  <c r="AP271" i="276" s="1"/>
  <c r="AQ270" i="276"/>
  <c r="AT270" i="276"/>
  <c r="AS270" i="276"/>
  <c r="AR270" i="276"/>
  <c r="AY270" i="276"/>
  <c r="AX270" i="276"/>
  <c r="AW270" i="276"/>
  <c r="AU270" i="276"/>
  <c r="AV270" i="276"/>
  <c r="BA269" i="276"/>
  <c r="AZ269" i="276"/>
  <c r="AP272" i="276" l="1" a="1"/>
  <c r="AP272" i="276" s="1"/>
  <c r="AQ271" i="276"/>
  <c r="BA270" i="276"/>
  <c r="AZ270" i="276"/>
  <c r="AT271" i="276"/>
  <c r="AS271" i="276"/>
  <c r="AR271" i="276"/>
  <c r="AY271" i="276"/>
  <c r="AX271" i="276"/>
  <c r="AW271" i="276"/>
  <c r="AV271" i="276"/>
  <c r="AU271" i="276"/>
  <c r="AP273" i="276" l="1" a="1"/>
  <c r="AP273" i="276" s="1"/>
  <c r="AQ272" i="276"/>
  <c r="BA271" i="276"/>
  <c r="AZ271" i="276"/>
  <c r="AT272" i="276"/>
  <c r="AS272" i="276"/>
  <c r="AR272" i="276"/>
  <c r="AY272" i="276"/>
  <c r="AX272" i="276"/>
  <c r="AW272" i="276"/>
  <c r="AV272" i="276"/>
  <c r="AU272" i="276"/>
  <c r="AP274" i="276" l="1" a="1"/>
  <c r="AP274" i="276" s="1"/>
  <c r="AQ273" i="276"/>
  <c r="AZ272" i="276"/>
  <c r="BA272" i="276"/>
  <c r="AT273" i="276"/>
  <c r="AS273" i="276"/>
  <c r="AR273" i="276"/>
  <c r="AY273" i="276"/>
  <c r="AX273" i="276"/>
  <c r="AW273" i="276"/>
  <c r="AV273" i="276"/>
  <c r="AU273" i="276"/>
  <c r="AP275" i="276" l="1" a="1"/>
  <c r="AP275" i="276" s="1"/>
  <c r="AQ274" i="276"/>
  <c r="AT274" i="276"/>
  <c r="AS274" i="276"/>
  <c r="AR274" i="276"/>
  <c r="AY274" i="276"/>
  <c r="AX274" i="276"/>
  <c r="AW274" i="276"/>
  <c r="AU274" i="276"/>
  <c r="AV274" i="276"/>
  <c r="BA273" i="276"/>
  <c r="AZ273" i="276"/>
  <c r="AP276" i="276" l="1" a="1"/>
  <c r="AP276" i="276" s="1"/>
  <c r="AQ275" i="276"/>
  <c r="AT275" i="276"/>
  <c r="AS275" i="276"/>
  <c r="AR275" i="276"/>
  <c r="AY275" i="276"/>
  <c r="AX275" i="276"/>
  <c r="AW275" i="276"/>
  <c r="AV275" i="276"/>
  <c r="AU275" i="276"/>
  <c r="BA274" i="276"/>
  <c r="AZ274" i="276"/>
  <c r="AP277" i="276" l="1" a="1"/>
  <c r="AP277" i="276" s="1"/>
  <c r="AQ276" i="276"/>
  <c r="AT276" i="276"/>
  <c r="AS276" i="276"/>
  <c r="AR276" i="276"/>
  <c r="AY276" i="276"/>
  <c r="AX276" i="276"/>
  <c r="AW276" i="276"/>
  <c r="AV276" i="276"/>
  <c r="AU276" i="276"/>
  <c r="BA275" i="276"/>
  <c r="AZ275" i="276"/>
  <c r="AP278" i="276" l="1" a="1"/>
  <c r="AP278" i="276" s="1"/>
  <c r="AQ277" i="276"/>
  <c r="AT277" i="276"/>
  <c r="AS277" i="276"/>
  <c r="AR277" i="276"/>
  <c r="AY277" i="276"/>
  <c r="AX277" i="276"/>
  <c r="AW277" i="276"/>
  <c r="AV277" i="276"/>
  <c r="AU277" i="276"/>
  <c r="AZ276" i="276"/>
  <c r="BA276" i="276"/>
  <c r="AP279" i="276" l="1" a="1"/>
  <c r="AP279" i="276" s="1"/>
  <c r="AQ278" i="276"/>
  <c r="AT278" i="276"/>
  <c r="AS278" i="276"/>
  <c r="AR278" i="276"/>
  <c r="AY278" i="276"/>
  <c r="AX278" i="276"/>
  <c r="AW278" i="276"/>
  <c r="AU278" i="276"/>
  <c r="AV278" i="276"/>
  <c r="BA277" i="276"/>
  <c r="AZ277" i="276"/>
  <c r="AP280" i="276" l="1" a="1"/>
  <c r="AP280" i="276" s="1"/>
  <c r="AQ279" i="276"/>
  <c r="AT279" i="276"/>
  <c r="AS279" i="276"/>
  <c r="AR279" i="276"/>
  <c r="AY279" i="276"/>
  <c r="AX279" i="276"/>
  <c r="AW279" i="276"/>
  <c r="AV279" i="276"/>
  <c r="AU279" i="276"/>
  <c r="BA278" i="276"/>
  <c r="AZ278" i="276"/>
  <c r="AP281" i="276" l="1" a="1"/>
  <c r="AP281" i="276" s="1"/>
  <c r="AQ280" i="276"/>
  <c r="AT280" i="276"/>
  <c r="AS280" i="276"/>
  <c r="AR280" i="276"/>
  <c r="AY280" i="276"/>
  <c r="AX280" i="276"/>
  <c r="AW280" i="276"/>
  <c r="AV280" i="276"/>
  <c r="AU280" i="276"/>
  <c r="BA279" i="276"/>
  <c r="AZ279" i="276"/>
  <c r="AP282" i="276" l="1" a="1"/>
  <c r="AP282" i="276" s="1"/>
  <c r="AQ281" i="276"/>
  <c r="AT281" i="276"/>
  <c r="AS281" i="276"/>
  <c r="AR281" i="276"/>
  <c r="AY281" i="276"/>
  <c r="AX281" i="276"/>
  <c r="AW281" i="276"/>
  <c r="AV281" i="276"/>
  <c r="AU281" i="276"/>
  <c r="AZ280" i="276"/>
  <c r="BA280" i="276"/>
  <c r="AP283" i="276" l="1" a="1"/>
  <c r="AP283" i="276" s="1"/>
  <c r="AQ282" i="276"/>
  <c r="AT282" i="276"/>
  <c r="AS282" i="276"/>
  <c r="AR282" i="276"/>
  <c r="AY282" i="276"/>
  <c r="AX282" i="276"/>
  <c r="AW282" i="276"/>
  <c r="AU282" i="276"/>
  <c r="AV282" i="276"/>
  <c r="BA281" i="276"/>
  <c r="AZ281" i="276"/>
  <c r="AP284" i="276" l="1" a="1"/>
  <c r="AP284" i="276" s="1"/>
  <c r="AQ283" i="276"/>
  <c r="AT283" i="276"/>
  <c r="AS283" i="276"/>
  <c r="AR283" i="276"/>
  <c r="AY283" i="276"/>
  <c r="AX283" i="276"/>
  <c r="AW283" i="276"/>
  <c r="AV283" i="276"/>
  <c r="AU283" i="276"/>
  <c r="BA282" i="276"/>
  <c r="AZ282" i="276"/>
  <c r="AP285" i="276" l="1" a="1"/>
  <c r="AP285" i="276" s="1"/>
  <c r="AQ284" i="276"/>
  <c r="AT284" i="276"/>
  <c r="AS284" i="276"/>
  <c r="AR284" i="276"/>
  <c r="AY284" i="276"/>
  <c r="AX284" i="276"/>
  <c r="AW284" i="276"/>
  <c r="AV284" i="276"/>
  <c r="AU284" i="276"/>
  <c r="BA283" i="276"/>
  <c r="AZ283" i="276"/>
  <c r="AP286" i="276" l="1" a="1"/>
  <c r="AP286" i="276" s="1"/>
  <c r="AQ285" i="276"/>
  <c r="AT285" i="276"/>
  <c r="AS285" i="276"/>
  <c r="AR285" i="276"/>
  <c r="AY285" i="276"/>
  <c r="AX285" i="276"/>
  <c r="AW285" i="276"/>
  <c r="AV285" i="276"/>
  <c r="AU285" i="276"/>
  <c r="AZ284" i="276"/>
  <c r="BA284" i="276"/>
  <c r="AP287" i="276" l="1" a="1"/>
  <c r="AP287" i="276" s="1"/>
  <c r="AQ287" i="276" s="1"/>
  <c r="AQ286" i="276"/>
  <c r="AT286" i="276"/>
  <c r="AS286" i="276"/>
  <c r="AR286" i="276"/>
  <c r="AY286" i="276"/>
  <c r="AX286" i="276"/>
  <c r="AW286" i="276"/>
  <c r="AU286" i="276"/>
  <c r="AV286" i="276"/>
  <c r="BA285" i="276"/>
  <c r="AZ285" i="276"/>
  <c r="AT287" i="276" l="1"/>
  <c r="AS287" i="276"/>
  <c r="AR287" i="276"/>
  <c r="AY287" i="276"/>
  <c r="AX287" i="276"/>
  <c r="AW287" i="276"/>
  <c r="AV287" i="276"/>
  <c r="AU287" i="276"/>
  <c r="BA286" i="276"/>
  <c r="AZ286" i="276"/>
  <c r="BA287" i="276" l="1"/>
  <c r="AZ287" i="276"/>
</calcChain>
</file>

<file path=xl/comments1.xml><?xml version="1.0" encoding="utf-8"?>
<comments xmlns="http://schemas.openxmlformats.org/spreadsheetml/2006/main">
  <authors>
    <author>Marcelino dos Santos Andrade</author>
  </authors>
  <commentList>
    <comment ref="B5" authorId="0" shapeId="0">
      <text>
        <r>
          <rPr>
            <b/>
            <sz val="9"/>
            <color indexed="81"/>
            <rFont val="Segoe UI"/>
            <family val="2"/>
          </rPr>
          <t>Fonte da Fórmula::</t>
        </r>
        <r>
          <rPr>
            <sz val="9"/>
            <color indexed="81"/>
            <rFont val="Segoe UI"/>
            <family val="2"/>
          </rPr>
          <t xml:space="preserve">
https://www.youtube.com/watch?v=PivLYrIrugk</t>
        </r>
      </text>
    </comment>
  </commentList>
</comments>
</file>

<file path=xl/comments2.xml><?xml version="1.0" encoding="utf-8"?>
<comments xmlns="http://schemas.openxmlformats.org/spreadsheetml/2006/main">
  <authors>
    <author>Marcelino dos Santos Andrade</author>
  </authors>
  <commentList>
    <comment ref="B5" authorId="0" shapeId="0">
      <text>
        <r>
          <rPr>
            <b/>
            <sz val="9"/>
            <color indexed="81"/>
            <rFont val="Segoe UI"/>
            <family val="2"/>
          </rPr>
          <t>Fonte da Fórmula::</t>
        </r>
        <r>
          <rPr>
            <sz val="9"/>
            <color indexed="81"/>
            <rFont val="Segoe UI"/>
            <family val="2"/>
          </rPr>
          <t xml:space="preserve">
https://www.youtube.com/watch?v=PivLYrIrugk</t>
        </r>
      </text>
    </comment>
  </commentList>
</comments>
</file>

<file path=xl/comments3.xml><?xml version="1.0" encoding="utf-8"?>
<comments xmlns="http://schemas.openxmlformats.org/spreadsheetml/2006/main">
  <authors>
    <author>Marcelino dos Santos Andrade</author>
  </authors>
  <commentList>
    <comment ref="B5" authorId="0" shapeId="0">
      <text>
        <r>
          <rPr>
            <b/>
            <sz val="9"/>
            <color indexed="81"/>
            <rFont val="Segoe UI"/>
            <family val="2"/>
          </rPr>
          <t>Fonte da Fórmula::</t>
        </r>
        <r>
          <rPr>
            <sz val="9"/>
            <color indexed="81"/>
            <rFont val="Segoe UI"/>
            <family val="2"/>
          </rPr>
          <t xml:space="preserve">
https://www.youtube.com/watch?v=PivLYrIrugk</t>
        </r>
      </text>
    </comment>
  </commentList>
</comments>
</file>

<file path=xl/comments4.xml><?xml version="1.0" encoding="utf-8"?>
<comments xmlns="http://schemas.openxmlformats.org/spreadsheetml/2006/main">
  <authors>
    <author>Marcelino dos Santos Andrade</author>
  </authors>
  <commentList>
    <comment ref="B5" authorId="0" shapeId="0">
      <text>
        <r>
          <rPr>
            <b/>
            <sz val="9"/>
            <color indexed="81"/>
            <rFont val="Segoe UI"/>
            <family val="2"/>
          </rPr>
          <t>Fonte da Fórmula::</t>
        </r>
        <r>
          <rPr>
            <sz val="9"/>
            <color indexed="81"/>
            <rFont val="Segoe UI"/>
            <family val="2"/>
          </rPr>
          <t xml:space="preserve">
https://www.youtube.com/watch?v=PivLYrIrugk</t>
        </r>
      </text>
    </comment>
  </commentList>
</comments>
</file>

<file path=xl/comments5.xml><?xml version="1.0" encoding="utf-8"?>
<comments xmlns="http://schemas.openxmlformats.org/spreadsheetml/2006/main">
  <authors>
    <author>Marcelino dos Santos Andrade</author>
  </authors>
  <commentList>
    <comment ref="B5" authorId="0" shapeId="0">
      <text>
        <r>
          <rPr>
            <b/>
            <sz val="9"/>
            <color indexed="81"/>
            <rFont val="Segoe UI"/>
            <family val="2"/>
          </rPr>
          <t>Fonte da Fórmula::</t>
        </r>
        <r>
          <rPr>
            <sz val="9"/>
            <color indexed="81"/>
            <rFont val="Segoe UI"/>
            <family val="2"/>
          </rPr>
          <t xml:space="preserve">
https://www.youtube.com/watch?v=PivLYrIrugk</t>
        </r>
      </text>
    </comment>
  </commentList>
</comments>
</file>

<file path=xl/sharedStrings.xml><?xml version="1.0" encoding="utf-8"?>
<sst xmlns="http://schemas.openxmlformats.org/spreadsheetml/2006/main" count="740" uniqueCount="366">
  <si>
    <t>%</t>
  </si>
  <si>
    <t xml:space="preserve">INSTRUÇÕES: </t>
  </si>
  <si>
    <t>GRUPO</t>
  </si>
  <si>
    <t xml:space="preserve">LINHA OCULTA </t>
  </si>
  <si>
    <t xml:space="preserve"> Diretor  Responsável:  </t>
  </si>
  <si>
    <t>COLUNA  OCULTA
NÃO ALTERAR</t>
  </si>
  <si>
    <t>Fórmula que Cria Chave de  Identificação ùnica PROCV</t>
  </si>
  <si>
    <t xml:space="preserve">SOMA  </t>
  </si>
  <si>
    <t xml:space="preserve"> Telefone:</t>
  </si>
  <si>
    <t xml:space="preserve"> Data  da  Divulgação: </t>
  </si>
  <si>
    <t xml:space="preserve"> Setor  Responsável:</t>
  </si>
  <si>
    <t xml:space="preserve"> E-mail:</t>
  </si>
  <si>
    <t xml:space="preserve"> %</t>
  </si>
  <si>
    <t>MÉDIA %  PARTCIPAÇÃO</t>
  </si>
  <si>
    <t>destaca se ultrapassar a média</t>
  </si>
  <si>
    <t>Centro de Custo</t>
  </si>
  <si>
    <t>Quantidade</t>
  </si>
  <si>
    <t>Valor Médio Unitário</t>
  </si>
  <si>
    <t>OCULTA</t>
  </si>
  <si>
    <t xml:space="preserve"> CENTRO  DE  CUSTO  FINAL</t>
  </si>
  <si>
    <t xml:space="preserve"> ITEM  PRODUZIDO</t>
  </si>
  <si>
    <t xml:space="preserve"> %  PARTCIPAÇÃO</t>
  </si>
  <si>
    <t xml:space="preserve"> DIFERENÇA</t>
  </si>
  <si>
    <t>IDENTIFICA CENTRO DE CUSTOS E UNIDADE  DE SAÚDE</t>
  </si>
  <si>
    <t xml:space="preserve"> Referência:</t>
  </si>
  <si>
    <t>ITENS  DE  CUSTO</t>
  </si>
  <si>
    <r>
      <t xml:space="preserve">     b) Preencher:</t>
    </r>
    <r>
      <rPr>
        <b/>
        <sz val="12"/>
        <color theme="1"/>
        <rFont val="Arial"/>
        <family val="2"/>
      </rPr>
      <t/>
    </r>
  </si>
  <si>
    <t xml:space="preserve">     c) Clique em qualquer linha da planilha para que não delete os dados colados.</t>
  </si>
  <si>
    <t xml:space="preserve">1 - PARA  PREENCHER  A  GUIA  "CUSTO  TOTAL  -  ÚLTIMOS  4  MESES": </t>
  </si>
  <si>
    <t xml:space="preserve">2 - PARA  PREENCHER  AS  GUIAS  REFERENTES A  "PRODUÇÃO": </t>
  </si>
  <si>
    <t>PRODUÇÃO</t>
  </si>
  <si>
    <t>CUSTO</t>
  </si>
  <si>
    <r>
      <t xml:space="preserve">     a) Após acessar o </t>
    </r>
    <r>
      <rPr>
        <b/>
        <sz val="10"/>
        <color theme="1"/>
        <rFont val="Arial"/>
        <family val="2"/>
      </rPr>
      <t>APURASUS</t>
    </r>
    <r>
      <rPr>
        <sz val="10"/>
        <color theme="1"/>
        <rFont val="Arial"/>
        <family val="2"/>
      </rPr>
      <t>, Clique no Menu "</t>
    </r>
    <r>
      <rPr>
        <b/>
        <sz val="10"/>
        <color theme="1"/>
        <rFont val="Arial"/>
        <family val="2"/>
      </rPr>
      <t>RELATÓRIO</t>
    </r>
    <r>
      <rPr>
        <sz val="10"/>
        <color theme="1"/>
        <rFont val="Arial"/>
        <family val="2"/>
      </rPr>
      <t xml:space="preserve">"; </t>
    </r>
  </si>
  <si>
    <r>
      <t xml:space="preserve">          b.1) "</t>
    </r>
    <r>
      <rPr>
        <i/>
        <sz val="10"/>
        <color theme="1"/>
        <rFont val="Arial"/>
        <family val="2"/>
      </rPr>
      <t>Tipo de Relatório</t>
    </r>
    <r>
      <rPr>
        <sz val="10"/>
        <color theme="1"/>
        <rFont val="Arial"/>
        <family val="2"/>
      </rPr>
      <t xml:space="preserve">": </t>
    </r>
    <r>
      <rPr>
        <b/>
        <i/>
        <sz val="10"/>
        <color theme="1"/>
        <rFont val="Arial"/>
        <family val="2"/>
      </rPr>
      <t>Custo Total da Unidade</t>
    </r>
    <r>
      <rPr>
        <i/>
        <sz val="10"/>
        <color theme="1"/>
        <rFont val="Arial"/>
        <family val="2"/>
      </rPr>
      <t>;</t>
    </r>
  </si>
  <si>
    <r>
      <t xml:space="preserve">          b.2) "</t>
    </r>
    <r>
      <rPr>
        <i/>
        <sz val="10"/>
        <color theme="1"/>
        <rFont val="Arial"/>
        <family val="2"/>
      </rPr>
      <t>Período (mês/ano)</t>
    </r>
    <r>
      <rPr>
        <sz val="10"/>
        <color theme="1"/>
        <rFont val="Arial"/>
        <family val="2"/>
      </rPr>
      <t xml:space="preserve">": </t>
    </r>
    <r>
      <rPr>
        <b/>
        <sz val="10"/>
        <color theme="1"/>
        <rFont val="Arial"/>
        <family val="2"/>
      </rPr>
      <t>Informe os útimos quatro meses</t>
    </r>
    <r>
      <rPr>
        <sz val="10"/>
        <color theme="1"/>
        <rFont val="Arial"/>
        <family val="2"/>
      </rPr>
      <t>;</t>
    </r>
  </si>
  <si>
    <r>
      <t xml:space="preserve">     c) Clique em "</t>
    </r>
    <r>
      <rPr>
        <b/>
        <i/>
        <sz val="10"/>
        <color theme="1"/>
        <rFont val="Arial"/>
        <family val="2"/>
      </rPr>
      <t>Gerar Relatório</t>
    </r>
    <r>
      <rPr>
        <sz val="10"/>
        <color theme="1"/>
        <rFont val="Arial"/>
        <family val="2"/>
      </rPr>
      <t xml:space="preserve">"; </t>
    </r>
  </si>
  <si>
    <r>
      <t xml:space="preserve">     d) Na tela que surgir,</t>
    </r>
    <r>
      <rPr>
        <b/>
        <sz val="10"/>
        <color theme="1"/>
        <rFont val="Arial"/>
        <family val="2"/>
      </rPr>
      <t xml:space="preserve"> </t>
    </r>
    <r>
      <rPr>
        <b/>
        <u/>
        <sz val="10"/>
        <color theme="1"/>
        <rFont val="Arial"/>
        <family val="2"/>
      </rPr>
      <t>clique e segure o botão esquerdo do mouse e selecione</t>
    </r>
    <r>
      <rPr>
        <sz val="10"/>
        <color theme="1"/>
        <rFont val="Arial"/>
        <family val="2"/>
      </rPr>
      <t xml:space="preserve"> o texto a partir de</t>
    </r>
    <r>
      <rPr>
        <b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"</t>
    </r>
    <r>
      <rPr>
        <i/>
        <sz val="10"/>
        <color theme="1"/>
        <rFont val="Arial"/>
        <family val="2"/>
      </rPr>
      <t>Dados da Instituição</t>
    </r>
    <r>
      <rPr>
        <sz val="10"/>
        <color theme="1"/>
        <rFont val="Arial"/>
        <family val="2"/>
      </rPr>
      <t xml:space="preserve">" até a penúltima linha; </t>
    </r>
  </si>
  <si>
    <r>
      <t xml:space="preserve">     e) Com o texto ainda selecionado, </t>
    </r>
    <r>
      <rPr>
        <b/>
        <u/>
        <sz val="10"/>
        <color theme="1"/>
        <rFont val="Arial"/>
        <family val="2"/>
      </rPr>
      <t>aperte o botão direito do mouse</t>
    </r>
    <r>
      <rPr>
        <sz val="10"/>
        <color theme="1"/>
        <rFont val="Arial"/>
        <family val="2"/>
      </rPr>
      <t xml:space="preserve"> e clique em "</t>
    </r>
    <r>
      <rPr>
        <b/>
        <i/>
        <sz val="10"/>
        <color theme="1"/>
        <rFont val="Arial"/>
        <family val="2"/>
      </rPr>
      <t>copiar</t>
    </r>
    <r>
      <rPr>
        <i/>
        <sz val="10"/>
        <color theme="1"/>
        <rFont val="Arial"/>
        <family val="2"/>
      </rPr>
      <t>";</t>
    </r>
  </si>
  <si>
    <r>
      <t xml:space="preserve">     f) Siga para o </t>
    </r>
    <r>
      <rPr>
        <b/>
        <sz val="10"/>
        <color theme="1"/>
        <rFont val="Arial"/>
        <family val="2"/>
      </rPr>
      <t>item 3</t>
    </r>
    <r>
      <rPr>
        <sz val="10"/>
        <color theme="1"/>
        <rFont val="Arial"/>
        <family val="2"/>
      </rPr>
      <t>.</t>
    </r>
  </si>
  <si>
    <r>
      <t xml:space="preserve">          b.1) "</t>
    </r>
    <r>
      <rPr>
        <i/>
        <sz val="10"/>
        <color theme="1"/>
        <rFont val="Arial"/>
        <family val="2"/>
      </rPr>
      <t>Tipo de Relatório</t>
    </r>
    <r>
      <rPr>
        <sz val="10"/>
        <color theme="1"/>
        <rFont val="Arial"/>
        <family val="2"/>
      </rPr>
      <t xml:space="preserve">": </t>
    </r>
    <r>
      <rPr>
        <b/>
        <i/>
        <sz val="10"/>
        <color theme="1"/>
        <rFont val="Arial"/>
        <family val="2"/>
      </rPr>
      <t>Centro de Custo X Produto</t>
    </r>
    <r>
      <rPr>
        <i/>
        <sz val="10"/>
        <color theme="1"/>
        <rFont val="Arial"/>
        <family val="2"/>
      </rPr>
      <t>;</t>
    </r>
  </si>
  <si>
    <r>
      <t xml:space="preserve">          b.2) "</t>
    </r>
    <r>
      <rPr>
        <i/>
        <sz val="10"/>
        <color theme="1"/>
        <rFont val="Arial"/>
        <family val="2"/>
      </rPr>
      <t>Período (mês/ano)</t>
    </r>
    <r>
      <rPr>
        <sz val="10"/>
        <color theme="1"/>
        <rFont val="Arial"/>
        <family val="2"/>
      </rPr>
      <t xml:space="preserve">": </t>
    </r>
    <r>
      <rPr>
        <b/>
        <sz val="10"/>
        <color theme="1"/>
        <rFont val="Arial"/>
        <family val="2"/>
      </rPr>
      <t>Informar apenas um Mês</t>
    </r>
    <r>
      <rPr>
        <sz val="10"/>
        <color theme="1"/>
        <rFont val="Arial"/>
        <family val="2"/>
      </rPr>
      <t xml:space="preserve"> (atual, mês anterior, etc.).</t>
    </r>
  </si>
  <si>
    <r>
      <t xml:space="preserve">     a) Clique na cèlula </t>
    </r>
    <r>
      <rPr>
        <u/>
        <sz val="10"/>
        <color theme="1"/>
        <rFont val="Arial"/>
        <family val="2"/>
      </rPr>
      <t>indicada pela seta</t>
    </r>
    <r>
      <rPr>
        <sz val="10"/>
        <color theme="1"/>
        <rFont val="Arial"/>
        <family val="2"/>
      </rPr>
      <t xml:space="preserve"> e destacada em amarelo; </t>
    </r>
  </si>
  <si>
    <r>
      <t xml:space="preserve">     b) No menu "</t>
    </r>
    <r>
      <rPr>
        <b/>
        <sz val="10"/>
        <color theme="1"/>
        <rFont val="Arial"/>
        <family val="2"/>
      </rPr>
      <t>Página Inicial</t>
    </r>
    <r>
      <rPr>
        <sz val="10"/>
        <color theme="1"/>
        <rFont val="Arial"/>
        <family val="2"/>
      </rPr>
      <t>", clique no menu "Colar" e "</t>
    </r>
    <r>
      <rPr>
        <b/>
        <sz val="10"/>
        <color theme="1"/>
        <rFont val="Arial"/>
        <family val="2"/>
      </rPr>
      <t>Colar Especial</t>
    </r>
    <r>
      <rPr>
        <sz val="10"/>
        <color theme="1"/>
        <rFont val="Arial"/>
        <family val="2"/>
      </rPr>
      <t>". Após, dê dois cliques em "</t>
    </r>
    <r>
      <rPr>
        <b/>
        <sz val="10"/>
        <color theme="1"/>
        <rFont val="Arial"/>
        <family val="2"/>
      </rPr>
      <t>Texto Unicode</t>
    </r>
    <r>
      <rPr>
        <sz val="10"/>
        <color theme="1"/>
        <rFont val="Arial"/>
        <family val="2"/>
      </rPr>
      <t>";</t>
    </r>
  </si>
  <si>
    <t xml:space="preserve">VERIFICA  OS  CCs  EXISTENTES  EM  CADA UM  DOS  MESES  </t>
  </si>
  <si>
    <t>Combustíveis e Lubrificantes Automotivos</t>
  </si>
  <si>
    <t>Gases Medicinais</t>
  </si>
  <si>
    <t>Material de Expediente</t>
  </si>
  <si>
    <t>Material Laboratorial</t>
  </si>
  <si>
    <t>Material Médico-Hospitalar</t>
  </si>
  <si>
    <t>Material Odontológico</t>
  </si>
  <si>
    <t>Medicamentos</t>
  </si>
  <si>
    <t>Outros Materiais de Consumo</t>
  </si>
  <si>
    <t>Aluguel de Veículos</t>
  </si>
  <si>
    <t>Serviço de Coleta de Resíduos de Serviços de Saúde</t>
  </si>
  <si>
    <t>Serviço de Dosimetria</t>
  </si>
  <si>
    <t>Serviço de Manutenção e Conservação de Bens Imóveis</t>
  </si>
  <si>
    <t>Serviço de Manutenção e Conservação de Máquinas e Equipamentos</t>
  </si>
  <si>
    <t>Serviços de Cópias e Reprodução de Documentos</t>
  </si>
  <si>
    <t>Serviços de Fornecimento de Alimentação - Pessoa Jurídica</t>
  </si>
  <si>
    <t>Serviços de Vigilância e/ou Segurança</t>
  </si>
  <si>
    <t>Serviço de Água e Esgoto</t>
  </si>
  <si>
    <t>Serviços de Energia Elétrica</t>
  </si>
  <si>
    <t>Serviços de Telecomunicações - (Telefonia Fixa - Ramais)</t>
  </si>
  <si>
    <t xml:space="preserve"> MÊS</t>
  </si>
  <si>
    <t>MÉDIA¹</t>
  </si>
  <si>
    <t>DESVIO  PADRÃO²</t>
  </si>
  <si>
    <t>LIMITE  SUPERIOR</t>
  </si>
  <si>
    <t>LIMITE  INFERIOR</t>
  </si>
  <si>
    <t>ANOTAÇÕES:</t>
  </si>
  <si>
    <t xml:space="preserve"> CENTRO  DE  CUSTO:</t>
  </si>
  <si>
    <t>CUSTO  MÉDIO</t>
  </si>
  <si>
    <t>VARIAÇÃO</t>
  </si>
  <si>
    <t>IDENTIFICA  PERÍODO</t>
  </si>
  <si>
    <t xml:space="preserve"> CUSTO  MÉDIO</t>
  </si>
  <si>
    <t>VALOR  MÉDIO</t>
  </si>
  <si>
    <t>PESSOAL</t>
  </si>
  <si>
    <t>Nutrição Enteral</t>
  </si>
  <si>
    <t>Nutrição Parenteral</t>
  </si>
  <si>
    <t>Oxigênio Líquido</t>
  </si>
  <si>
    <t>Aluguel de Máquinas e Equipamentos</t>
  </si>
  <si>
    <t>Serviço de Esterilização de Materiais</t>
  </si>
  <si>
    <t>Serviços de Limpeza e Conservação</t>
  </si>
  <si>
    <t>Serviços Médico-Hospitalares</t>
  </si>
  <si>
    <t xml:space="preserve"> CENTRO  DE  CUSTO</t>
  </si>
  <si>
    <t>MÉDIA    PROD.</t>
  </si>
  <si>
    <t>MÉDIA    CUSTO</t>
  </si>
  <si>
    <t>MÉDIA</t>
  </si>
  <si>
    <t>GRÁFICO  CUSTO  MÉDIO</t>
  </si>
  <si>
    <t>MÉDIA  CUSTO EXTERNO</t>
  </si>
  <si>
    <t>Outros Serviços de Terceiros - Pessoa Jurídica</t>
  </si>
  <si>
    <t>Provisão de Férias</t>
  </si>
  <si>
    <t>Provisão de Gratificação Natalina (13º)</t>
  </si>
  <si>
    <t>Provisão de Patronal</t>
  </si>
  <si>
    <t>QUANT. MÉDIA</t>
  </si>
  <si>
    <t>OCULTAR COLUNA</t>
  </si>
  <si>
    <t>-</t>
  </si>
  <si>
    <t>Hora Extra</t>
  </si>
  <si>
    <t>Remuneração a Pessoal - Residente</t>
  </si>
  <si>
    <t>Material para Reabilitação (Órteses, próteses e materiais especiais - OPME)</t>
  </si>
  <si>
    <t>Custo</t>
  </si>
  <si>
    <t>Produção</t>
  </si>
  <si>
    <t>Outros</t>
  </si>
  <si>
    <t>3 - PARA PREENCHER A GUIA "CUSTO EXTERNO":</t>
  </si>
  <si>
    <r>
      <t xml:space="preserve">          b.3) "</t>
    </r>
    <r>
      <rPr>
        <i/>
        <sz val="10"/>
        <color theme="1"/>
        <rFont val="Arial"/>
        <family val="2"/>
      </rPr>
      <t>Período (mês/ano)</t>
    </r>
    <r>
      <rPr>
        <sz val="10"/>
        <color theme="1"/>
        <rFont val="Arial"/>
        <family val="2"/>
      </rPr>
      <t xml:space="preserve">": </t>
    </r>
    <r>
      <rPr>
        <b/>
        <sz val="10"/>
        <color theme="1"/>
        <rFont val="Arial"/>
        <family val="2"/>
      </rPr>
      <t>Informar apenas um Mês</t>
    </r>
    <r>
      <rPr>
        <sz val="10"/>
        <color theme="1"/>
        <rFont val="Arial"/>
        <family val="2"/>
      </rPr>
      <t xml:space="preserve"> (atual, mês anterior, etc.).</t>
    </r>
  </si>
  <si>
    <t>4 - VÁ PARA A PLANILHA EXCEL:</t>
  </si>
  <si>
    <r>
      <t xml:space="preserve">     RELATÓRIO  GERENCIAL - </t>
    </r>
    <r>
      <rPr>
        <sz val="10"/>
        <color theme="1"/>
        <rFont val="Arial"/>
        <family val="2"/>
      </rPr>
      <t xml:space="preserve">Somente após efetuar os procedimentos (1 a 4) o relatório será </t>
    </r>
    <r>
      <rPr>
        <b/>
        <u/>
        <sz val="10"/>
        <color theme="1"/>
        <rFont val="Arial"/>
        <family val="2"/>
      </rPr>
      <t>automaticamente preenchido, exceto</t>
    </r>
    <r>
      <rPr>
        <sz val="10"/>
        <color theme="1"/>
        <rFont val="Arial"/>
        <family val="2"/>
      </rPr>
      <t xml:space="preserve"> alguns dados da Unidade de Saúde.</t>
    </r>
  </si>
  <si>
    <r>
      <t xml:space="preserve">          b.2) "</t>
    </r>
    <r>
      <rPr>
        <i/>
        <sz val="10"/>
        <color theme="1"/>
        <rFont val="Arial"/>
        <family val="2"/>
      </rPr>
      <t>Tipo Centro Custo</t>
    </r>
    <r>
      <rPr>
        <sz val="10"/>
        <color theme="1"/>
        <rFont val="Arial"/>
        <family val="2"/>
      </rPr>
      <t xml:space="preserve">": </t>
    </r>
    <r>
      <rPr>
        <b/>
        <sz val="10"/>
        <color theme="1"/>
        <rFont val="Arial"/>
        <family val="2"/>
      </rPr>
      <t>Selecionar</t>
    </r>
    <r>
      <rPr>
        <sz val="10"/>
        <color theme="1"/>
        <rFont val="Arial"/>
        <family val="2"/>
      </rPr>
      <t xml:space="preserve"> "</t>
    </r>
    <r>
      <rPr>
        <b/>
        <i/>
        <sz val="10"/>
        <color theme="1"/>
        <rFont val="Arial"/>
        <family val="2"/>
      </rPr>
      <t>Externo</t>
    </r>
    <r>
      <rPr>
        <sz val="10"/>
        <color theme="1"/>
        <rFont val="Arial"/>
        <family val="2"/>
      </rPr>
      <t>".</t>
    </r>
  </si>
  <si>
    <t>CRÉDITOS:</t>
  </si>
  <si>
    <t>Titulares:</t>
  </si>
  <si>
    <t>1) Gerência de Custos Regionais – Marcelo de Jesus Neves, mat. 199662-2 ;</t>
  </si>
  <si>
    <t>2) Hospital Materno Infantil – Marcos José Souza de Oliveira, mat. 1.438.823-5;</t>
  </si>
  <si>
    <t>3) Hospital de Apoio de Brasília – Marcelino dos Santos Andrade, mat. 130048-2 ;</t>
  </si>
  <si>
    <t>4) Superintendência da Região de Saúde Sudoeste – Edimar Junio Ribeiro Rodrigues, mat. 1694973-0;</t>
  </si>
  <si>
    <t>5) Superintendência da Região de Saúde Centro-Sul – Silvana Reigota Naves de Araújo, mat. 214725-4; e</t>
  </si>
  <si>
    <t>6) Superintendência da Região de Saúde Sudoeste – Washington Alexandre Dias de Almeida, mat. 1443206-4).</t>
  </si>
  <si>
    <t>Suplentes:</t>
  </si>
  <si>
    <t>1) Gerência de Custos Regionais – Nelson José Cocco Junior, mat. 198.495-0;</t>
  </si>
  <si>
    <t>2) Superintendência da Região de Saúde Central – Sâmela Cristine Rodrigues de Souza, mat. 141749-5;</t>
  </si>
  <si>
    <t>3) Superintendência da Região de Saúde Leste – Leonardo Barbosa Leal, mat. 1695079-8;</t>
  </si>
  <si>
    <t>4) Superintendência da Região de Saúde Leste – Lucyara Araújo Simplício, mat. 182679-4;</t>
  </si>
  <si>
    <t>5) Superintendência da Região de Centro-Sul – Valéria dos Santos Souza, mat. 1660095-9; e</t>
  </si>
  <si>
    <t>6)Superintendência da Região de Saúde Oeste, Daniel Soares Nery, mat. 1.88.785-8.</t>
  </si>
  <si>
    <t>Desenvolvimento técnico da ferramenta:</t>
  </si>
  <si>
    <t>Marcelino dos Santos Andrade - NGC/HAB</t>
  </si>
  <si>
    <t>Marcelo de Jesus Neves - GEC/DGR</t>
  </si>
  <si>
    <t>Edimar Junio Ribeiro Rodrigues - NGC/HRT</t>
  </si>
  <si>
    <t>Washington Alexandre Dias de Almeida - NGC/HRSAM</t>
  </si>
  <si>
    <t>Jorge Edson Souza Dantas Miranda Machado - GEC/DGR</t>
  </si>
  <si>
    <t>O Relatório Gerencial Quadrimestral de Custos - RGQC, foi desenvolvido pelo Grupo de Trabalho - GT:</t>
  </si>
  <si>
    <t>Programação em VBA:</t>
  </si>
  <si>
    <t>Diagramação e Ajuste técnico:</t>
  </si>
  <si>
    <t>COEFICIENTE  ³
DE  VARIAÇÃO</t>
  </si>
  <si>
    <r>
      <t xml:space="preserve">Grupo de Trabalho - GT Custos (SEI 00060-00362583/2021-89)
Gerência de Custos Regionais - GEC/DGR/CGCSS/GAB - SES/DF </t>
    </r>
    <r>
      <rPr>
        <i/>
        <sz val="8"/>
        <color rgb="FF0000FF"/>
        <rFont val="Calibri"/>
        <family val="2"/>
        <scheme val="minor"/>
      </rPr>
      <t xml:space="preserve"> e-mail: gec.dgr@saude.df.gob.br</t>
    </r>
  </si>
  <si>
    <t>Revisão Metodológica:</t>
  </si>
  <si>
    <t>Guilherme Mota Carvalho - DGR/CGCSS</t>
  </si>
  <si>
    <t>Nelso José Cocco Junior - GEC/DGR</t>
  </si>
  <si>
    <t>Darlan Messias Freitas Moreira - GEC/DGR</t>
  </si>
  <si>
    <t>Depreciação Predial</t>
  </si>
  <si>
    <t>DEPRECIAÇÃO</t>
  </si>
  <si>
    <t>material de consumo</t>
  </si>
  <si>
    <t>serviços de terceiros</t>
  </si>
  <si>
    <t>despesas gerais</t>
  </si>
  <si>
    <t>Depreciação de Equipamento</t>
  </si>
  <si>
    <t>CENTRO DE CUSTO</t>
  </si>
  <si>
    <t>ITEM DE PRODUÇÃO</t>
  </si>
  <si>
    <t>NO PRAZO</t>
  </si>
  <si>
    <t>FORA DO PRAZO</t>
  </si>
  <si>
    <t>NÃO REALIZADO</t>
  </si>
  <si>
    <t>01</t>
  </si>
  <si>
    <t>02</t>
  </si>
  <si>
    <t>03</t>
  </si>
  <si>
    <t>04</t>
  </si>
  <si>
    <t>05</t>
  </si>
  <si>
    <t>06</t>
  </si>
  <si>
    <t>07</t>
  </si>
  <si>
    <t>08</t>
  </si>
  <si>
    <t>Nº</t>
  </si>
  <si>
    <t>INDICAÇÃO</t>
  </si>
  <si>
    <t>GEC/DGR</t>
  </si>
  <si>
    <t>VALIDAÇÃO - MÊS 01</t>
  </si>
  <si>
    <t>VALIDAÇÃO - MÊS 02</t>
  </si>
  <si>
    <t>VALIDAÇÃO - MÊS 03</t>
  </si>
  <si>
    <t>Média</t>
  </si>
  <si>
    <t>Desvio Padrão (A)</t>
  </si>
  <si>
    <t>Coeficiente de Variação (CV)</t>
  </si>
  <si>
    <t>Coeficiente de Variação (CV) - SES:</t>
  </si>
  <si>
    <t>GRÁFICO 1 - PRODUÇÃO X CUSTO</t>
  </si>
  <si>
    <t>GRÁFICO 2 - PRODUÇÃOX CUSTOS</t>
  </si>
  <si>
    <t>ANÁLISES DO(S) INDICADOR(ES) OBSERVADO(S) NO PERÍODO:</t>
  </si>
  <si>
    <t>Remuneração a Pessoal - CLT</t>
  </si>
  <si>
    <t>Benefícios a Pessoal - CLT</t>
  </si>
  <si>
    <t>Provisão de Férias - CLT</t>
  </si>
  <si>
    <t>Provisão de gratificação natalina (13°) - CLT</t>
  </si>
  <si>
    <t>Remuneração a Pessoal Estatutário - Estadual</t>
  </si>
  <si>
    <t>Remuneração a Pessoal - Contrato Temporário</t>
  </si>
  <si>
    <t>Remuneração a Pessoal - Estatutário</t>
  </si>
  <si>
    <t>Remuneração a Pessoal - Estagiários</t>
  </si>
  <si>
    <t>Custo Total c/RH (Provisões+Encargos+Benefícios+Remuneração)</t>
  </si>
  <si>
    <t xml:space="preserve"> Unidade:  </t>
  </si>
  <si>
    <t>CV PRODUÇÃO:</t>
  </si>
  <si>
    <t>CV  do  CUSTO:</t>
  </si>
  <si>
    <r>
      <t xml:space="preserve"> CENTRO  DE  CUSTO  </t>
    </r>
    <r>
      <rPr>
        <sz val="10"/>
        <color theme="1"/>
        <rFont val="Calibri"/>
        <family val="2"/>
      </rPr>
      <t>(nomes  conforme  APURASUS)</t>
    </r>
  </si>
  <si>
    <t xml:space="preserve">Coeficiente de Variação (CV) - SES: </t>
  </si>
  <si>
    <t>MATERIAL DE CONSUMO</t>
  </si>
  <si>
    <t>SERVIÇOS DE TERCEIROS</t>
  </si>
  <si>
    <t>DESPESAS GERAIS</t>
  </si>
  <si>
    <t>DESVIO  PADRÃO</t>
  </si>
  <si>
    <t xml:space="preserve">DESVIO  PADRÃO </t>
  </si>
  <si>
    <r>
      <rPr>
        <b/>
        <sz val="9"/>
        <color theme="1"/>
        <rFont val="Arial"/>
        <family val="2"/>
      </rPr>
      <t>LEGENDA:</t>
    </r>
    <r>
      <rPr>
        <sz val="9"/>
        <color theme="1"/>
        <rFont val="Arial"/>
        <family val="2"/>
      </rPr>
      <t xml:space="preserve">
¹ Média Aritmética - é a </t>
    </r>
    <r>
      <rPr>
        <b/>
        <u/>
        <sz val="9"/>
        <color theme="1"/>
        <rFont val="Arial"/>
        <family val="2"/>
      </rPr>
      <t>soma de todos os custos</t>
    </r>
    <r>
      <rPr>
        <sz val="9"/>
        <color theme="1"/>
        <rFont val="Arial"/>
        <family val="2"/>
      </rPr>
      <t xml:space="preserve"> e dividindo o valor encontrado pelo </t>
    </r>
    <r>
      <rPr>
        <b/>
        <sz val="9"/>
        <color theme="1"/>
        <rFont val="Arial"/>
        <family val="2"/>
      </rPr>
      <t>número de dados</t>
    </r>
    <r>
      <rPr>
        <sz val="9"/>
        <color theme="1"/>
        <rFont val="Arial"/>
        <family val="2"/>
      </rPr>
      <t xml:space="preserve"> desse conjunto;
² Desvio Padrão - Expressa o quanto os resultados diferem da média. Quanto mais</t>
    </r>
    <r>
      <rPr>
        <b/>
        <u/>
        <sz val="9"/>
        <color theme="1"/>
        <rFont val="Arial"/>
        <family val="2"/>
      </rPr>
      <t xml:space="preserve"> próximo de 0 mais  homogêneo</t>
    </r>
    <r>
      <rPr>
        <sz val="9"/>
        <color theme="1"/>
        <rFont val="Arial"/>
        <family val="2"/>
      </rPr>
      <t xml:space="preserve"> são os dados;
³ Coeficiente de Variação - Mede a </t>
    </r>
    <r>
      <rPr>
        <b/>
        <u/>
        <sz val="9"/>
        <color theme="1"/>
        <rFont val="Arial"/>
        <family val="2"/>
      </rPr>
      <t>dispersão dos dados em relação à média aritmética</t>
    </r>
    <r>
      <rPr>
        <sz val="9"/>
        <color theme="1"/>
        <rFont val="Arial"/>
        <family val="2"/>
      </rPr>
      <t>. É igual ao desvio-padrão dividido pela média aritmética.</t>
    </r>
  </si>
  <si>
    <t>MEDIANA</t>
  </si>
  <si>
    <r>
      <t>CUSTO  QUADRIMESTRAL  DA  UNIDADE:</t>
    </r>
    <r>
      <rPr>
        <sz val="23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>(Relatório APURASUS: "CUSTO TOTAL DA UNIDADE")</t>
    </r>
  </si>
  <si>
    <r>
      <rPr>
        <b/>
        <sz val="14"/>
        <rFont val="Calibri"/>
        <family val="2"/>
        <scheme val="minor"/>
      </rPr>
      <t xml:space="preserve">RETORNAS  VALORES  ÚNICOS EM CADA MÊS  </t>
    </r>
    <r>
      <rPr>
        <b/>
        <sz val="9"/>
        <rFont val="Calibri"/>
        <family val="2"/>
        <scheme val="minor"/>
      </rPr>
      <t xml:space="preserve">
-  </t>
    </r>
    <r>
      <rPr>
        <sz val="9"/>
        <rFont val="Calibri"/>
        <family val="2"/>
        <scheme val="minor"/>
      </rPr>
      <t>Fórmula : https://www.youtube.com/watch?v=bBlm9IsvM0Q</t>
    </r>
  </si>
  <si>
    <r>
      <rPr>
        <b/>
        <sz val="14"/>
        <rFont val="Calibri"/>
        <family val="2"/>
        <scheme val="minor"/>
      </rPr>
      <t xml:space="preserve">EXTRAI NOMES(CC's)  </t>
    </r>
    <r>
      <rPr>
        <sz val="9"/>
        <rFont val="Calibri"/>
        <family val="2"/>
        <scheme val="minor"/>
      </rPr>
      <t xml:space="preserve">
- Fórmula: https://www.youtube.com/watch?v=h0suq5B8d_0</t>
    </r>
  </si>
  <si>
    <r>
      <t xml:space="preserve">PRODUÇÃO  DA  UNIDADE  -  REFERENTE  AO 1º MÊS: </t>
    </r>
    <r>
      <rPr>
        <sz val="23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 xml:space="preserve">(Relatório APURASUS: "CENTRO DE CUSTO X PRODUTO) </t>
    </r>
  </si>
  <si>
    <r>
      <t xml:space="preserve">PRODUÇÃO  DA  UNIDADE  -  REFERENTE  AO 2º MÊS: </t>
    </r>
    <r>
      <rPr>
        <sz val="23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 xml:space="preserve">(Relatório APURASUS: "CENTRO DE CUSTO X PRODUTO) </t>
    </r>
  </si>
  <si>
    <r>
      <t xml:space="preserve">PRODUÇÃO  DA  UNIDADE  -  REFERENTE  AO 4º MÊS: </t>
    </r>
    <r>
      <rPr>
        <sz val="23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 xml:space="preserve">(Relatório APURASUS: "CENTRO DE CUSTO X PRODUTO) </t>
    </r>
  </si>
  <si>
    <r>
      <t xml:space="preserve">PRODUÇÃO  DA  UNIDADE  -  REFERENTE  AO 3º MÊS: </t>
    </r>
    <r>
      <rPr>
        <sz val="23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 xml:space="preserve">(Relatório APURASUS: "CENTRO DE CUSTO X PRODUTO) </t>
    </r>
  </si>
  <si>
    <r>
      <t xml:space="preserve">CENTROS  DE  CUSTOS  EXTERNOS:  
</t>
    </r>
    <r>
      <rPr>
        <b/>
        <sz val="11"/>
        <rFont val="Calibri"/>
        <family val="2"/>
        <scheme val="minor"/>
      </rPr>
      <t xml:space="preserve">(Relatório APURASUS: "CENTRO DE CUSTO X PRODUTO &gt;  Tipo Centro Custo:  EXTERNO) </t>
    </r>
  </si>
  <si>
    <t xml:space="preserve">COMPARATIVO  SES </t>
  </si>
  <si>
    <t>PADRÃO ATÉ:</t>
  </si>
  <si>
    <t>Pessoal</t>
  </si>
  <si>
    <t xml:space="preserve"> Qt.  Leitos:</t>
  </si>
  <si>
    <t xml:space="preserve"> Qt.  Serv.:</t>
  </si>
  <si>
    <t xml:space="preserve">                  GDF - GOVERNO DO DISTRITO FEDERAL</t>
  </si>
  <si>
    <t xml:space="preserve">                  SES/DF - SECRETARIA DE ESTADO DE SAÚDE DO DISTRITO FEDERAL</t>
  </si>
  <si>
    <r>
      <rPr>
        <sz val="10"/>
        <color theme="0" tint="-0.499984740745262"/>
        <rFont val="Calibri"/>
        <family val="2"/>
        <scheme val="minor"/>
      </rPr>
      <t xml:space="preserve">GEMAC - Gerência de Monitoramento e Avaliação de Custos em Saúde.  </t>
    </r>
    <r>
      <rPr>
        <b/>
        <sz val="10"/>
        <rFont val="Calibri"/>
        <family val="2"/>
        <scheme val="minor"/>
      </rPr>
      <t xml:space="preserve">RGQC V4.0 (jan/ 25). </t>
    </r>
  </si>
  <si>
    <r>
      <t xml:space="preserve">  INFORMAÇÕES ADICIONAIS</t>
    </r>
    <r>
      <rPr>
        <sz val="11"/>
        <rFont val="Calibri"/>
        <family val="2"/>
        <scheme val="minor"/>
      </rPr>
      <t xml:space="preserve"> (se houver)</t>
    </r>
    <r>
      <rPr>
        <b/>
        <sz val="11"/>
        <rFont val="Calibri"/>
        <family val="2"/>
        <scheme val="minor"/>
      </rPr>
      <t>:</t>
    </r>
  </si>
  <si>
    <r>
      <t xml:space="preserve">ANÁLISES DE INDICADORES OBSERVADOS. </t>
    </r>
    <r>
      <rPr>
        <b/>
        <u/>
        <sz val="10.7"/>
        <rFont val="Calibri"/>
        <family val="2"/>
      </rPr>
      <t>Não restringido</t>
    </r>
    <r>
      <rPr>
        <sz val="10.7"/>
        <rFont val="Calibri"/>
        <family val="2"/>
      </rPr>
      <t xml:space="preserve"> aos destaques nos gráficos, considere as </t>
    </r>
    <r>
      <rPr>
        <b/>
        <u/>
        <sz val="10.7"/>
        <rFont val="Calibri"/>
        <family val="2"/>
      </rPr>
      <t>variações de custo e produção</t>
    </r>
    <r>
      <rPr>
        <b/>
        <sz val="10.7"/>
        <rFont val="Calibri"/>
        <family val="2"/>
      </rPr>
      <t xml:space="preserve">. </t>
    </r>
    <r>
      <rPr>
        <sz val="10.7"/>
        <rFont val="Calibri"/>
        <family val="2"/>
      </rPr>
      <t xml:space="preserve">Atentar aos valores de </t>
    </r>
    <r>
      <rPr>
        <b/>
        <u/>
        <sz val="10.7"/>
        <rFont val="Calibri"/>
        <family val="2"/>
      </rPr>
      <t>referência SES e o CV</t>
    </r>
    <r>
      <rPr>
        <b/>
        <sz val="10.7"/>
        <rFont val="Calibri"/>
        <family val="2"/>
      </rPr>
      <t xml:space="preserve">. </t>
    </r>
    <r>
      <rPr>
        <sz val="10.7"/>
        <rFont val="Calibri"/>
        <family val="2"/>
      </rPr>
      <t xml:space="preserve">Pode-se comparar ao </t>
    </r>
    <r>
      <rPr>
        <b/>
        <u/>
        <sz val="10.7"/>
        <rFont val="Calibri"/>
        <family val="2"/>
      </rPr>
      <t>quadrimestre anterior</t>
    </r>
    <r>
      <rPr>
        <b/>
        <sz val="10.7"/>
        <rFont val="Calibri"/>
        <family val="2"/>
      </rPr>
      <t xml:space="preserve">:  </t>
    </r>
    <r>
      <rPr>
        <sz val="9.5"/>
        <rFont val="Arial"/>
        <family val="2"/>
      </rPr>
      <t/>
    </r>
  </si>
  <si>
    <t>RELATÓRIO GERENCIAL QUADRIMESTRAL DE CUSTOS - RGQC</t>
  </si>
  <si>
    <t xml:space="preserve">      j) Clique em qualquer linha da planilha para que não delete os dados colados;</t>
  </si>
  <si>
    <t xml:space="preserve"> 4 - GUIA "SES - CMU": </t>
  </si>
  <si>
    <t xml:space="preserve">       g) Clique em qualquer linha da planilha para que não delete os dados colados;</t>
  </si>
  <si>
    <t xml:space="preserve"> ORIENTAÇÕES  DE  PREENCHIMENTO</t>
  </si>
  <si>
    <t xml:space="preserve"> 5 - GUIA "RELATÓRIO: </t>
  </si>
  <si>
    <t xml:space="preserve">CUSTO EXTERNO:  </t>
  </si>
  <si>
    <t xml:space="preserve"> GRUPOS  DE  CUSTOS</t>
  </si>
  <si>
    <t xml:space="preserve">SOMA DOS GRUPOS:  </t>
  </si>
  <si>
    <r>
      <t xml:space="preserve">CUSTO  TOTAL </t>
    </r>
    <r>
      <rPr>
        <sz val="11"/>
        <rFont val="Calibri"/>
        <family val="2"/>
        <scheme val="minor"/>
      </rPr>
      <t xml:space="preserve"> (soma + custo externo)</t>
    </r>
    <r>
      <rPr>
        <b/>
        <sz val="11"/>
        <rFont val="Calibri"/>
        <family val="2"/>
        <scheme val="minor"/>
      </rPr>
      <t>:</t>
    </r>
    <r>
      <rPr>
        <sz val="11"/>
        <rFont val="Calibri"/>
        <family val="2"/>
        <scheme val="minor"/>
      </rPr>
      <t xml:space="preserve"> </t>
    </r>
    <r>
      <rPr>
        <sz val="1"/>
        <rFont val="Calibri"/>
        <family val="2"/>
        <scheme val="minor"/>
      </rPr>
      <t>.</t>
    </r>
  </si>
  <si>
    <r>
      <t xml:space="preserve"> ITEM  DE  CUSTOS  </t>
    </r>
    <r>
      <rPr>
        <sz val="10"/>
        <color theme="1"/>
        <rFont val="Calibri"/>
        <family val="2"/>
      </rPr>
      <t>(o item com o percentual acima da média da categoria será destacado.)</t>
    </r>
  </si>
  <si>
    <r>
      <t xml:space="preserve">       a) Acessar </t>
    </r>
    <r>
      <rPr>
        <b/>
        <sz val="12"/>
        <rFont val="Arial"/>
        <family val="2"/>
      </rPr>
      <t>APURASUS &gt; RELATÓRIO</t>
    </r>
    <r>
      <rPr>
        <sz val="12"/>
        <rFont val="Arial"/>
        <family val="2"/>
      </rPr>
      <t>" e preencher:</t>
    </r>
  </si>
  <si>
    <r>
      <t xml:space="preserve">         a.1) Tipo de Relatório: "</t>
    </r>
    <r>
      <rPr>
        <b/>
        <sz val="12"/>
        <color rgb="FF0000FF"/>
        <rFont val="Arial"/>
        <family val="2"/>
      </rPr>
      <t>Custo Total da Unidade</t>
    </r>
    <r>
      <rPr>
        <sz val="12"/>
        <rFont val="Arial"/>
        <family val="2"/>
      </rPr>
      <t>";</t>
    </r>
  </si>
  <si>
    <r>
      <t xml:space="preserve">         a.2) "</t>
    </r>
    <r>
      <rPr>
        <b/>
        <sz val="12"/>
        <rFont val="Arial"/>
        <family val="2"/>
      </rPr>
      <t>Mês/Ano de Início</t>
    </r>
    <r>
      <rPr>
        <sz val="12"/>
        <rFont val="Arial"/>
        <family val="2"/>
      </rPr>
      <t>: Informe o</t>
    </r>
    <r>
      <rPr>
        <u/>
        <sz val="12"/>
        <rFont val="Arial"/>
        <family val="2"/>
      </rPr>
      <t xml:space="preserve"> </t>
    </r>
    <r>
      <rPr>
        <b/>
        <u/>
        <sz val="12"/>
        <rFont val="Arial"/>
        <family val="2"/>
      </rPr>
      <t>primeiro mês</t>
    </r>
    <r>
      <rPr>
        <sz val="12"/>
        <rFont val="Arial"/>
        <family val="2"/>
      </rPr>
      <t xml:space="preserve"> do quadrimestre;</t>
    </r>
  </si>
  <si>
    <r>
      <t xml:space="preserve">         a.3) "</t>
    </r>
    <r>
      <rPr>
        <b/>
        <sz val="12"/>
        <rFont val="Arial"/>
        <family val="2"/>
      </rPr>
      <t>Mês/Ano de Fim</t>
    </r>
    <r>
      <rPr>
        <sz val="12"/>
        <rFont val="Arial"/>
        <family val="2"/>
      </rPr>
      <t xml:space="preserve">: Informe o </t>
    </r>
    <r>
      <rPr>
        <b/>
        <u/>
        <sz val="12"/>
        <rFont val="Arial"/>
        <family val="2"/>
      </rPr>
      <t>último mê</t>
    </r>
    <r>
      <rPr>
        <sz val="12"/>
        <rFont val="Arial"/>
        <family val="2"/>
      </rPr>
      <t>s do quadrimestre;</t>
    </r>
  </si>
  <si>
    <r>
      <t xml:space="preserve">       b) Clique em "</t>
    </r>
    <r>
      <rPr>
        <b/>
        <sz val="12"/>
        <color rgb="FF0000FF"/>
        <rFont val="Arial"/>
        <family val="2"/>
      </rPr>
      <t>Gerar Relatório</t>
    </r>
    <r>
      <rPr>
        <sz val="12"/>
        <rFont val="Arial"/>
        <family val="2"/>
      </rPr>
      <t>" e aguarde;</t>
    </r>
  </si>
  <si>
    <r>
      <t xml:space="preserve">       c) No relatório. Com o </t>
    </r>
    <r>
      <rPr>
        <b/>
        <sz val="12"/>
        <rFont val="Arial"/>
        <family val="2"/>
      </rPr>
      <t>botão esquerdo</t>
    </r>
    <r>
      <rPr>
        <sz val="12"/>
        <rFont val="Arial"/>
        <family val="2"/>
      </rPr>
      <t xml:space="preserve"> do mouse, </t>
    </r>
    <r>
      <rPr>
        <b/>
        <sz val="12"/>
        <rFont val="Arial"/>
        <family val="2"/>
      </rPr>
      <t>selecione</t>
    </r>
    <r>
      <rPr>
        <sz val="12"/>
        <rFont val="Arial"/>
        <family val="2"/>
      </rPr>
      <t xml:space="preserve"> os dados a </t>
    </r>
    <r>
      <rPr>
        <b/>
        <u/>
        <sz val="12"/>
        <rFont val="Arial"/>
        <family val="2"/>
      </rPr>
      <t xml:space="preserve">partir do texto </t>
    </r>
    <r>
      <rPr>
        <b/>
        <u/>
        <sz val="12"/>
        <color rgb="FF0000FF"/>
        <rFont val="Arial"/>
        <family val="2"/>
      </rPr>
      <t>"Instituição"</t>
    </r>
    <r>
      <rPr>
        <b/>
        <sz val="12"/>
        <rFont val="Arial"/>
        <family val="2"/>
      </rPr>
      <t xml:space="preserve">  até a </t>
    </r>
    <r>
      <rPr>
        <b/>
        <u/>
        <sz val="12"/>
        <rFont val="Arial"/>
        <family val="2"/>
      </rPr>
      <t>penúltima linha</t>
    </r>
    <r>
      <rPr>
        <sz val="12"/>
        <rFont val="Arial"/>
        <family val="2"/>
      </rPr>
      <t>;</t>
    </r>
  </si>
  <si>
    <r>
      <t xml:space="preserve">       d) Com o texto ainda selecionado, clique no </t>
    </r>
    <r>
      <rPr>
        <b/>
        <sz val="12"/>
        <rFont val="Arial"/>
        <family val="2"/>
      </rPr>
      <t>botão direito</t>
    </r>
    <r>
      <rPr>
        <sz val="12"/>
        <rFont val="Arial"/>
        <family val="2"/>
      </rPr>
      <t xml:space="preserve"> do mouse e clique em "</t>
    </r>
    <r>
      <rPr>
        <b/>
        <sz val="12"/>
        <rFont val="Arial"/>
        <family val="2"/>
      </rPr>
      <t>Copiar</t>
    </r>
    <r>
      <rPr>
        <sz val="12"/>
        <rFont val="Arial"/>
        <family val="2"/>
      </rPr>
      <t>";</t>
    </r>
  </si>
  <si>
    <r>
      <t xml:space="preserve">       e) </t>
    </r>
    <r>
      <rPr>
        <b/>
        <sz val="12"/>
        <color rgb="FFFF0000"/>
        <rFont val="Arial"/>
        <family val="2"/>
      </rPr>
      <t xml:space="preserve">Vá para a guia "CUSTO TOTAL - QUADRIM.". </t>
    </r>
    <r>
      <rPr>
        <sz val="12"/>
        <rFont val="Arial"/>
        <family val="2"/>
      </rPr>
      <t xml:space="preserve">Clique na </t>
    </r>
    <r>
      <rPr>
        <b/>
        <sz val="12"/>
        <rFont val="Arial"/>
        <family val="2"/>
      </rPr>
      <t>céula "B2"</t>
    </r>
    <r>
      <rPr>
        <sz val="12"/>
        <rFont val="Arial"/>
        <family val="2"/>
      </rPr>
      <t xml:space="preserve"> (destacada em  amarelo); </t>
    </r>
  </si>
  <si>
    <r>
      <t xml:space="preserve">       f) Nos menus do Excel "</t>
    </r>
    <r>
      <rPr>
        <b/>
        <sz val="12"/>
        <color rgb="FF0000FF"/>
        <rFont val="Arial"/>
        <family val="2"/>
      </rPr>
      <t>Página Inicial &gt; Colar &gt; Colar Especia</t>
    </r>
    <r>
      <rPr>
        <b/>
        <sz val="12"/>
        <rFont val="Arial"/>
        <family val="2"/>
      </rPr>
      <t>l</t>
    </r>
    <r>
      <rPr>
        <sz val="12"/>
        <rFont val="Arial"/>
        <family val="2"/>
      </rPr>
      <t>", dê dois cliques em "</t>
    </r>
    <r>
      <rPr>
        <b/>
        <sz val="12"/>
        <color rgb="FF0000FF"/>
        <rFont val="Arial"/>
        <family val="2"/>
      </rPr>
      <t>Texto Unicode</t>
    </r>
    <r>
      <rPr>
        <sz val="12"/>
        <rFont val="Arial"/>
        <family val="2"/>
      </rPr>
      <t>";</t>
    </r>
  </si>
  <si>
    <r>
      <t xml:space="preserve">          a.1) Tipo de Relatório: "</t>
    </r>
    <r>
      <rPr>
        <b/>
        <sz val="12"/>
        <color rgb="FF0000FF"/>
        <rFont val="Arial"/>
        <family val="2"/>
      </rPr>
      <t>Centro de Custo X Produto</t>
    </r>
    <r>
      <rPr>
        <sz val="12"/>
        <rFont val="Arial"/>
        <family val="2"/>
      </rPr>
      <t xml:space="preserve">";           </t>
    </r>
  </si>
  <si>
    <r>
      <t xml:space="preserve">          a.2) Período (mês/ano): Informar apenas </t>
    </r>
    <r>
      <rPr>
        <b/>
        <u/>
        <sz val="12"/>
        <color rgb="FFFF0000"/>
        <rFont val="Arial"/>
        <family val="2"/>
      </rPr>
      <t>um mês por vez</t>
    </r>
    <r>
      <rPr>
        <sz val="12"/>
        <rFont val="Arial"/>
        <family val="2"/>
      </rPr>
      <t xml:space="preserve"> até </t>
    </r>
    <r>
      <rPr>
        <b/>
        <sz val="12"/>
        <rFont val="Arial"/>
        <family val="2"/>
      </rPr>
      <t>completar o quadrimestre</t>
    </r>
    <r>
      <rPr>
        <sz val="12"/>
        <rFont val="Arial"/>
        <family val="2"/>
      </rPr>
      <t xml:space="preserve"> desejado (1º, 2º, 3º e 4º  mês);</t>
    </r>
  </si>
  <si>
    <r>
      <t xml:space="preserve">       e) Uma a uma (</t>
    </r>
    <r>
      <rPr>
        <b/>
        <sz val="12"/>
        <color rgb="FFFF0000"/>
        <rFont val="Arial"/>
        <family val="2"/>
      </rPr>
      <t>uma por vez</t>
    </r>
    <r>
      <rPr>
        <sz val="12"/>
        <rFont val="Arial"/>
        <family val="2"/>
      </rPr>
      <t>), vá para as guias</t>
    </r>
    <r>
      <rPr>
        <b/>
        <sz val="12"/>
        <color rgb="FFFF0000"/>
        <rFont val="Arial"/>
        <family val="2"/>
      </rPr>
      <t xml:space="preserve"> </t>
    </r>
    <r>
      <rPr>
        <b/>
        <sz val="12"/>
        <color rgb="FF0000FF"/>
        <rFont val="Arial"/>
        <family val="2"/>
      </rPr>
      <t>"PROD. 1º MÊS" até "PROD. 4º MÊS".</t>
    </r>
    <r>
      <rPr>
        <b/>
        <sz val="12"/>
        <color rgb="FFFF0000"/>
        <rFont val="Arial"/>
        <family val="2"/>
      </rPr>
      <t xml:space="preserve"> </t>
    </r>
    <r>
      <rPr>
        <sz val="12"/>
        <rFont val="Arial"/>
        <family val="2"/>
      </rPr>
      <t xml:space="preserve">Clique na </t>
    </r>
    <r>
      <rPr>
        <b/>
        <sz val="12"/>
        <rFont val="Arial"/>
        <family val="2"/>
      </rPr>
      <t>céula "C2"</t>
    </r>
    <r>
      <rPr>
        <sz val="12"/>
        <rFont val="Arial"/>
        <family val="2"/>
      </rPr>
      <t xml:space="preserve"> (destacada em  amarelo); </t>
    </r>
  </si>
  <si>
    <r>
      <t xml:space="preserve">      Acessar A</t>
    </r>
    <r>
      <rPr>
        <b/>
        <sz val="12"/>
        <rFont val="Arial"/>
        <family val="2"/>
      </rPr>
      <t>PURASUS &gt; RELATÓRIO</t>
    </r>
    <r>
      <rPr>
        <sz val="12"/>
        <rFont val="Arial"/>
        <family val="2"/>
      </rPr>
      <t>". Preencher:</t>
    </r>
  </si>
  <si>
    <r>
      <t xml:space="preserve">      a) Tipo de Relatório: "</t>
    </r>
    <r>
      <rPr>
        <b/>
        <sz val="12"/>
        <color rgb="FF0000FF"/>
        <rFont val="Arial"/>
        <family val="2"/>
      </rPr>
      <t>Centro de Custo X Produto</t>
    </r>
    <r>
      <rPr>
        <sz val="12"/>
        <rFont val="Arial"/>
        <family val="2"/>
      </rPr>
      <t>";</t>
    </r>
  </si>
  <si>
    <r>
      <t xml:space="preserve">      b) Tipo Centro Custo: Selecionar "</t>
    </r>
    <r>
      <rPr>
        <b/>
        <u/>
        <sz val="12"/>
        <color rgb="FFFF0000"/>
        <rFont val="Arial"/>
        <family val="2"/>
      </rPr>
      <t>EXTERNO</t>
    </r>
    <r>
      <rPr>
        <sz val="12"/>
        <rFont val="Arial"/>
        <family val="2"/>
      </rPr>
      <t>";</t>
    </r>
  </si>
  <si>
    <r>
      <t xml:space="preserve">      c) "</t>
    </r>
    <r>
      <rPr>
        <b/>
        <sz val="12"/>
        <rFont val="Arial"/>
        <family val="2"/>
      </rPr>
      <t>Mês/Ano de Início</t>
    </r>
    <r>
      <rPr>
        <sz val="12"/>
        <rFont val="Arial"/>
        <family val="2"/>
      </rPr>
      <t>: Informe o</t>
    </r>
    <r>
      <rPr>
        <u/>
        <sz val="12"/>
        <rFont val="Arial"/>
        <family val="2"/>
      </rPr>
      <t xml:space="preserve"> </t>
    </r>
    <r>
      <rPr>
        <b/>
        <u/>
        <sz val="12"/>
        <rFont val="Arial"/>
        <family val="2"/>
      </rPr>
      <t>primeiro mês</t>
    </r>
    <r>
      <rPr>
        <sz val="12"/>
        <rFont val="Arial"/>
        <family val="2"/>
      </rPr>
      <t xml:space="preserve"> do quadrimestre;</t>
    </r>
  </si>
  <si>
    <r>
      <t xml:space="preserve">      d) "</t>
    </r>
    <r>
      <rPr>
        <b/>
        <sz val="12"/>
        <rFont val="Arial"/>
        <family val="2"/>
      </rPr>
      <t>Mês/Ano de Fim</t>
    </r>
    <r>
      <rPr>
        <sz val="12"/>
        <rFont val="Arial"/>
        <family val="2"/>
      </rPr>
      <t xml:space="preserve">: Informe o </t>
    </r>
    <r>
      <rPr>
        <b/>
        <u/>
        <sz val="12"/>
        <rFont val="Arial"/>
        <family val="2"/>
      </rPr>
      <t>último mê</t>
    </r>
    <r>
      <rPr>
        <sz val="12"/>
        <rFont val="Arial"/>
        <family val="2"/>
      </rPr>
      <t>s do quadrimestre;</t>
    </r>
  </si>
  <si>
    <r>
      <t xml:space="preserve">      e) Clique em "</t>
    </r>
    <r>
      <rPr>
        <b/>
        <sz val="12"/>
        <color rgb="FF0000FF"/>
        <rFont val="Arial"/>
        <family val="2"/>
      </rPr>
      <t>Gerar Relatório</t>
    </r>
    <r>
      <rPr>
        <sz val="12"/>
        <rFont val="Arial"/>
        <family val="2"/>
      </rPr>
      <t>" e aguarde;</t>
    </r>
  </si>
  <si>
    <r>
      <t xml:space="preserve">      f) No relatório. Com o </t>
    </r>
    <r>
      <rPr>
        <b/>
        <sz val="12"/>
        <rFont val="Arial"/>
        <family val="2"/>
      </rPr>
      <t>botão esquerdo</t>
    </r>
    <r>
      <rPr>
        <sz val="12"/>
        <rFont val="Arial"/>
        <family val="2"/>
      </rPr>
      <t xml:space="preserve"> do mouse, </t>
    </r>
    <r>
      <rPr>
        <b/>
        <sz val="12"/>
        <rFont val="Arial"/>
        <family val="2"/>
      </rPr>
      <t>selecione</t>
    </r>
    <r>
      <rPr>
        <sz val="12"/>
        <rFont val="Arial"/>
        <family val="2"/>
      </rPr>
      <t xml:space="preserve"> os dados a </t>
    </r>
    <r>
      <rPr>
        <b/>
        <u/>
        <sz val="12"/>
        <rFont val="Arial"/>
        <family val="2"/>
      </rPr>
      <t xml:space="preserve">partir do texto </t>
    </r>
    <r>
      <rPr>
        <b/>
        <u/>
        <sz val="12"/>
        <color rgb="FF0000FF"/>
        <rFont val="Arial"/>
        <family val="2"/>
      </rPr>
      <t>"Instituição"</t>
    </r>
    <r>
      <rPr>
        <b/>
        <sz val="12"/>
        <rFont val="Arial"/>
        <family val="2"/>
      </rPr>
      <t xml:space="preserve">  até a </t>
    </r>
    <r>
      <rPr>
        <b/>
        <u/>
        <sz val="12"/>
        <rFont val="Arial"/>
        <family val="2"/>
      </rPr>
      <t>penúltima linha</t>
    </r>
    <r>
      <rPr>
        <sz val="12"/>
        <rFont val="Arial"/>
        <family val="2"/>
      </rPr>
      <t>;</t>
    </r>
  </si>
  <si>
    <r>
      <t xml:space="preserve">      g) Com o texto ainda selecionado, clique no </t>
    </r>
    <r>
      <rPr>
        <b/>
        <sz val="12"/>
        <rFont val="Arial"/>
        <family val="2"/>
      </rPr>
      <t>botão direito</t>
    </r>
    <r>
      <rPr>
        <sz val="12"/>
        <rFont val="Arial"/>
        <family val="2"/>
      </rPr>
      <t xml:space="preserve"> do mouse e clique em "</t>
    </r>
    <r>
      <rPr>
        <b/>
        <sz val="12"/>
        <rFont val="Arial"/>
        <family val="2"/>
      </rPr>
      <t>Copiar</t>
    </r>
    <r>
      <rPr>
        <sz val="12"/>
        <rFont val="Arial"/>
        <family val="2"/>
      </rPr>
      <t>";</t>
    </r>
  </si>
  <si>
    <r>
      <t xml:space="preserve">      h) </t>
    </r>
    <r>
      <rPr>
        <b/>
        <sz val="12"/>
        <color rgb="FFFF0000"/>
        <rFont val="Arial"/>
        <family val="2"/>
      </rPr>
      <t xml:space="preserve">Vá para a guia "C. EXTERNO - QUADRIM.". </t>
    </r>
    <r>
      <rPr>
        <sz val="12"/>
        <rFont val="Arial"/>
        <family val="2"/>
      </rPr>
      <t xml:space="preserve">Clique na </t>
    </r>
    <r>
      <rPr>
        <b/>
        <sz val="12"/>
        <rFont val="Arial"/>
        <family val="2"/>
      </rPr>
      <t>céula "C2"</t>
    </r>
    <r>
      <rPr>
        <sz val="12"/>
        <rFont val="Arial"/>
        <family val="2"/>
      </rPr>
      <t xml:space="preserve"> (destacada em  amarelo); </t>
    </r>
  </si>
  <si>
    <r>
      <t xml:space="preserve">      i) Nos menus do Excel "</t>
    </r>
    <r>
      <rPr>
        <b/>
        <sz val="12"/>
        <color rgb="FF0000FF"/>
        <rFont val="Arial"/>
        <family val="2"/>
      </rPr>
      <t>Página Inicial &gt; Colar &gt; Colar Especia</t>
    </r>
    <r>
      <rPr>
        <b/>
        <sz val="12"/>
        <rFont val="Arial"/>
        <family val="2"/>
      </rPr>
      <t>l</t>
    </r>
    <r>
      <rPr>
        <sz val="12"/>
        <rFont val="Arial"/>
        <family val="2"/>
      </rPr>
      <t>", dê dois cliques em "</t>
    </r>
    <r>
      <rPr>
        <b/>
        <sz val="12"/>
        <color rgb="FF0000FF"/>
        <rFont val="Arial"/>
        <family val="2"/>
      </rPr>
      <t>Texto Unicode</t>
    </r>
    <r>
      <rPr>
        <sz val="12"/>
        <rFont val="Arial"/>
        <family val="2"/>
      </rPr>
      <t>";</t>
    </r>
  </si>
  <si>
    <r>
      <t xml:space="preserve">      k) </t>
    </r>
    <r>
      <rPr>
        <b/>
        <sz val="12"/>
        <color rgb="FFFF0000"/>
        <rFont val="Arial"/>
        <family val="2"/>
      </rPr>
      <t>Siga para o item 4</t>
    </r>
    <r>
      <rPr>
        <b/>
        <sz val="12"/>
        <rFont val="Arial"/>
        <family val="2"/>
      </rPr>
      <t>.</t>
    </r>
  </si>
  <si>
    <r>
      <t xml:space="preserve">      a) Após abrir</t>
    </r>
    <r>
      <rPr>
        <b/>
        <sz val="12"/>
        <color rgb="FF0000FF"/>
        <rFont val="Arial"/>
        <family val="2"/>
      </rPr>
      <t xml:space="preserve"> arquivo enviado pela GEMAC/SES</t>
    </r>
    <r>
      <rPr>
        <sz val="12"/>
        <rFont val="Arial"/>
        <family val="2"/>
      </rPr>
      <t>;</t>
    </r>
  </si>
  <si>
    <r>
      <t xml:space="preserve">      b) No arquivo recebido. Selecione os dados das linhas a seren copiados e e tecle </t>
    </r>
    <r>
      <rPr>
        <b/>
        <u/>
        <sz val="12"/>
        <rFont val="Arial"/>
        <family val="2"/>
      </rPr>
      <t>"Ctrl + C" (ao m,esmo tempo);</t>
    </r>
  </si>
  <si>
    <r>
      <t xml:space="preserve">      c) Nos menus do Excel "</t>
    </r>
    <r>
      <rPr>
        <b/>
        <sz val="12"/>
        <color rgb="FF0000FF"/>
        <rFont val="Arial"/>
        <family val="2"/>
      </rPr>
      <t>Página Inicial &gt; Colar &gt; Colar Valores</t>
    </r>
    <r>
      <rPr>
        <sz val="12"/>
        <rFont val="Arial"/>
        <family val="2"/>
      </rPr>
      <t>";</t>
    </r>
  </si>
  <si>
    <r>
      <t xml:space="preserve">      d) Siga para o </t>
    </r>
    <r>
      <rPr>
        <b/>
        <sz val="12"/>
        <color rgb="FFFF0000"/>
        <rFont val="Arial"/>
        <family val="2"/>
      </rPr>
      <t>item 5.</t>
    </r>
  </si>
  <si>
    <r>
      <t xml:space="preserve">      a) Com os procedimentos acima o relatório </t>
    </r>
    <r>
      <rPr>
        <b/>
        <sz val="12"/>
        <color theme="1"/>
        <rFont val="Arial"/>
        <family val="2"/>
      </rPr>
      <t>será automaticamente preenchido</t>
    </r>
    <r>
      <rPr>
        <sz val="12"/>
        <color theme="1"/>
        <rFont val="Arial"/>
        <family val="2"/>
      </rPr>
      <t xml:space="preserve">, exceto as análises, que deverão ser feitas pelo NGC </t>
    </r>
  </si>
  <si>
    <r>
      <t xml:space="preserve">      b) Vá para o </t>
    </r>
    <r>
      <rPr>
        <b/>
        <sz val="12"/>
        <color rgb="FFFF0000"/>
        <rFont val="Arial"/>
        <family val="2"/>
      </rPr>
      <t>Relatório.</t>
    </r>
  </si>
  <si>
    <t xml:space="preserve">          da unidade de saúde;</t>
  </si>
  <si>
    <r>
      <t xml:space="preserve">       h) </t>
    </r>
    <r>
      <rPr>
        <b/>
        <sz val="12"/>
        <color rgb="FFFF0000"/>
        <rFont val="Arial"/>
        <family val="2"/>
      </rPr>
      <t>Siga para o item 3</t>
    </r>
    <r>
      <rPr>
        <b/>
        <sz val="12"/>
        <rFont val="Arial"/>
        <family val="2"/>
      </rPr>
      <t>.</t>
    </r>
  </si>
  <si>
    <r>
      <t xml:space="preserve">       h) </t>
    </r>
    <r>
      <rPr>
        <b/>
        <sz val="12"/>
        <color rgb="FFFF0000"/>
        <rFont val="Arial"/>
        <family val="2"/>
      </rPr>
      <t>Siga para o item 2</t>
    </r>
    <r>
      <rPr>
        <b/>
        <sz val="12"/>
        <rFont val="Arial"/>
        <family val="2"/>
      </rPr>
      <t>.</t>
    </r>
  </si>
  <si>
    <r>
      <t xml:space="preserve"> 2 - COPIAR E COLAR DADOS DE RELATÓRIO DE PRODUÇÃO APURASUS - </t>
    </r>
    <r>
      <rPr>
        <b/>
        <u/>
        <sz val="13"/>
        <color rgb="FFFF0000"/>
        <rFont val="Arial"/>
        <family val="2"/>
      </rPr>
      <t>UM MÊS POR VEZ</t>
    </r>
  </si>
  <si>
    <r>
      <t xml:space="preserve"> 1 - COPIAR E COLAR DADOS DO RELATÓRIO "CUSTO TOTAL" DO APURASUS - </t>
    </r>
    <r>
      <rPr>
        <b/>
        <u/>
        <sz val="13"/>
        <color rgb="FFFF0000"/>
        <rFont val="Arial"/>
        <family val="2"/>
      </rPr>
      <t>QUADRIMESTRAL</t>
    </r>
  </si>
  <si>
    <r>
      <t xml:space="preserve"> 3 - COPIAR E COLAR DADOS DE RELATÓRIO APURASUS - </t>
    </r>
    <r>
      <rPr>
        <b/>
        <u/>
        <sz val="13"/>
        <color rgb="FFFF0000"/>
        <rFont val="Arial"/>
        <family val="2"/>
      </rPr>
      <t>QUADRIMESTRAL</t>
    </r>
  </si>
  <si>
    <t>Aferição de Sinais</t>
  </si>
  <si>
    <t>Atendimento</t>
  </si>
  <si>
    <t>Almoxarifado</t>
  </si>
  <si>
    <t>Item Dispensado</t>
  </si>
  <si>
    <t>Ambulatório de Acupuntura</t>
  </si>
  <si>
    <t>Ambulatório de Alergia e Imunologia</t>
  </si>
  <si>
    <t>Ambulatório de Alergia e Imunologia Pediátrica</t>
  </si>
  <si>
    <t>Ambulatório de Antroposofia</t>
  </si>
  <si>
    <t>Ambulatório de Cardiologia</t>
  </si>
  <si>
    <t>Ambulatório de Cirurgia Geral</t>
  </si>
  <si>
    <t>Ambulatório de Cirurgia Vascular</t>
  </si>
  <si>
    <t>Ambulatório de Clínica Médica</t>
  </si>
  <si>
    <t>Ambulatório de Dermatologia</t>
  </si>
  <si>
    <t>Ambulatório de Doenças Infectocontagiosas e Parasitárias</t>
  </si>
  <si>
    <t>Ambulatório de Endocrinologia</t>
  </si>
  <si>
    <t>Ambulatório de Endocrinologia Pediátrica</t>
  </si>
  <si>
    <t>Ambulatório de Enfermagem</t>
  </si>
  <si>
    <t>Ambulatório de Estomias</t>
  </si>
  <si>
    <t>Ambulatório de Feridas Complexas</t>
  </si>
  <si>
    <t>Ambulatório de Fisioterapia</t>
  </si>
  <si>
    <t>Ambulatório de Fonoaudiologia</t>
  </si>
  <si>
    <t>Ambulatório de Gastroenterologia</t>
  </si>
  <si>
    <t>Ambulatório de Gastroenterologia Pediátrica</t>
  </si>
  <si>
    <t>Ambulatório de Geriatria</t>
  </si>
  <si>
    <t>Ambulatório de Ginecologia</t>
  </si>
  <si>
    <t>Ambulatório de Homeopatia</t>
  </si>
  <si>
    <t>Ambulatório de Insuficiência Cardíaca</t>
  </si>
  <si>
    <t>Ambulatório de Mastologia</t>
  </si>
  <si>
    <t>Ambulatório de Nefrologia</t>
  </si>
  <si>
    <t>Ambulatório de Neurologia</t>
  </si>
  <si>
    <t>Ambulatório de Neurologia Pediátrica</t>
  </si>
  <si>
    <t>Ambulatório de Nutrição Clínica</t>
  </si>
  <si>
    <t>Ambulatório de Obstetrícia</t>
  </si>
  <si>
    <t>Ambulatório de Oftalmologia</t>
  </si>
  <si>
    <t>Ambulatório de Ortopedia e Traumatologia</t>
  </si>
  <si>
    <t>Ambulatório de Ortopedia e traumatologia - Curativo</t>
  </si>
  <si>
    <t>Procedimento</t>
  </si>
  <si>
    <t>Ambulatório de Ostomias</t>
  </si>
  <si>
    <t>Ambulatório de Otorrinolaringologia</t>
  </si>
  <si>
    <t>Ambulatório de Pediatria</t>
  </si>
  <si>
    <t>Ambulatório de Pneumologia</t>
  </si>
  <si>
    <t>Ambulatório de Pneumologia Pediátrica</t>
  </si>
  <si>
    <t>Ambulatório de Proctologia</t>
  </si>
  <si>
    <t>Ambulatório de Psicologia</t>
  </si>
  <si>
    <t>Ambulatório de Psiquiatria</t>
  </si>
  <si>
    <t>Ambulatório de Reumatologia</t>
  </si>
  <si>
    <t>Ambulatório de Terapia Ocupacional</t>
  </si>
  <si>
    <t>Ambulatório de Tisiologia</t>
  </si>
  <si>
    <t>Ambulatório de Urologia</t>
  </si>
  <si>
    <t>Ambulatório do Pé Diabético</t>
  </si>
  <si>
    <t>Condomínio</t>
  </si>
  <si>
    <t>CrisDown</t>
  </si>
  <si>
    <t>Ecocardiografia</t>
  </si>
  <si>
    <t>Exame</t>
  </si>
  <si>
    <t>Eletrocardiografia</t>
  </si>
  <si>
    <t>Eletroencefalografia</t>
  </si>
  <si>
    <t>Farmácia da Atenção Secundária</t>
  </si>
  <si>
    <t>Farmácia Hospitalar</t>
  </si>
  <si>
    <t>Gerência Geral</t>
  </si>
  <si>
    <t>Oficinas Terapêuticas</t>
  </si>
  <si>
    <t>Radiologia - Policlínica</t>
  </si>
  <si>
    <t>Recepção Ambulatorial</t>
  </si>
  <si>
    <t>Paciente Cadastrado</t>
  </si>
  <si>
    <t>Sala de Atendimento Social</t>
  </si>
  <si>
    <t>Sala de Gesso</t>
  </si>
  <si>
    <t>Sala de Medicação Reidratação</t>
  </si>
  <si>
    <t>Sala de Procedimentos</t>
  </si>
  <si>
    <t>Transporte Administrativo</t>
  </si>
  <si>
    <t>km Rodado</t>
  </si>
  <si>
    <t>Instituição:AASE CENTRAL - ASA NORTE POLICLÍNICA</t>
  </si>
  <si>
    <t>Período: De01/2025a04/2025</t>
  </si>
  <si>
    <t>Item Custo - Sintético Analítico</t>
  </si>
  <si>
    <t>Totais Mensais</t>
  </si>
  <si>
    <t>Total Geral</t>
  </si>
  <si>
    <t>Material de Consumo</t>
  </si>
  <si>
    <t>Serviços de Terceiros</t>
  </si>
  <si>
    <t>Serviço de Manutenção e Conservação de Bens Móveis e Outras Naturezas</t>
  </si>
  <si>
    <t>Serviços de Brigada de Incêndio.</t>
  </si>
  <si>
    <t>Despesas Gerais</t>
  </si>
  <si>
    <t>Período: De01/2025a01/2025</t>
  </si>
  <si>
    <t>Item Produção</t>
  </si>
  <si>
    <t>Externo</t>
  </si>
  <si>
    <t>Diversos - Diversos</t>
  </si>
  <si>
    <t>Final</t>
  </si>
  <si>
    <t>Ambulatório de Acupuntura - Ambulatório de Acupuntura</t>
  </si>
  <si>
    <t>Ambulatório de Alergia e Imunologia - Ambulatório de Alergia e Imunologia</t>
  </si>
  <si>
    <t>Ambulatório de Cardiologia - Ambulatório de Cardiologia</t>
  </si>
  <si>
    <t>Ambulatório de Dermatologia - Ambulatório de Dermatologia</t>
  </si>
  <si>
    <t>Ambulatório de Estomias - Ambulatório de Estomias</t>
  </si>
  <si>
    <t>Ambulatório de Feridas Complexas - Ambulatório de Feridas Complexas</t>
  </si>
  <si>
    <t>Ambulatório de Fisioterapia - Ambulatório de Fisioterapia</t>
  </si>
  <si>
    <t>Ambulatório de Fonoaudiologia - Ambulatório de Fonoaudiologia</t>
  </si>
  <si>
    <t>Ambulatório de Gastroenterologia Pediátrica - Ambulatório de Gastroenterologia Pediátrica</t>
  </si>
  <si>
    <t>Ambulatório de Geriatria - Ambulatório de Geriatria</t>
  </si>
  <si>
    <t>Ambulatório de Ginecologia - Ambulatório de Ginecologia</t>
  </si>
  <si>
    <t>Ambulatório de Neurologia - Ambulatório de Neurologia</t>
  </si>
  <si>
    <t>Ambulatório de Psiquiatria - Ambulatório de Psiquiatria</t>
  </si>
  <si>
    <t>Ambulatório de Reumatologia - Ambulatório de Reumatologia</t>
  </si>
  <si>
    <t>CrisDown - CrisDown</t>
  </si>
  <si>
    <t>Ecocardiografia - Ecocardiografia</t>
  </si>
  <si>
    <t>Período: De02/2025a02/2025</t>
  </si>
  <si>
    <t>Período: De03/2025a03/2025</t>
  </si>
  <si>
    <t>Período: De04/2025a04/2025</t>
  </si>
  <si>
    <t>Centro de CustoDiversos</t>
  </si>
  <si>
    <t>Policlínica Asa Norte</t>
  </si>
  <si>
    <t>3449-4647</t>
  </si>
  <si>
    <t>Graciele Pollyanna Mertens Carvalho</t>
  </si>
  <si>
    <t>Núcleo de Gestão de Custos</t>
  </si>
  <si>
    <t>3349-4646</t>
  </si>
  <si>
    <t>ngc.dirase.central@gmail.com</t>
  </si>
  <si>
    <r>
      <t xml:space="preserve">
 </t>
    </r>
    <r>
      <rPr>
        <b/>
        <u/>
        <sz val="11"/>
        <rFont val="Calibri"/>
        <family val="2"/>
        <scheme val="minor"/>
      </rPr>
      <t>Ambulatório de Fonoaudiologia:</t>
    </r>
    <r>
      <rPr>
        <sz val="11"/>
        <rFont val="Calibri"/>
        <family val="2"/>
        <scheme val="minor"/>
      </rPr>
      <t xml:space="preserve"> Com o CMU 27,58% menor que a mediana da SES, visualizamos que nos meses de janeiro e abril a produção foi maior, ocasionando um CV da produção de 30% e do custo de 24%. Tal resultado deve-se ao fato de que um terço da carga horária de fevereiro e março esteve de férias. 
 </t>
    </r>
    <r>
      <rPr>
        <b/>
        <u/>
        <sz val="11"/>
        <rFont val="Calibri"/>
        <family val="2"/>
        <scheme val="minor"/>
      </rPr>
      <t>Ecocardiografia</t>
    </r>
    <r>
      <rPr>
        <sz val="11"/>
        <rFont val="Calibri"/>
        <family val="2"/>
        <scheme val="minor"/>
      </rPr>
      <t>: Com o CMU 27,06% menor que a mediana da SES, observamos uma ascendência na produção e, consequentemente, um decréscimo no valor do custo durante o quadrimestre.  CV da produção de 22% e do custo de 26% ocorreu pois 50% da carga horária de janeiro e fevereiro esteve de férias.</t>
    </r>
  </si>
  <si>
    <r>
  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Nos gráficos de itens de custos, observamos que o consumo de material para reabilitação - OPME teve um significativo aumento em abril, praticamente 40% em relação ao mês de fevereiro, 2º mês com maior consumo, principalmente dos produtos 35316, 35304 e 35305, bolsas para estomia adulto, pois a solicitação é feita sobre demanda e provavelmete houve acúmulo de pedidos dos pacientes faltosos nos demais meses em abril.
</t>
    </r>
    <r>
      <rPr>
        <sz val="11"/>
        <color rgb="FFFF0000"/>
        <rFont val="Calibri"/>
        <family val="2"/>
        <scheme val="minor"/>
      </rPr>
  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sz val="11"/>
        <rFont val="Calibri"/>
        <family val="2"/>
        <scheme val="minor"/>
      </rPr>
  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b/>
        <u/>
        <sz val="11"/>
        <rFont val="Calibri"/>
        <family val="2"/>
        <scheme val="minor"/>
      </rPr>
      <t>Ambulatório de Estomias (único serviço composto só pela enfermagem na unidade)</t>
    </r>
    <r>
      <rPr>
        <b/>
        <sz val="11"/>
        <rFont val="Calibri"/>
        <family val="2"/>
        <scheme val="minor"/>
      </rPr>
      <t xml:space="preserve">: </t>
    </r>
    <r>
      <rPr>
        <sz val="11"/>
        <rFont val="Calibri"/>
        <family val="2"/>
        <scheme val="minor"/>
      </rPr>
      <t xml:space="preserve">Obtivemos um CMU maior apenas R$ 23,72 que a mediana da SES. Todavia, o CV da produção foi de 38%, uma vez que no mês de fevereiro os atendimentos diminuiram mais de 50% em relação aos demais meses do quadrimestre, pois a única enfermeira responsável pelo serviço esteve afastada, e apenas 1 técnico de enfermagem manteve os atendimentos imprescindíveis. Assim, o valor do custo também aumentou, justificando os 33% de CV do custo. 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b/>
        <u/>
        <sz val="11"/>
        <rFont val="Calibri"/>
        <family val="2"/>
        <scheme val="minor"/>
      </rPr>
      <t>Ambulatório de Geriatria</t>
    </r>
    <r>
      <rPr>
        <sz val="11"/>
        <rFont val="Calibri"/>
        <family val="2"/>
        <scheme val="minor"/>
      </rPr>
      <t xml:space="preserve">: Contemplamos que o valor do CMU do serviço é menor que a mediana da SES (-19%). Com o CV da produção de 39%, em janeiro os atendimentos foram reduzidos para um terço com relação aos demais meses do quadrimestre, pois 30% da carga horária dos servidores esteve em férias e, consequentemente, o custo elevou-se gerando um CV de custo de 64%.
</t>
    </r>
    <r>
      <rPr>
        <b/>
        <u/>
        <sz val="11"/>
        <rFont val="Calibri"/>
        <family val="2"/>
        <scheme val="minor"/>
      </rPr>
      <t>Ambulatório de Ginecologia</t>
    </r>
    <r>
      <rPr>
        <b/>
        <sz val="11"/>
        <rFont val="Calibri"/>
        <family val="2"/>
        <scheme val="minor"/>
      </rPr>
      <t>:</t>
    </r>
    <r>
      <rPr>
        <sz val="11"/>
        <rFont val="Calibri"/>
        <family val="2"/>
        <scheme val="minor"/>
      </rPr>
      <t xml:space="preserve"> Visualizamos um CMU 2,99% menor que a mediana da SES.  Com um CV da produção e do custo de 3% e 5%, respectivamente, em janeiro e março não houve atendimentos pois a única profissional esteve em afastamento prolongado, sem existência do serviço no período.   
                                                                                                                                                                                                                                          </t>
    </r>
    <r>
      <rPr>
        <b/>
        <sz val="11"/>
        <rFont val="Calibri"/>
        <family val="2"/>
        <scheme val="minor"/>
      </rPr>
  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b/>
        <u/>
        <sz val="11"/>
        <rFont val="Calibri"/>
        <family val="2"/>
        <scheme val="minor"/>
      </rPr>
      <t>Ambulatório de Gastroenterologia Pediátrica (único serviço composto só por pediatria)</t>
    </r>
    <r>
      <rPr>
        <sz val="11"/>
        <rFont val="Calibri"/>
        <family val="2"/>
        <scheme val="minor"/>
      </rPr>
      <t xml:space="preserve">: serviço realizado por apenas uma pediatra, por isso ser um indicador em análise, examinamos que o CMU foi 7,61% menor que a mediana da SES.  Valores sem grandes oscilações, mantivemos os CV da produção e do custo abaixo de 25%. Janeiro foi o mês com menos atendimentos pois a servidora esteve 15 dias de férias.
 </t>
    </r>
    <r>
      <rPr>
        <b/>
        <u/>
        <sz val="11"/>
        <rFont val="Calibri"/>
        <family val="2"/>
        <scheme val="minor"/>
      </rPr>
      <t xml:space="preserve"> Ambulatório de Alergia e Imunologia</t>
    </r>
    <r>
      <rPr>
        <sz val="11"/>
        <rFont val="Calibri"/>
        <family val="2"/>
        <scheme val="minor"/>
      </rPr>
      <t>: Analisamos um CMU 31,87% menor que a mediana da SES. Mantivemos pouca variação na produção e no custo, CV de 15% e 18%, respectivamente, no decorrer do quadrimestre. Houve uma discreta diminuição no número de atendimentos em fevereiro porque houve absenteísmo de pacientes.</t>
    </r>
    <r>
      <rPr>
        <sz val="11"/>
        <color rgb="FFFF0000"/>
        <rFont val="Calibri"/>
        <family val="2"/>
        <scheme val="minor"/>
      </rPr>
      <t xml:space="preserve"> 
 </t>
    </r>
    <r>
      <rPr>
        <b/>
        <u/>
        <sz val="11"/>
        <rFont val="Calibri"/>
        <family val="2"/>
        <scheme val="minor"/>
      </rPr>
      <t>Ambulatório de Feridas Complexas</t>
    </r>
    <r>
      <rPr>
        <sz val="11"/>
        <rFont val="Calibri"/>
        <family val="2"/>
        <scheme val="minor"/>
      </rPr>
      <t xml:space="preserve">: Com o CMU 1,27% maior que a mediana da SES, observamos pouquíssima variação dos CV da produção e do custo, 4% e 6%, respectivamente.  
                                                             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</si>
</sst>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#,##0.00;[Red]#,##0.00"/>
    <numFmt numFmtId="165" formatCode="&quot;R$&quot;\ #,##0.00;[Red]&quot;R$&quot;\ #,##0.00"/>
    <numFmt numFmtId="166" formatCode="#,##0;[Red]#,##0"/>
    <numFmt numFmtId="167" formatCode="&quot;R$&quot;\ #,##0.00"/>
    <numFmt numFmtId="168" formatCode="_-[$R$-416]\ * #,##0.00_-;\-[$R$-416]\ * #,##0.00_-;_-[$R$-416]\ * &quot;-&quot;??_-;_-@_-"/>
    <numFmt numFmtId="169" formatCode="###\-####"/>
    <numFmt numFmtId="170" formatCode="[$-416]dd\-mmm\-yy;@"/>
    <numFmt numFmtId="171" formatCode="mmm\-yyyy"/>
    <numFmt numFmtId="172" formatCode="&quot;R$&quot;\ #,##0.000;[Red]&quot;R$&quot;\ #,##0.000"/>
    <numFmt numFmtId="173" formatCode="[$R$-416]\ #,##0.00;[Red][$R$-416]\ #,##0.00"/>
    <numFmt numFmtId="174" formatCode="d/m/yy;@"/>
    <numFmt numFmtId="175" formatCode="0.00%;\-0.00%"/>
  </numFmts>
  <fonts count="122" x14ac:knownFonts="1"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b/>
      <sz val="10"/>
      <color rgb="FF0000FF"/>
      <name val="Arial"/>
      <family val="2"/>
    </font>
    <font>
      <sz val="12"/>
      <color theme="1"/>
      <name val="Arial"/>
      <family val="2"/>
    </font>
    <font>
      <b/>
      <sz val="14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2"/>
      <color rgb="FF0000FF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10"/>
      <color theme="1"/>
      <name val="Arial"/>
      <family val="2"/>
    </font>
    <font>
      <b/>
      <sz val="9"/>
      <color theme="1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2"/>
      <color theme="1" tint="0.499984740745262"/>
      <name val="Arial"/>
      <family val="2"/>
    </font>
    <font>
      <b/>
      <i/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u/>
      <sz val="12"/>
      <color theme="10"/>
      <name val="Arial"/>
      <family val="2"/>
    </font>
    <font>
      <sz val="9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name val="Calibri"/>
      <family val="2"/>
      <scheme val="minor"/>
    </font>
    <font>
      <b/>
      <sz val="9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color rgb="FF0000FF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1" tint="0.34998626667073579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i/>
      <sz val="11"/>
      <color theme="1" tint="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b/>
      <sz val="12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9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2"/>
      <color theme="1" tint="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i/>
      <sz val="8"/>
      <color rgb="FF0000FF"/>
      <name val="Calibri"/>
      <family val="2"/>
      <scheme val="minor"/>
    </font>
    <font>
      <sz val="12"/>
      <color theme="0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indexed="8"/>
      <name val="Calibri"/>
      <family val="2"/>
      <scheme val="minor"/>
    </font>
    <font>
      <sz val="9.5"/>
      <name val="Arial"/>
      <family val="2"/>
    </font>
    <font>
      <b/>
      <sz val="20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sz val="10"/>
      <color theme="1"/>
      <name val="Calibri"/>
      <family val="2"/>
    </font>
    <font>
      <b/>
      <i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u/>
      <sz val="9"/>
      <color theme="1"/>
      <name val="Arial"/>
      <family val="2"/>
    </font>
    <font>
      <sz val="8"/>
      <color theme="1"/>
      <name val="Arial"/>
      <family val="2"/>
    </font>
    <font>
      <b/>
      <sz val="12"/>
      <name val="Arial"/>
      <family val="2"/>
    </font>
    <font>
      <sz val="12"/>
      <name val="Calibri"/>
      <family val="2"/>
    </font>
    <font>
      <b/>
      <sz val="23"/>
      <name val="Calibri"/>
      <family val="2"/>
      <scheme val="minor"/>
    </font>
    <font>
      <sz val="23"/>
      <name val="Calibri"/>
      <family val="2"/>
      <scheme val="minor"/>
    </font>
    <font>
      <b/>
      <sz val="22"/>
      <name val="Calibri"/>
      <family val="2"/>
      <scheme val="minor"/>
    </font>
    <font>
      <b/>
      <sz val="23.5"/>
      <color rgb="FF0000FF"/>
      <name val="Arial"/>
      <family val="2"/>
    </font>
    <font>
      <sz val="1"/>
      <color theme="1"/>
      <name val="Calibri"/>
      <family val="2"/>
      <scheme val="minor"/>
    </font>
    <font>
      <b/>
      <u/>
      <sz val="25"/>
      <color rgb="FF0000FF"/>
      <name val="Arial"/>
      <family val="2"/>
    </font>
    <font>
      <b/>
      <u/>
      <sz val="28"/>
      <color indexed="12"/>
      <name val="Calibri"/>
      <family val="2"/>
      <scheme val="minor"/>
    </font>
    <font>
      <b/>
      <u/>
      <sz val="28"/>
      <color rgb="FF0000FF"/>
      <name val="Calibri"/>
      <family val="2"/>
      <scheme val="minor"/>
    </font>
    <font>
      <b/>
      <sz val="9.5"/>
      <color rgb="FF0000FF"/>
      <name val="Calibri"/>
      <family val="2"/>
    </font>
    <font>
      <sz val="10"/>
      <color theme="0" tint="-0.499984740745262"/>
      <name val="Calibri"/>
      <family val="2"/>
      <scheme val="minor"/>
    </font>
    <font>
      <b/>
      <sz val="9.5"/>
      <color theme="1"/>
      <name val="Calibri"/>
      <family val="2"/>
    </font>
    <font>
      <b/>
      <sz val="10.7"/>
      <name val="Calibri"/>
      <family val="2"/>
    </font>
    <font>
      <b/>
      <u/>
      <sz val="10.7"/>
      <name val="Calibri"/>
      <family val="2"/>
    </font>
    <font>
      <sz val="10.7"/>
      <name val="Calibri"/>
      <family val="2"/>
    </font>
    <font>
      <b/>
      <sz val="12"/>
      <color theme="1"/>
      <name val="Calibri"/>
      <family val="2"/>
    </font>
    <font>
      <b/>
      <sz val="23"/>
      <color theme="1"/>
      <name val="Arial"/>
      <family val="2"/>
    </font>
    <font>
      <sz val="13"/>
      <name val="Arial"/>
      <family val="2"/>
    </font>
    <font>
      <b/>
      <sz val="13"/>
      <name val="Arial"/>
      <family val="2"/>
    </font>
    <font>
      <b/>
      <sz val="16"/>
      <name val="Arial"/>
      <family val="2"/>
    </font>
    <font>
      <b/>
      <u/>
      <sz val="13"/>
      <color rgb="FFFF0000"/>
      <name val="Arial"/>
      <family val="2"/>
    </font>
    <font>
      <b/>
      <sz val="12"/>
      <color rgb="FFFF0000"/>
      <name val="Arial"/>
      <family val="2"/>
    </font>
    <font>
      <b/>
      <i/>
      <sz val="11"/>
      <name val="Calibri"/>
      <family val="2"/>
      <scheme val="minor"/>
    </font>
    <font>
      <b/>
      <i/>
      <sz val="11"/>
      <color rgb="FF0000FF"/>
      <name val="Calibri"/>
      <family val="2"/>
      <scheme val="minor"/>
    </font>
    <font>
      <sz val="1"/>
      <name val="Calibri"/>
      <family val="2"/>
      <scheme val="minor"/>
    </font>
    <font>
      <u/>
      <sz val="12"/>
      <name val="Arial"/>
      <family val="2"/>
    </font>
    <font>
      <b/>
      <u/>
      <sz val="12"/>
      <name val="Arial"/>
      <family val="2"/>
    </font>
    <font>
      <b/>
      <u/>
      <sz val="12"/>
      <color rgb="FF0000FF"/>
      <name val="Arial"/>
      <family val="2"/>
    </font>
    <font>
      <b/>
      <u/>
      <sz val="12"/>
      <color rgb="FFFF0000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</fills>
  <borders count="1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tted">
        <color auto="1"/>
      </right>
      <top/>
      <bottom style="thin">
        <color indexed="64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  <border>
      <left style="dotted">
        <color auto="1"/>
      </left>
      <right/>
      <top style="medium">
        <color rgb="FF0000FF"/>
      </top>
      <bottom style="thin">
        <color auto="1"/>
      </bottom>
      <diagonal/>
    </border>
    <border>
      <left style="thin">
        <color indexed="64"/>
      </left>
      <right/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dotted">
        <color indexed="64"/>
      </right>
      <top style="hair">
        <color auto="1"/>
      </top>
      <bottom style="medium">
        <color indexed="64"/>
      </bottom>
      <diagonal/>
    </border>
    <border>
      <left style="dotted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dashed">
        <color auto="1"/>
      </right>
      <top/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 style="medium">
        <color rgb="FF0000FF"/>
      </top>
      <bottom style="thin">
        <color indexed="64"/>
      </bottom>
      <diagonal/>
    </border>
    <border>
      <left style="dotted">
        <color auto="1"/>
      </left>
      <right/>
      <top style="thin">
        <color auto="1"/>
      </top>
      <bottom style="medium">
        <color auto="1"/>
      </bottom>
      <diagonal/>
    </border>
    <border>
      <left/>
      <right style="dott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dotted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/>
      <right/>
      <top style="medium">
        <color rgb="FF0000FF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tted">
        <color auto="1"/>
      </right>
      <top style="double">
        <color auto="1"/>
      </top>
      <bottom/>
      <diagonal/>
    </border>
    <border>
      <left style="dotted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tted">
        <color auto="1"/>
      </right>
      <top style="double">
        <color auto="1"/>
      </top>
      <bottom style="thin">
        <color indexed="64"/>
      </bottom>
      <diagonal/>
    </border>
    <border>
      <left/>
      <right style="thin">
        <color indexed="64"/>
      </right>
      <top style="double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tted">
        <color auto="1"/>
      </right>
      <top/>
      <bottom style="double">
        <color auto="1"/>
      </bottom>
      <diagonal/>
    </border>
    <border>
      <left style="dotted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tted">
        <color auto="1"/>
      </right>
      <top style="thin">
        <color indexed="64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indexed="64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/>
      <top style="thin">
        <color auto="1"/>
      </top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double">
        <color auto="1"/>
      </left>
      <right/>
      <top style="medium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tted">
        <color auto="1"/>
      </left>
      <right/>
      <top style="double">
        <color auto="1"/>
      </top>
      <bottom/>
      <diagonal/>
    </border>
    <border>
      <left/>
      <right style="thin">
        <color indexed="64"/>
      </right>
      <top style="double">
        <color auto="1"/>
      </top>
      <bottom/>
      <diagonal/>
    </border>
    <border>
      <left style="dotted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thin">
        <color indexed="64"/>
      </bottom>
      <diagonal/>
    </border>
    <border>
      <left style="dotted">
        <color auto="1"/>
      </left>
      <right style="medium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thin">
        <color auto="1"/>
      </bottom>
      <diagonal/>
    </border>
    <border>
      <left style="hair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auto="1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auto="1"/>
      </right>
      <top style="dotted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auto="1"/>
      </top>
      <bottom style="thick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dotted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indexed="64"/>
      </right>
      <top style="hair">
        <color auto="1"/>
      </top>
      <bottom style="medium">
        <color auto="1"/>
      </bottom>
      <diagonal/>
    </border>
  </borders>
  <cellStyleXfs count="5">
    <xf numFmtId="0" fontId="0" fillId="0" borderId="0"/>
    <xf numFmtId="44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0" fillId="0" borderId="0" applyNumberFormat="0" applyFill="0" applyBorder="0" applyAlignment="0" applyProtection="0"/>
  </cellStyleXfs>
  <cellXfs count="755">
    <xf numFmtId="0" fontId="0" fillId="0" borderId="0" xfId="0"/>
    <xf numFmtId="0" fontId="11" fillId="0" borderId="1" xfId="0" applyFont="1" applyBorder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7" fontId="0" fillId="0" borderId="0" xfId="1" applyNumberFormat="1" applyFont="1" applyBorder="1" applyAlignment="1" applyProtection="1"/>
    <xf numFmtId="0" fontId="11" fillId="0" borderId="14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left" vertical="center"/>
    </xf>
    <xf numFmtId="0" fontId="24" fillId="11" borderId="0" xfId="0" applyFont="1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24" fillId="7" borderId="0" xfId="0" applyFont="1" applyFill="1" applyAlignment="1">
      <alignment horizontal="left" vertical="center"/>
    </xf>
    <xf numFmtId="0" fontId="24" fillId="4" borderId="0" xfId="0" applyFont="1" applyFill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17" fillId="10" borderId="0" xfId="0" applyFont="1" applyFill="1" applyAlignment="1">
      <alignment horizontal="left" vertical="center"/>
    </xf>
    <xf numFmtId="10" fontId="0" fillId="6" borderId="0" xfId="3" applyNumberFormat="1" applyFont="1" applyFill="1" applyBorder="1" applyAlignment="1" applyProtection="1">
      <alignment horizontal="center" vertical="center"/>
    </xf>
    <xf numFmtId="0" fontId="32" fillId="0" borderId="0" xfId="0" applyFont="1" applyAlignment="1">
      <alignment horizontal="center" vertical="center"/>
    </xf>
    <xf numFmtId="0" fontId="24" fillId="13" borderId="0" xfId="0" applyFont="1" applyFill="1" applyAlignment="1">
      <alignment horizontal="left" vertical="center"/>
    </xf>
    <xf numFmtId="165" fontId="63" fillId="0" borderId="1" xfId="1" applyNumberFormat="1" applyFont="1" applyBorder="1" applyAlignment="1" applyProtection="1">
      <alignment horizontal="center" vertical="center"/>
    </xf>
    <xf numFmtId="0" fontId="63" fillId="4" borderId="0" xfId="0" applyFont="1" applyFill="1" applyAlignment="1" applyProtection="1">
      <alignment horizontal="left" vertical="center" shrinkToFit="1"/>
      <protection locked="0"/>
    </xf>
    <xf numFmtId="0" fontId="61" fillId="0" borderId="0" xfId="0" applyFont="1" applyAlignment="1" applyProtection="1">
      <alignment horizontal="left" vertical="center" shrinkToFit="1"/>
      <protection locked="0"/>
    </xf>
    <xf numFmtId="0" fontId="57" fillId="0" borderId="0" xfId="0" applyFont="1" applyAlignment="1" applyProtection="1">
      <alignment horizontal="left" vertical="center" shrinkToFit="1"/>
      <protection locked="0"/>
    </xf>
    <xf numFmtId="0" fontId="63" fillId="0" borderId="0" xfId="0" applyFont="1" applyAlignment="1" applyProtection="1">
      <alignment horizontal="left" vertical="center" shrinkToFit="1"/>
      <protection locked="0"/>
    </xf>
    <xf numFmtId="0" fontId="48" fillId="0" borderId="0" xfId="0" applyFont="1" applyAlignment="1" applyProtection="1">
      <alignment horizontal="center" vertical="center" shrinkToFit="1"/>
      <protection locked="0"/>
    </xf>
    <xf numFmtId="0" fontId="48" fillId="0" borderId="0" xfId="0" applyFont="1" applyAlignment="1" applyProtection="1">
      <alignment horizontal="center" vertical="center" wrapText="1" shrinkToFit="1"/>
      <protection locked="0"/>
    </xf>
    <xf numFmtId="165" fontId="57" fillId="0" borderId="0" xfId="0" applyNumberFormat="1" applyFont="1" applyAlignment="1" applyProtection="1">
      <alignment horizontal="left" vertical="center" shrinkToFit="1"/>
      <protection locked="0"/>
    </xf>
    <xf numFmtId="0" fontId="45" fillId="0" borderId="0" xfId="0" applyFont="1" applyAlignment="1" applyProtection="1">
      <alignment horizontal="center" vertical="center" shrinkToFit="1"/>
      <protection locked="0"/>
    </xf>
    <xf numFmtId="164" fontId="45" fillId="0" borderId="0" xfId="0" applyNumberFormat="1" applyFont="1" applyAlignment="1" applyProtection="1">
      <alignment horizontal="center" vertical="center" shrinkToFit="1"/>
      <protection locked="0"/>
    </xf>
    <xf numFmtId="165" fontId="45" fillId="0" borderId="0" xfId="0" applyNumberFormat="1" applyFont="1" applyAlignment="1" applyProtection="1">
      <alignment horizontal="left" vertical="center" shrinkToFit="1"/>
      <protection locked="0"/>
    </xf>
    <xf numFmtId="0" fontId="45" fillId="5" borderId="0" xfId="0" applyFont="1" applyFill="1"/>
    <xf numFmtId="17" fontId="63" fillId="0" borderId="0" xfId="0" applyNumberFormat="1" applyFont="1" applyAlignment="1" applyProtection="1">
      <alignment horizontal="left" vertical="center" shrinkToFit="1"/>
      <protection locked="0"/>
    </xf>
    <xf numFmtId="0" fontId="45" fillId="0" borderId="0" xfId="0" applyFont="1" applyAlignment="1" applyProtection="1">
      <alignment vertical="center" shrinkToFit="1"/>
      <protection locked="0"/>
    </xf>
    <xf numFmtId="0" fontId="63" fillId="4" borderId="0" xfId="0" applyFont="1" applyFill="1" applyAlignment="1" applyProtection="1">
      <alignment horizontal="left" vertical="center"/>
      <protection locked="0"/>
    </xf>
    <xf numFmtId="0" fontId="63" fillId="0" borderId="0" xfId="0" applyFont="1" applyAlignment="1" applyProtection="1">
      <alignment horizontal="left" vertical="center"/>
      <protection locked="0"/>
    </xf>
    <xf numFmtId="0" fontId="33" fillId="5" borderId="0" xfId="0" applyFont="1" applyFill="1" applyAlignment="1">
      <alignment horizontal="right" vertical="center"/>
    </xf>
    <xf numFmtId="17" fontId="70" fillId="0" borderId="0" xfId="0" applyNumberFormat="1" applyFont="1" applyAlignment="1" applyProtection="1">
      <alignment horizontal="center" vertical="center" shrinkToFit="1"/>
      <protection locked="0"/>
    </xf>
    <xf numFmtId="0" fontId="48" fillId="5" borderId="0" xfId="0" applyFont="1" applyFill="1" applyAlignment="1">
      <alignment horizontal="right" vertical="center"/>
    </xf>
    <xf numFmtId="165" fontId="63" fillId="0" borderId="0" xfId="0" applyNumberFormat="1" applyFont="1" applyAlignment="1" applyProtection="1">
      <alignment horizontal="left" vertical="center" shrinkToFit="1"/>
      <protection locked="0"/>
    </xf>
    <xf numFmtId="0" fontId="34" fillId="0" borderId="0" xfId="0" applyFont="1" applyAlignment="1">
      <alignment horizontal="left" vertical="center" indent="4"/>
    </xf>
    <xf numFmtId="0" fontId="9" fillId="0" borderId="0" xfId="0" applyFont="1"/>
    <xf numFmtId="0" fontId="35" fillId="0" borderId="0" xfId="0" applyFont="1"/>
    <xf numFmtId="0" fontId="34" fillId="0" borderId="0" xfId="0" applyFont="1"/>
    <xf numFmtId="0" fontId="33" fillId="0" borderId="0" xfId="0" applyFont="1"/>
    <xf numFmtId="0" fontId="34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/>
    <xf numFmtId="0" fontId="7" fillId="0" borderId="0" xfId="0" applyFont="1"/>
    <xf numFmtId="49" fontId="74" fillId="0" borderId="83" xfId="0" applyNumberFormat="1" applyFont="1" applyBorder="1" applyAlignment="1">
      <alignment horizontal="center" vertical="center"/>
    </xf>
    <xf numFmtId="0" fontId="74" fillId="0" borderId="84" xfId="0" applyFont="1" applyBorder="1"/>
    <xf numFmtId="174" fontId="74" fillId="0" borderId="84" xfId="0" applyNumberFormat="1" applyFont="1" applyBorder="1"/>
    <xf numFmtId="49" fontId="74" fillId="0" borderId="85" xfId="0" applyNumberFormat="1" applyFont="1" applyBorder="1" applyAlignment="1">
      <alignment horizontal="center" vertical="center"/>
    </xf>
    <xf numFmtId="0" fontId="74" fillId="0" borderId="86" xfId="0" applyFont="1" applyBorder="1"/>
    <xf numFmtId="174" fontId="74" fillId="0" borderId="86" xfId="0" applyNumberFormat="1" applyFont="1" applyBorder="1"/>
    <xf numFmtId="49" fontId="74" fillId="0" borderId="87" xfId="0" applyNumberFormat="1" applyFont="1" applyBorder="1" applyAlignment="1">
      <alignment horizontal="center" vertical="center"/>
    </xf>
    <xf numFmtId="0" fontId="74" fillId="0" borderId="88" xfId="0" applyFont="1" applyBorder="1"/>
    <xf numFmtId="174" fontId="74" fillId="0" borderId="88" xfId="0" applyNumberFormat="1" applyFont="1" applyBorder="1"/>
    <xf numFmtId="0" fontId="74" fillId="0" borderId="89" xfId="0" applyFont="1" applyBorder="1" applyAlignment="1">
      <alignment horizontal="center" vertical="center"/>
    </xf>
    <xf numFmtId="0" fontId="74" fillId="0" borderId="90" xfId="0" applyFont="1" applyBorder="1" applyAlignment="1">
      <alignment horizontal="center" vertical="center"/>
    </xf>
    <xf numFmtId="0" fontId="74" fillId="0" borderId="90" xfId="0" applyFont="1" applyBorder="1"/>
    <xf numFmtId="0" fontId="74" fillId="0" borderId="91" xfId="0" applyFont="1" applyBorder="1"/>
    <xf numFmtId="0" fontId="12" fillId="15" borderId="92" xfId="0" applyFont="1" applyFill="1" applyBorder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12" fillId="17" borderId="93" xfId="0" applyFont="1" applyFill="1" applyBorder="1" applyAlignment="1">
      <alignment horizontal="center" vertical="center"/>
    </xf>
    <xf numFmtId="174" fontId="74" fillId="0" borderId="94" xfId="0" applyNumberFormat="1" applyFont="1" applyBorder="1"/>
    <xf numFmtId="174" fontId="74" fillId="0" borderId="95" xfId="0" applyNumberFormat="1" applyFont="1" applyBorder="1"/>
    <xf numFmtId="174" fontId="74" fillId="0" borderId="96" xfId="0" applyNumberFormat="1" applyFont="1" applyBorder="1"/>
    <xf numFmtId="174" fontId="74" fillId="0" borderId="97" xfId="0" applyNumberFormat="1" applyFont="1" applyBorder="1"/>
    <xf numFmtId="174" fontId="74" fillId="0" borderId="98" xfId="0" applyNumberFormat="1" applyFont="1" applyBorder="1"/>
    <xf numFmtId="174" fontId="74" fillId="0" borderId="99" xfId="0" applyNumberFormat="1" applyFont="1" applyBorder="1"/>
    <xf numFmtId="167" fontId="63" fillId="4" borderId="0" xfId="0" applyNumberFormat="1" applyFont="1" applyFill="1" applyAlignment="1" applyProtection="1">
      <alignment horizontal="left" vertical="center" shrinkToFit="1"/>
      <protection locked="0"/>
    </xf>
    <xf numFmtId="167" fontId="63" fillId="0" borderId="0" xfId="0" applyNumberFormat="1" applyFont="1" applyAlignment="1" applyProtection="1">
      <alignment horizontal="left" vertical="center" shrinkToFit="1"/>
      <protection locked="0"/>
    </xf>
    <xf numFmtId="8" fontId="57" fillId="0" borderId="0" xfId="0" applyNumberFormat="1" applyFont="1" applyAlignment="1" applyProtection="1">
      <alignment horizontal="left" vertical="center" shrinkToFit="1"/>
      <protection locked="0"/>
    </xf>
    <xf numFmtId="9" fontId="45" fillId="0" borderId="0" xfId="3" applyFont="1" applyBorder="1" applyAlignment="1" applyProtection="1">
      <alignment horizontal="center" vertical="center"/>
    </xf>
    <xf numFmtId="44" fontId="45" fillId="0" borderId="0" xfId="1" applyFont="1" applyBorder="1" applyAlignment="1" applyProtection="1"/>
    <xf numFmtId="0" fontId="0" fillId="0" borderId="0" xfId="0" applyProtection="1"/>
    <xf numFmtId="0" fontId="45" fillId="5" borderId="0" xfId="0" applyFont="1" applyFill="1" applyProtection="1"/>
    <xf numFmtId="0" fontId="0" fillId="5" borderId="0" xfId="0" applyFill="1" applyProtection="1"/>
    <xf numFmtId="0" fontId="0" fillId="0" borderId="0" xfId="0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37" fillId="9" borderId="13" xfId="0" applyFont="1" applyFill="1" applyBorder="1" applyAlignment="1" applyProtection="1">
      <alignment horizontal="center" vertical="center" wrapText="1"/>
    </xf>
    <xf numFmtId="0" fontId="68" fillId="5" borderId="0" xfId="0" applyFont="1" applyFill="1" applyAlignment="1" applyProtection="1">
      <alignment horizontal="right" vertical="center"/>
    </xf>
    <xf numFmtId="0" fontId="69" fillId="3" borderId="3" xfId="0" applyFont="1" applyFill="1" applyBorder="1" applyAlignment="1" applyProtection="1">
      <alignment horizontal="right" vertical="center"/>
    </xf>
    <xf numFmtId="0" fontId="67" fillId="3" borderId="13" xfId="0" applyFont="1" applyFill="1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 vertical="center"/>
    </xf>
    <xf numFmtId="0" fontId="67" fillId="3" borderId="23" xfId="0" applyFont="1" applyFill="1" applyBorder="1" applyAlignment="1" applyProtection="1">
      <alignment horizontal="center" vertical="center"/>
    </xf>
    <xf numFmtId="9" fontId="45" fillId="0" borderId="0" xfId="3" applyFont="1" applyFill="1" applyBorder="1" applyAlignment="1" applyProtection="1">
      <alignment horizontal="center" vertical="center"/>
    </xf>
    <xf numFmtId="44" fontId="45" fillId="0" borderId="0" xfId="1" applyFont="1" applyFill="1" applyBorder="1" applyAlignment="1" applyProtection="1"/>
    <xf numFmtId="10" fontId="6" fillId="4" borderId="24" xfId="0" applyNumberFormat="1" applyFont="1" applyFill="1" applyBorder="1" applyAlignment="1" applyProtection="1">
      <alignment horizontal="center" vertical="center"/>
    </xf>
    <xf numFmtId="0" fontId="6" fillId="0" borderId="24" xfId="0" applyFont="1" applyBorder="1" applyAlignment="1" applyProtection="1">
      <alignment horizontal="left" vertical="center"/>
    </xf>
    <xf numFmtId="0" fontId="6" fillId="0" borderId="1" xfId="0" applyFont="1" applyBorder="1" applyAlignment="1" applyProtection="1">
      <alignment horizontal="left" vertical="center" wrapText="1"/>
    </xf>
    <xf numFmtId="10" fontId="6" fillId="4" borderId="1" xfId="0" applyNumberFormat="1" applyFont="1" applyFill="1" applyBorder="1" applyAlignment="1" applyProtection="1">
      <alignment horizontal="center" vertical="center"/>
    </xf>
    <xf numFmtId="165" fontId="63" fillId="0" borderId="1" xfId="1" applyNumberFormat="1" applyFont="1" applyFill="1" applyBorder="1" applyAlignment="1" applyProtection="1">
      <alignment horizontal="center" vertical="center"/>
    </xf>
    <xf numFmtId="165" fontId="63" fillId="4" borderId="1" xfId="1" applyNumberFormat="1" applyFont="1" applyFill="1" applyBorder="1" applyAlignment="1" applyProtection="1">
      <alignment horizontal="center" vertical="center"/>
    </xf>
    <xf numFmtId="9" fontId="84" fillId="3" borderId="20" xfId="3" applyFont="1" applyFill="1" applyBorder="1" applyAlignment="1" applyProtection="1">
      <alignment horizontal="left" vertical="center"/>
    </xf>
    <xf numFmtId="9" fontId="84" fillId="3" borderId="9" xfId="3" applyFont="1" applyFill="1" applyBorder="1" applyAlignment="1" applyProtection="1">
      <alignment horizontal="left" vertical="center"/>
    </xf>
    <xf numFmtId="10" fontId="0" fillId="0" borderId="1" xfId="0" applyNumberFormat="1" applyBorder="1" applyAlignment="1" applyProtection="1">
      <alignment horizontal="center" vertical="center"/>
    </xf>
    <xf numFmtId="10" fontId="0" fillId="18" borderId="1" xfId="0" applyNumberFormat="1" applyFill="1" applyBorder="1" applyAlignment="1" applyProtection="1">
      <alignment horizontal="center" vertical="center"/>
    </xf>
    <xf numFmtId="10" fontId="0" fillId="19" borderId="1" xfId="0" applyNumberFormat="1" applyFill="1" applyBorder="1" applyAlignment="1" applyProtection="1">
      <alignment horizontal="center" vertical="center"/>
    </xf>
    <xf numFmtId="164" fontId="5" fillId="0" borderId="1" xfId="0" applyNumberFormat="1" applyFont="1" applyFill="1" applyBorder="1" applyAlignment="1" applyProtection="1">
      <alignment horizontal="center" vertical="center"/>
    </xf>
    <xf numFmtId="173" fontId="5" fillId="0" borderId="1" xfId="0" applyNumberFormat="1" applyFont="1" applyFill="1" applyBorder="1" applyAlignment="1" applyProtection="1">
      <alignment horizontal="center" vertical="center"/>
    </xf>
    <xf numFmtId="164" fontId="5" fillId="0" borderId="11" xfId="0" applyNumberFormat="1" applyFont="1" applyFill="1" applyBorder="1" applyAlignment="1" applyProtection="1">
      <alignment horizontal="center" vertical="center"/>
    </xf>
    <xf numFmtId="173" fontId="5" fillId="0" borderId="11" xfId="0" applyNumberFormat="1" applyFont="1" applyFill="1" applyBorder="1" applyAlignment="1" applyProtection="1">
      <alignment horizontal="center" vertical="center"/>
    </xf>
    <xf numFmtId="164" fontId="85" fillId="7" borderId="122" xfId="0" applyNumberFormat="1" applyFont="1" applyFill="1" applyBorder="1" applyAlignment="1" applyProtection="1">
      <alignment horizontal="center" vertical="center"/>
    </xf>
    <xf numFmtId="173" fontId="85" fillId="7" borderId="122" xfId="0" applyNumberFormat="1" applyFont="1" applyFill="1" applyBorder="1" applyAlignment="1" applyProtection="1">
      <alignment horizontal="center" vertical="center"/>
    </xf>
    <xf numFmtId="164" fontId="85" fillId="0" borderId="0" xfId="0" applyNumberFormat="1" applyFont="1" applyFill="1" applyBorder="1" applyAlignment="1" applyProtection="1">
      <alignment horizontal="center" vertical="center"/>
    </xf>
    <xf numFmtId="0" fontId="23" fillId="0" borderId="24" xfId="0" applyFont="1" applyFill="1" applyBorder="1" applyAlignment="1" applyProtection="1">
      <alignment horizontal="center" vertical="center" wrapText="1"/>
    </xf>
    <xf numFmtId="0" fontId="18" fillId="2" borderId="136" xfId="0" applyFont="1" applyFill="1" applyBorder="1" applyAlignment="1" applyProtection="1">
      <alignment horizontal="center" vertical="center" wrapText="1"/>
    </xf>
    <xf numFmtId="0" fontId="38" fillId="7" borderId="122" xfId="4" applyFont="1" applyFill="1" applyBorder="1" applyAlignment="1" applyProtection="1">
      <alignment horizontal="center" vertical="center"/>
    </xf>
    <xf numFmtId="0" fontId="86" fillId="0" borderId="29" xfId="3" applyNumberFormat="1" applyFont="1" applyFill="1" applyBorder="1" applyAlignment="1" applyProtection="1">
      <alignment horizontal="center" vertical="center"/>
    </xf>
    <xf numFmtId="0" fontId="87" fillId="0" borderId="29" xfId="3" applyNumberFormat="1" applyFont="1" applyFill="1" applyBorder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19" fillId="6" borderId="0" xfId="0" applyFont="1" applyFill="1" applyAlignment="1" applyProtection="1">
      <alignment horizontal="center" vertical="center"/>
    </xf>
    <xf numFmtId="0" fontId="25" fillId="6" borderId="0" xfId="0" applyFont="1" applyFill="1" applyAlignment="1" applyProtection="1">
      <alignment horizontal="left" vertical="center"/>
    </xf>
    <xf numFmtId="0" fontId="23" fillId="6" borderId="0" xfId="0" applyFont="1" applyFill="1" applyAlignment="1" applyProtection="1">
      <alignment horizontal="center" vertical="center" wrapText="1"/>
    </xf>
    <xf numFmtId="0" fontId="40" fillId="3" borderId="126" xfId="0" applyFont="1" applyFill="1" applyBorder="1" applyAlignment="1" applyProtection="1">
      <alignment horizontal="center" vertical="center"/>
    </xf>
    <xf numFmtId="0" fontId="36" fillId="3" borderId="58" xfId="0" applyFont="1" applyFill="1" applyBorder="1" applyAlignment="1" applyProtection="1">
      <alignment horizontal="center" vertical="center"/>
    </xf>
    <xf numFmtId="0" fontId="41" fillId="3" borderId="127" xfId="0" applyFont="1" applyFill="1" applyBorder="1" applyAlignment="1" applyProtection="1">
      <alignment horizontal="center" vertical="center"/>
    </xf>
    <xf numFmtId="0" fontId="41" fillId="3" borderId="128" xfId="0" applyFont="1" applyFill="1" applyBorder="1" applyAlignment="1" applyProtection="1">
      <alignment horizontal="center" vertical="center"/>
    </xf>
    <xf numFmtId="0" fontId="37" fillId="3" borderId="129" xfId="0" applyFont="1" applyFill="1" applyBorder="1" applyAlignment="1" applyProtection="1">
      <alignment horizontal="center" vertical="center" wrapText="1"/>
    </xf>
    <xf numFmtId="0" fontId="18" fillId="2" borderId="136" xfId="0" applyFont="1" applyFill="1" applyBorder="1" applyAlignment="1" applyProtection="1">
      <alignment horizontal="center" vertical="center"/>
    </xf>
    <xf numFmtId="0" fontId="13" fillId="2" borderId="136" xfId="0" applyFont="1" applyFill="1" applyBorder="1" applyAlignment="1" applyProtection="1">
      <alignment horizontal="center" vertical="center" wrapText="1"/>
    </xf>
    <xf numFmtId="0" fontId="18" fillId="2" borderId="137" xfId="0" applyFont="1" applyFill="1" applyBorder="1" applyAlignment="1" applyProtection="1">
      <alignment horizontal="center" vertical="center" wrapText="1"/>
    </xf>
    <xf numFmtId="166" fontId="87" fillId="0" borderId="8" xfId="0" applyNumberFormat="1" applyFont="1" applyFill="1" applyBorder="1" applyAlignment="1" applyProtection="1">
      <alignment horizontal="center" vertical="center"/>
    </xf>
    <xf numFmtId="0" fontId="86" fillId="0" borderId="42" xfId="0" applyFont="1" applyFill="1" applyBorder="1" applyAlignment="1" applyProtection="1">
      <alignment horizontal="center" vertical="center"/>
    </xf>
    <xf numFmtId="0" fontId="86" fillId="0" borderId="43" xfId="0" applyFont="1" applyFill="1" applyBorder="1" applyAlignment="1" applyProtection="1">
      <alignment horizontal="center" vertical="center"/>
    </xf>
    <xf numFmtId="17" fontId="11" fillId="0" borderId="24" xfId="0" applyNumberFormat="1" applyFont="1" applyFill="1" applyBorder="1" applyAlignment="1" applyProtection="1">
      <alignment horizontal="center" vertical="center"/>
    </xf>
    <xf numFmtId="166" fontId="11" fillId="0" borderId="24" xfId="0" applyNumberFormat="1" applyFont="1" applyFill="1" applyBorder="1" applyAlignment="1" applyProtection="1">
      <alignment horizontal="center" vertical="center"/>
    </xf>
    <xf numFmtId="10" fontId="11" fillId="0" borderId="9" xfId="0" applyNumberFormat="1" applyFont="1" applyFill="1" applyBorder="1" applyAlignment="1" applyProtection="1">
      <alignment horizontal="center" vertical="center"/>
    </xf>
    <xf numFmtId="0" fontId="10" fillId="0" borderId="0" xfId="0" applyFont="1" applyProtection="1"/>
    <xf numFmtId="166" fontId="87" fillId="2" borderId="23" xfId="0" applyNumberFormat="1" applyFont="1" applyFill="1" applyBorder="1" applyAlignment="1" applyProtection="1">
      <alignment horizontal="center" vertical="center"/>
    </xf>
    <xf numFmtId="166" fontId="87" fillId="2" borderId="27" xfId="0" applyNumberFormat="1" applyFont="1" applyFill="1" applyBorder="1" applyAlignment="1" applyProtection="1">
      <alignment horizontal="center" vertical="center"/>
    </xf>
    <xf numFmtId="166" fontId="87" fillId="2" borderId="41" xfId="0" applyNumberFormat="1" applyFont="1" applyFill="1" applyBorder="1" applyAlignment="1" applyProtection="1">
      <alignment horizontal="center" vertical="center"/>
    </xf>
    <xf numFmtId="17" fontId="11" fillId="0" borderId="1" xfId="0" applyNumberFormat="1" applyFont="1" applyFill="1" applyBorder="1" applyAlignment="1" applyProtection="1">
      <alignment horizontal="center" vertical="center"/>
    </xf>
    <xf numFmtId="166" fontId="11" fillId="0" borderId="1" xfId="0" applyNumberFormat="1" applyFont="1" applyFill="1" applyBorder="1" applyAlignment="1" applyProtection="1">
      <alignment horizontal="center" vertical="center"/>
    </xf>
    <xf numFmtId="10" fontId="11" fillId="0" borderId="16" xfId="0" applyNumberFormat="1" applyFont="1" applyFill="1" applyBorder="1" applyAlignment="1" applyProtection="1">
      <alignment horizontal="center" vertical="center"/>
    </xf>
    <xf numFmtId="0" fontId="12" fillId="0" borderId="0" xfId="0" applyFont="1" applyProtection="1"/>
    <xf numFmtId="166" fontId="87" fillId="0" borderId="13" xfId="0" applyNumberFormat="1" applyFont="1" applyBorder="1" applyAlignment="1" applyProtection="1">
      <alignment horizontal="center" vertical="center"/>
    </xf>
    <xf numFmtId="166" fontId="87" fillId="0" borderId="119" xfId="0" applyNumberFormat="1" applyFont="1" applyBorder="1" applyAlignment="1" applyProtection="1">
      <alignment horizontal="center" vertical="center"/>
    </xf>
    <xf numFmtId="166" fontId="87" fillId="0" borderId="120" xfId="0" applyNumberFormat="1" applyFont="1" applyBorder="1" applyAlignment="1" applyProtection="1">
      <alignment horizontal="center" vertical="center"/>
    </xf>
    <xf numFmtId="17" fontId="11" fillId="0" borderId="11" xfId="0" applyNumberFormat="1" applyFont="1" applyFill="1" applyBorder="1" applyAlignment="1" applyProtection="1">
      <alignment horizontal="center" vertical="center"/>
    </xf>
    <xf numFmtId="166" fontId="11" fillId="0" borderId="11" xfId="0" applyNumberFormat="1" applyFont="1" applyFill="1" applyBorder="1" applyAlignment="1" applyProtection="1">
      <alignment horizontal="center" vertical="center"/>
    </xf>
    <xf numFmtId="10" fontId="11" fillId="0" borderId="10" xfId="0" applyNumberFormat="1" applyFont="1" applyFill="1" applyBorder="1" applyAlignment="1" applyProtection="1">
      <alignment horizontal="center" vertical="center"/>
    </xf>
    <xf numFmtId="166" fontId="87" fillId="7" borderId="123" xfId="0" applyNumberFormat="1" applyFont="1" applyFill="1" applyBorder="1" applyAlignment="1" applyProtection="1">
      <alignment horizontal="center" vertical="center"/>
    </xf>
    <xf numFmtId="166" fontId="87" fillId="7" borderId="124" xfId="0" applyNumberFormat="1" applyFont="1" applyFill="1" applyBorder="1" applyAlignment="1" applyProtection="1">
      <alignment horizontal="center" vertical="center"/>
    </xf>
    <xf numFmtId="17" fontId="85" fillId="7" borderId="122" xfId="0" applyNumberFormat="1" applyFont="1" applyFill="1" applyBorder="1" applyAlignment="1" applyProtection="1">
      <alignment horizontal="center" vertical="center"/>
    </xf>
    <xf numFmtId="166" fontId="85" fillId="7" borderId="122" xfId="0" applyNumberFormat="1" applyFont="1" applyFill="1" applyBorder="1" applyAlignment="1" applyProtection="1">
      <alignment horizontal="center" vertical="center"/>
    </xf>
    <xf numFmtId="10" fontId="85" fillId="7" borderId="36" xfId="0" applyNumberFormat="1" applyFont="1" applyFill="1" applyBorder="1" applyAlignment="1" applyProtection="1">
      <alignment horizontal="center" vertical="center"/>
    </xf>
    <xf numFmtId="17" fontId="85" fillId="0" borderId="0" xfId="0" applyNumberFormat="1" applyFont="1" applyFill="1" applyBorder="1" applyAlignment="1" applyProtection="1">
      <alignment horizontal="center" vertical="center"/>
    </xf>
    <xf numFmtId="166" fontId="85" fillId="0" borderId="0" xfId="0" applyNumberFormat="1" applyFont="1" applyFill="1" applyBorder="1" applyAlignment="1" applyProtection="1">
      <alignment horizontal="center" vertical="center"/>
    </xf>
    <xf numFmtId="10" fontId="85" fillId="0" borderId="0" xfId="0" applyNumberFormat="1" applyFont="1" applyFill="1" applyBorder="1" applyAlignment="1" applyProtection="1">
      <alignment horizontal="center" vertical="center"/>
    </xf>
    <xf numFmtId="165" fontId="87" fillId="0" borderId="8" xfId="0" applyNumberFormat="1" applyFont="1" applyFill="1" applyBorder="1" applyAlignment="1" applyProtection="1">
      <alignment horizontal="center" vertical="center"/>
    </xf>
    <xf numFmtId="165" fontId="87" fillId="2" borderId="23" xfId="0" applyNumberFormat="1" applyFont="1" applyFill="1" applyBorder="1" applyAlignment="1" applyProtection="1">
      <alignment horizontal="center" vertical="center"/>
    </xf>
    <xf numFmtId="165" fontId="87" fillId="2" borderId="27" xfId="0" applyNumberFormat="1" applyFont="1" applyFill="1" applyBorder="1" applyAlignment="1" applyProtection="1">
      <alignment horizontal="center" vertical="center"/>
    </xf>
    <xf numFmtId="165" fontId="87" fillId="2" borderId="41" xfId="0" applyNumberFormat="1" applyFont="1" applyFill="1" applyBorder="1" applyAlignment="1" applyProtection="1">
      <alignment horizontal="center" vertical="center"/>
    </xf>
    <xf numFmtId="173" fontId="11" fillId="0" borderId="24" xfId="0" applyNumberFormat="1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shrinkToFit="1"/>
    </xf>
    <xf numFmtId="165" fontId="87" fillId="0" borderId="13" xfId="0" applyNumberFormat="1" applyFont="1" applyBorder="1" applyAlignment="1" applyProtection="1">
      <alignment horizontal="center" vertical="center"/>
    </xf>
    <xf numFmtId="165" fontId="87" fillId="0" borderId="119" xfId="0" applyNumberFormat="1" applyFont="1" applyBorder="1" applyAlignment="1" applyProtection="1">
      <alignment horizontal="center" vertical="center"/>
    </xf>
    <xf numFmtId="165" fontId="87" fillId="0" borderId="120" xfId="0" applyNumberFormat="1" applyFont="1" applyBorder="1" applyAlignment="1" applyProtection="1">
      <alignment horizontal="center" vertical="center"/>
    </xf>
    <xf numFmtId="173" fontId="11" fillId="0" borderId="1" xfId="0" applyNumberFormat="1" applyFont="1" applyFill="1" applyBorder="1" applyAlignment="1" applyProtection="1">
      <alignment horizontal="center" vertical="center"/>
    </xf>
    <xf numFmtId="165" fontId="87" fillId="7" borderId="123" xfId="0" applyNumberFormat="1" applyFont="1" applyFill="1" applyBorder="1" applyAlignment="1" applyProtection="1">
      <alignment horizontal="center" vertical="center"/>
    </xf>
    <xf numFmtId="165" fontId="87" fillId="7" borderId="124" xfId="0" applyNumberFormat="1" applyFont="1" applyFill="1" applyBorder="1" applyAlignment="1" applyProtection="1">
      <alignment horizontal="center" vertical="center"/>
    </xf>
    <xf numFmtId="0" fontId="23" fillId="6" borderId="0" xfId="0" applyFont="1" applyFill="1" applyAlignment="1" applyProtection="1">
      <alignment horizontal="left" vertical="center"/>
    </xf>
    <xf numFmtId="173" fontId="11" fillId="0" borderId="11" xfId="0" applyNumberFormat="1" applyFont="1" applyFill="1" applyBorder="1" applyAlignment="1" applyProtection="1">
      <alignment horizontal="center" vertical="center"/>
    </xf>
    <xf numFmtId="0" fontId="45" fillId="0" borderId="0" xfId="0" applyFont="1" applyAlignment="1" applyProtection="1">
      <alignment vertical="center"/>
    </xf>
    <xf numFmtId="0" fontId="45" fillId="0" borderId="0" xfId="0" applyFont="1" applyProtection="1"/>
    <xf numFmtId="0" fontId="31" fillId="2" borderId="3" xfId="0" applyFont="1" applyFill="1" applyBorder="1" applyAlignment="1" applyProtection="1">
      <alignment horizontal="left" vertical="center"/>
    </xf>
    <xf numFmtId="0" fontId="6" fillId="0" borderId="1" xfId="0" applyFont="1" applyBorder="1" applyAlignment="1" applyProtection="1">
      <alignment horizontal="center" vertical="center"/>
    </xf>
    <xf numFmtId="0" fontId="49" fillId="0" borderId="0" xfId="0" applyFont="1" applyAlignment="1" applyProtection="1">
      <alignment horizontal="center" vertical="center"/>
    </xf>
    <xf numFmtId="0" fontId="44" fillId="0" borderId="0" xfId="0" applyFont="1" applyBorder="1" applyAlignment="1" applyProtection="1">
      <alignment vertical="center"/>
    </xf>
    <xf numFmtId="0" fontId="44" fillId="0" borderId="6" xfId="0" applyFont="1" applyBorder="1" applyAlignment="1" applyProtection="1">
      <alignment vertical="center"/>
    </xf>
    <xf numFmtId="0" fontId="43" fillId="0" borderId="0" xfId="0" applyFont="1" applyAlignment="1" applyProtection="1">
      <alignment horizontal="center" vertical="center"/>
    </xf>
    <xf numFmtId="165" fontId="45" fillId="0" borderId="0" xfId="0" applyNumberFormat="1" applyFont="1" applyProtection="1"/>
    <xf numFmtId="10" fontId="50" fillId="0" borderId="9" xfId="0" applyNumberFormat="1" applyFont="1" applyBorder="1" applyAlignment="1" applyProtection="1">
      <alignment horizontal="center" vertical="center" shrinkToFit="1"/>
    </xf>
    <xf numFmtId="0" fontId="45" fillId="0" borderId="12" xfId="0" applyFont="1" applyBorder="1" applyProtection="1"/>
    <xf numFmtId="0" fontId="44" fillId="0" borderId="0" xfId="0" applyFont="1" applyBorder="1" applyAlignment="1" applyProtection="1">
      <alignment horizontal="center" vertical="center"/>
    </xf>
    <xf numFmtId="0" fontId="33" fillId="0" borderId="1" xfId="0" applyFont="1" applyBorder="1" applyAlignment="1" applyProtection="1">
      <alignment horizontal="left" vertical="center"/>
    </xf>
    <xf numFmtId="0" fontId="33" fillId="0" borderId="1" xfId="0" applyFont="1" applyBorder="1" applyAlignment="1" applyProtection="1">
      <alignment horizontal="center" vertical="center"/>
    </xf>
    <xf numFmtId="10" fontId="31" fillId="0" borderId="0" xfId="0" applyNumberFormat="1" applyFont="1" applyAlignment="1" applyProtection="1">
      <alignment horizontal="center" vertical="center"/>
    </xf>
    <xf numFmtId="10" fontId="50" fillId="2" borderId="16" xfId="0" applyNumberFormat="1" applyFont="1" applyFill="1" applyBorder="1" applyAlignment="1" applyProtection="1">
      <alignment horizontal="center" vertical="center" shrinkToFit="1"/>
    </xf>
    <xf numFmtId="10" fontId="45" fillId="0" borderId="0" xfId="0" applyNumberFormat="1" applyFont="1" applyBorder="1" applyAlignment="1" applyProtection="1">
      <alignment horizontal="center" vertical="center"/>
    </xf>
    <xf numFmtId="168" fontId="6" fillId="0" borderId="1" xfId="0" applyNumberFormat="1" applyFont="1" applyBorder="1" applyAlignment="1" applyProtection="1">
      <alignment vertical="center"/>
    </xf>
    <xf numFmtId="10" fontId="6" fillId="0" borderId="1" xfId="0" applyNumberFormat="1" applyFont="1" applyBorder="1" applyAlignment="1" applyProtection="1">
      <alignment horizontal="center" vertical="center"/>
    </xf>
    <xf numFmtId="0" fontId="45" fillId="0" borderId="53" xfId="0" applyFont="1" applyBorder="1" applyProtection="1"/>
    <xf numFmtId="17" fontId="45" fillId="0" borderId="38" xfId="0" applyNumberFormat="1" applyFont="1" applyBorder="1" applyAlignment="1" applyProtection="1">
      <alignment horizontal="center" vertical="center"/>
    </xf>
    <xf numFmtId="17" fontId="45" fillId="0" borderId="9" xfId="0" applyNumberFormat="1" applyFont="1" applyBorder="1" applyAlignment="1" applyProtection="1">
      <alignment horizontal="center" vertical="center"/>
    </xf>
    <xf numFmtId="10" fontId="50" fillId="0" borderId="16" xfId="0" applyNumberFormat="1" applyFont="1" applyBorder="1" applyAlignment="1" applyProtection="1">
      <alignment horizontal="center" vertical="center" shrinkToFit="1"/>
    </xf>
    <xf numFmtId="0" fontId="45" fillId="0" borderId="0" xfId="0" applyFont="1" applyBorder="1" applyAlignment="1" applyProtection="1">
      <alignment vertical="center"/>
    </xf>
    <xf numFmtId="0" fontId="45" fillId="0" borderId="6" xfId="0" applyFont="1" applyBorder="1" applyAlignment="1" applyProtection="1">
      <alignment vertical="center"/>
    </xf>
    <xf numFmtId="0" fontId="48" fillId="0" borderId="23" xfId="0" applyFont="1" applyBorder="1" applyAlignment="1" applyProtection="1">
      <alignment horizontal="center" vertical="center"/>
    </xf>
    <xf numFmtId="17" fontId="38" fillId="0" borderId="28" xfId="0" applyNumberFormat="1" applyFont="1" applyBorder="1" applyAlignment="1" applyProtection="1">
      <alignment horizontal="center" vertical="center"/>
    </xf>
    <xf numFmtId="17" fontId="38" fillId="0" borderId="16" xfId="0" applyNumberFormat="1" applyFont="1" applyBorder="1" applyAlignment="1" applyProtection="1">
      <alignment horizontal="center" vertical="center"/>
    </xf>
    <xf numFmtId="0" fontId="45" fillId="0" borderId="23" xfId="0" applyFont="1" applyBorder="1" applyAlignment="1" applyProtection="1">
      <alignment horizontal="right" vertical="center" wrapText="1"/>
    </xf>
    <xf numFmtId="44" fontId="45" fillId="0" borderId="28" xfId="0" applyNumberFormat="1" applyFont="1" applyBorder="1" applyAlignment="1" applyProtection="1">
      <alignment horizontal="center" vertical="center"/>
    </xf>
    <xf numFmtId="44" fontId="45" fillId="0" borderId="16" xfId="0" applyNumberFormat="1" applyFont="1" applyBorder="1" applyAlignment="1" applyProtection="1">
      <alignment horizontal="center" vertical="center"/>
    </xf>
    <xf numFmtId="44" fontId="48" fillId="0" borderId="1" xfId="0" applyNumberFormat="1" applyFont="1" applyBorder="1" applyAlignment="1" applyProtection="1">
      <alignment horizontal="center" vertical="center"/>
    </xf>
    <xf numFmtId="10" fontId="50" fillId="0" borderId="10" xfId="0" applyNumberFormat="1" applyFont="1" applyBorder="1" applyAlignment="1" applyProtection="1">
      <alignment horizontal="center" vertical="center" shrinkToFit="1"/>
    </xf>
    <xf numFmtId="0" fontId="8" fillId="0" borderId="23" xfId="0" applyFont="1" applyBorder="1" applyAlignment="1" applyProtection="1">
      <alignment horizontal="right" vertical="center" wrapText="1"/>
    </xf>
    <xf numFmtId="10" fontId="43" fillId="0" borderId="0" xfId="0" applyNumberFormat="1" applyFont="1" applyAlignment="1" applyProtection="1">
      <alignment horizontal="center" vertical="center"/>
    </xf>
    <xf numFmtId="0" fontId="33" fillId="0" borderId="1" xfId="0" applyFont="1" applyBorder="1" applyAlignment="1" applyProtection="1">
      <alignment horizontal="left" vertical="center" wrapText="1"/>
    </xf>
    <xf numFmtId="168" fontId="33" fillId="0" borderId="1" xfId="0" applyNumberFormat="1" applyFont="1" applyBorder="1" applyAlignment="1" applyProtection="1">
      <alignment vertical="center"/>
    </xf>
    <xf numFmtId="10" fontId="33" fillId="0" borderId="1" xfId="0" applyNumberFormat="1" applyFont="1" applyBorder="1" applyAlignment="1" applyProtection="1">
      <alignment horizontal="center" vertical="center"/>
    </xf>
    <xf numFmtId="10" fontId="45" fillId="0" borderId="5" xfId="0" applyNumberFormat="1" applyFont="1" applyBorder="1" applyAlignment="1" applyProtection="1">
      <alignment horizontal="center" vertical="center"/>
    </xf>
    <xf numFmtId="0" fontId="45" fillId="0" borderId="5" xfId="0" applyFont="1" applyBorder="1" applyAlignment="1" applyProtection="1">
      <alignment vertical="center"/>
    </xf>
    <xf numFmtId="0" fontId="45" fillId="0" borderId="9" xfId="0" applyFont="1" applyBorder="1" applyAlignment="1" applyProtection="1">
      <alignment vertical="center"/>
    </xf>
    <xf numFmtId="0" fontId="33" fillId="0" borderId="1" xfId="0" applyFont="1" applyBorder="1" applyAlignment="1" applyProtection="1">
      <alignment horizontal="left" vertical="top" wrapText="1"/>
    </xf>
    <xf numFmtId="10" fontId="31" fillId="0" borderId="0" xfId="0" applyNumberFormat="1" applyFont="1" applyAlignment="1" applyProtection="1">
      <alignment vertical="center"/>
    </xf>
    <xf numFmtId="0" fontId="54" fillId="0" borderId="3" xfId="0" applyFont="1" applyFill="1" applyBorder="1" applyAlignment="1" applyProtection="1">
      <alignment horizontal="center" vertical="center" wrapText="1"/>
    </xf>
    <xf numFmtId="168" fontId="31" fillId="0" borderId="3" xfId="0" applyNumberFormat="1" applyFont="1" applyFill="1" applyBorder="1" applyAlignment="1" applyProtection="1">
      <alignment vertical="center"/>
    </xf>
    <xf numFmtId="10" fontId="31" fillId="0" borderId="3" xfId="0" applyNumberFormat="1" applyFont="1" applyFill="1" applyBorder="1" applyAlignment="1" applyProtection="1">
      <alignment vertical="center"/>
    </xf>
    <xf numFmtId="0" fontId="33" fillId="8" borderId="11" xfId="0" applyFont="1" applyFill="1" applyBorder="1" applyAlignment="1" applyProtection="1">
      <alignment horizontal="center" vertical="center"/>
    </xf>
    <xf numFmtId="165" fontId="6" fillId="0" borderId="24" xfId="0" applyNumberFormat="1" applyFont="1" applyBorder="1" applyAlignment="1" applyProtection="1">
      <alignment horizontal="center" vertical="center"/>
    </xf>
    <xf numFmtId="10" fontId="31" fillId="0" borderId="0" xfId="0" applyNumberFormat="1" applyFont="1" applyFill="1" applyBorder="1" applyAlignment="1" applyProtection="1">
      <alignment horizontal="center" vertical="center"/>
    </xf>
    <xf numFmtId="0" fontId="45" fillId="0" borderId="0" xfId="0" applyFont="1" applyFill="1" applyBorder="1" applyProtection="1"/>
    <xf numFmtId="10" fontId="31" fillId="0" borderId="0" xfId="0" applyNumberFormat="1" applyFont="1" applyFill="1" applyAlignment="1" applyProtection="1">
      <alignment horizontal="center" vertical="center"/>
    </xf>
    <xf numFmtId="0" fontId="31" fillId="0" borderId="0" xfId="0" applyFont="1" applyProtection="1"/>
    <xf numFmtId="0" fontId="45" fillId="0" borderId="0" xfId="0" applyFont="1" applyFill="1" applyProtection="1"/>
    <xf numFmtId="0" fontId="8" fillId="0" borderId="112" xfId="0" applyFont="1" applyBorder="1" applyAlignment="1" applyProtection="1">
      <alignment horizontal="right" vertical="center" wrapText="1"/>
    </xf>
    <xf numFmtId="17" fontId="44" fillId="0" borderId="0" xfId="0" applyNumberFormat="1" applyFont="1" applyAlignment="1" applyProtection="1">
      <alignment horizontal="center" vertical="center"/>
    </xf>
    <xf numFmtId="0" fontId="62" fillId="0" borderId="0" xfId="0" applyFont="1" applyAlignment="1" applyProtection="1">
      <alignment horizontal="center" vertical="center" wrapText="1"/>
    </xf>
    <xf numFmtId="0" fontId="45" fillId="0" borderId="0" xfId="0" applyFont="1" applyAlignment="1" applyProtection="1">
      <alignment horizontal="center" vertical="center"/>
    </xf>
    <xf numFmtId="166" fontId="81" fillId="0" borderId="2" xfId="0" applyNumberFormat="1" applyFont="1" applyBorder="1" applyAlignment="1" applyProtection="1">
      <alignment horizontal="center" vertical="center" shrinkToFit="1"/>
    </xf>
    <xf numFmtId="0" fontId="53" fillId="0" borderId="0" xfId="0" applyFont="1" applyAlignment="1" applyProtection="1">
      <alignment horizontal="left" vertical="top" wrapText="1"/>
    </xf>
    <xf numFmtId="0" fontId="57" fillId="0" borderId="0" xfId="0" applyFont="1" applyProtection="1"/>
    <xf numFmtId="0" fontId="57" fillId="0" borderId="0" xfId="0" applyFont="1" applyAlignment="1" applyProtection="1">
      <alignment horizontal="center"/>
    </xf>
    <xf numFmtId="166" fontId="81" fillId="2" borderId="103" xfId="0" applyNumberFormat="1" applyFont="1" applyFill="1" applyBorder="1" applyAlignment="1" applyProtection="1">
      <alignment horizontal="center" vertical="center" shrinkToFit="1"/>
    </xf>
    <xf numFmtId="0" fontId="38" fillId="0" borderId="0" xfId="0" applyFont="1" applyAlignment="1" applyProtection="1">
      <alignment vertical="center"/>
    </xf>
    <xf numFmtId="0" fontId="61" fillId="0" borderId="0" xfId="0" applyFont="1" applyProtection="1"/>
    <xf numFmtId="0" fontId="40" fillId="0" borderId="1" xfId="0" applyFont="1" applyBorder="1" applyAlignment="1" applyProtection="1">
      <alignment horizontal="center" vertical="center"/>
    </xf>
    <xf numFmtId="0" fontId="61" fillId="0" borderId="0" xfId="0" applyFont="1" applyAlignment="1" applyProtection="1">
      <alignment horizontal="center"/>
    </xf>
    <xf numFmtId="17" fontId="38" fillId="0" borderId="22" xfId="0" applyNumberFormat="1" applyFont="1" applyBorder="1" applyAlignment="1" applyProtection="1">
      <alignment horizontal="center" vertical="center"/>
    </xf>
    <xf numFmtId="17" fontId="38" fillId="0" borderId="103" xfId="0" applyNumberFormat="1" applyFont="1" applyBorder="1" applyAlignment="1" applyProtection="1">
      <alignment horizontal="center" vertical="center"/>
    </xf>
    <xf numFmtId="17" fontId="38" fillId="0" borderId="21" xfId="0" applyNumberFormat="1" applyFont="1" applyBorder="1" applyAlignment="1" applyProtection="1">
      <alignment horizontal="center" vertical="center"/>
    </xf>
    <xf numFmtId="17" fontId="38" fillId="0" borderId="115" xfId="0" applyNumberFormat="1" applyFont="1" applyBorder="1" applyAlignment="1" applyProtection="1">
      <alignment horizontal="center" vertical="center"/>
    </xf>
    <xf numFmtId="17" fontId="38" fillId="0" borderId="116" xfId="0" applyNumberFormat="1" applyFont="1" applyBorder="1" applyAlignment="1" applyProtection="1">
      <alignment horizontal="center" vertical="center"/>
    </xf>
    <xf numFmtId="0" fontId="42" fillId="0" borderId="0" xfId="0" applyFont="1" applyAlignment="1" applyProtection="1">
      <alignment vertical="center" wrapText="1"/>
    </xf>
    <xf numFmtId="0" fontId="63" fillId="0" borderId="1" xfId="0" applyFont="1" applyBorder="1" applyAlignment="1" applyProtection="1">
      <alignment horizontal="left" vertical="center"/>
    </xf>
    <xf numFmtId="166" fontId="63" fillId="0" borderId="1" xfId="0" applyNumberFormat="1" applyFont="1" applyBorder="1" applyAlignment="1" applyProtection="1">
      <alignment horizontal="center" vertical="center"/>
    </xf>
    <xf numFmtId="165" fontId="63" fillId="0" borderId="1" xfId="0" applyNumberFormat="1" applyFont="1" applyBorder="1" applyAlignment="1" applyProtection="1">
      <alignment horizontal="center" vertical="center"/>
    </xf>
    <xf numFmtId="17" fontId="38" fillId="0" borderId="117" xfId="0" applyNumberFormat="1" applyFont="1" applyBorder="1" applyAlignment="1" applyProtection="1">
      <alignment horizontal="center" vertical="center"/>
    </xf>
    <xf numFmtId="17" fontId="38" fillId="0" borderId="2" xfId="0" applyNumberFormat="1" applyFont="1" applyBorder="1" applyAlignment="1" applyProtection="1">
      <alignment horizontal="center" vertical="center"/>
    </xf>
    <xf numFmtId="17" fontId="38" fillId="0" borderId="118" xfId="0" applyNumberFormat="1" applyFont="1" applyBorder="1" applyAlignment="1" applyProtection="1">
      <alignment horizontal="center" vertical="center"/>
    </xf>
    <xf numFmtId="166" fontId="64" fillId="0" borderId="16" xfId="0" applyNumberFormat="1" applyFont="1" applyBorder="1" applyAlignment="1" applyProtection="1">
      <alignment horizontal="center" vertical="center"/>
    </xf>
    <xf numFmtId="0" fontId="57" fillId="0" borderId="0" xfId="0" applyFont="1" applyAlignment="1" applyProtection="1">
      <alignment horizontal="center" vertical="center"/>
    </xf>
    <xf numFmtId="0" fontId="61" fillId="0" borderId="114" xfId="0" applyFont="1" applyFill="1" applyBorder="1" applyAlignment="1" applyProtection="1">
      <alignment horizontal="right" vertical="center"/>
    </xf>
    <xf numFmtId="0" fontId="63" fillId="0" borderId="22" xfId="0" applyFont="1" applyFill="1" applyBorder="1" applyAlignment="1" applyProtection="1">
      <alignment horizontal="center" vertical="center"/>
    </xf>
    <xf numFmtId="0" fontId="63" fillId="0" borderId="103" xfId="0" applyFont="1" applyFill="1" applyBorder="1" applyAlignment="1" applyProtection="1">
      <alignment horizontal="center" vertical="center"/>
    </xf>
    <xf numFmtId="0" fontId="63" fillId="0" borderId="21" xfId="0" applyFont="1" applyFill="1" applyBorder="1" applyAlignment="1" applyProtection="1">
      <alignment horizontal="center" vertical="center"/>
    </xf>
    <xf numFmtId="165" fontId="63" fillId="0" borderId="115" xfId="0" applyNumberFormat="1" applyFont="1" applyFill="1" applyBorder="1" applyAlignment="1" applyProtection="1">
      <alignment horizontal="center" vertical="center"/>
    </xf>
    <xf numFmtId="165" fontId="63" fillId="0" borderId="103" xfId="0" applyNumberFormat="1" applyFont="1" applyFill="1" applyBorder="1" applyAlignment="1" applyProtection="1">
      <alignment horizontal="center" vertical="center"/>
    </xf>
    <xf numFmtId="165" fontId="63" fillId="0" borderId="116" xfId="0" applyNumberFormat="1" applyFont="1" applyFill="1" applyBorder="1" applyAlignment="1" applyProtection="1">
      <alignment horizontal="center" vertical="center"/>
    </xf>
    <xf numFmtId="166" fontId="64" fillId="0" borderId="16" xfId="0" applyNumberFormat="1" applyFont="1" applyFill="1" applyBorder="1" applyAlignment="1" applyProtection="1">
      <alignment horizontal="center" vertical="center"/>
    </xf>
    <xf numFmtId="166" fontId="81" fillId="2" borderId="2" xfId="0" applyNumberFormat="1" applyFont="1" applyFill="1" applyBorder="1" applyAlignment="1" applyProtection="1">
      <alignment horizontal="center" vertical="center" shrinkToFit="1"/>
    </xf>
    <xf numFmtId="0" fontId="61" fillId="4" borderId="114" xfId="0" applyFont="1" applyFill="1" applyBorder="1" applyAlignment="1" applyProtection="1">
      <alignment horizontal="right" vertical="center"/>
    </xf>
    <xf numFmtId="0" fontId="63" fillId="4" borderId="22" xfId="0" applyFont="1" applyFill="1" applyBorder="1" applyAlignment="1" applyProtection="1">
      <alignment horizontal="center" vertical="center"/>
    </xf>
    <xf numFmtId="0" fontId="63" fillId="4" borderId="103" xfId="0" applyFont="1" applyFill="1" applyBorder="1" applyAlignment="1" applyProtection="1">
      <alignment horizontal="center" vertical="center"/>
    </xf>
    <xf numFmtId="0" fontId="63" fillId="4" borderId="21" xfId="0" applyFont="1" applyFill="1" applyBorder="1" applyAlignment="1" applyProtection="1">
      <alignment horizontal="center" vertical="center"/>
    </xf>
    <xf numFmtId="165" fontId="63" fillId="4" borderId="115" xfId="0" applyNumberFormat="1" applyFont="1" applyFill="1" applyBorder="1" applyAlignment="1" applyProtection="1">
      <alignment horizontal="center" vertical="center"/>
    </xf>
    <xf numFmtId="165" fontId="63" fillId="4" borderId="103" xfId="0" applyNumberFormat="1" applyFont="1" applyFill="1" applyBorder="1" applyAlignment="1" applyProtection="1">
      <alignment horizontal="center" vertical="center"/>
    </xf>
    <xf numFmtId="165" fontId="63" fillId="4" borderId="116" xfId="0" applyNumberFormat="1" applyFont="1" applyFill="1" applyBorder="1" applyAlignment="1" applyProtection="1">
      <alignment horizontal="center" vertical="center"/>
    </xf>
    <xf numFmtId="166" fontId="64" fillId="4" borderId="16" xfId="0" applyNumberFormat="1" applyFont="1" applyFill="1" applyBorder="1" applyAlignment="1" applyProtection="1">
      <alignment horizontal="center" vertical="center"/>
    </xf>
    <xf numFmtId="0" fontId="45" fillId="0" borderId="0" xfId="0" applyFont="1" applyBorder="1" applyProtection="1"/>
    <xf numFmtId="0" fontId="44" fillId="0" borderId="0" xfId="0" applyFont="1" applyBorder="1" applyAlignment="1" applyProtection="1">
      <alignment horizontal="left" vertical="center"/>
    </xf>
    <xf numFmtId="0" fontId="65" fillId="0" borderId="0" xfId="0" applyFont="1" applyBorder="1" applyAlignment="1" applyProtection="1">
      <alignment horizontal="right" wrapText="1"/>
    </xf>
    <xf numFmtId="17" fontId="45" fillId="0" borderId="0" xfId="0" applyNumberFormat="1" applyFont="1" applyBorder="1" applyProtection="1"/>
    <xf numFmtId="0" fontId="65" fillId="0" borderId="0" xfId="0" applyFont="1" applyBorder="1" applyAlignment="1" applyProtection="1">
      <alignment horizontal="right"/>
    </xf>
    <xf numFmtId="2" fontId="45" fillId="0" borderId="0" xfId="0" applyNumberFormat="1" applyFont="1" applyBorder="1" applyProtection="1"/>
    <xf numFmtId="44" fontId="45" fillId="0" borderId="0" xfId="1" applyFont="1" applyBorder="1" applyProtection="1"/>
    <xf numFmtId="0" fontId="48" fillId="0" borderId="0" xfId="0" applyFont="1" applyBorder="1" applyAlignment="1" applyProtection="1">
      <alignment horizontal="center"/>
    </xf>
    <xf numFmtId="17" fontId="48" fillId="0" borderId="0" xfId="0" applyNumberFormat="1" applyFont="1" applyBorder="1" applyAlignment="1" applyProtection="1">
      <alignment horizontal="center"/>
    </xf>
    <xf numFmtId="9" fontId="56" fillId="3" borderId="5" xfId="0" applyNumberFormat="1" applyFont="1" applyFill="1" applyBorder="1" applyAlignment="1" applyProtection="1">
      <alignment horizontal="left" vertical="center"/>
    </xf>
    <xf numFmtId="3" fontId="49" fillId="3" borderId="4" xfId="0" applyNumberFormat="1" applyFont="1" applyFill="1" applyBorder="1" applyAlignment="1" applyProtection="1">
      <alignment horizontal="center" vertical="center" wrapText="1"/>
    </xf>
    <xf numFmtId="3" fontId="49" fillId="3" borderId="5" xfId="0" applyNumberFormat="1" applyFont="1" applyFill="1" applyBorder="1" applyAlignment="1" applyProtection="1">
      <alignment horizontal="center" vertical="center" wrapText="1"/>
    </xf>
    <xf numFmtId="0" fontId="65" fillId="0" borderId="0" xfId="0" applyFont="1" applyBorder="1" applyAlignment="1" applyProtection="1">
      <alignment vertical="top" wrapText="1"/>
    </xf>
    <xf numFmtId="0" fontId="65" fillId="0" borderId="0" xfId="0" applyFont="1" applyFill="1" applyBorder="1" applyAlignment="1" applyProtection="1">
      <alignment horizontal="right"/>
    </xf>
    <xf numFmtId="0" fontId="44" fillId="0" borderId="0" xfId="0" applyFont="1" applyFill="1" applyBorder="1" applyAlignment="1" applyProtection="1">
      <alignment horizontal="left" vertical="center"/>
    </xf>
    <xf numFmtId="0" fontId="65" fillId="0" borderId="0" xfId="0" applyFont="1" applyFill="1" applyBorder="1" applyAlignment="1" applyProtection="1">
      <alignment vertical="top" wrapText="1"/>
    </xf>
    <xf numFmtId="0" fontId="65" fillId="0" borderId="0" xfId="0" applyFont="1" applyFill="1" applyBorder="1" applyAlignment="1" applyProtection="1">
      <alignment horizontal="right" wrapText="1"/>
    </xf>
    <xf numFmtId="17" fontId="45" fillId="0" borderId="0" xfId="0" applyNumberFormat="1" applyFont="1" applyFill="1" applyBorder="1" applyProtection="1"/>
    <xf numFmtId="2" fontId="45" fillId="0" borderId="0" xfId="0" applyNumberFormat="1" applyFont="1" applyFill="1" applyBorder="1" applyProtection="1"/>
    <xf numFmtId="44" fontId="45" fillId="0" borderId="0" xfId="1" applyFont="1" applyFill="1" applyBorder="1" applyProtection="1"/>
    <xf numFmtId="0" fontId="65" fillId="0" borderId="0" xfId="0" applyFont="1" applyProtection="1"/>
    <xf numFmtId="0" fontId="63" fillId="0" borderId="0" xfId="0" applyFont="1" applyFill="1" applyBorder="1" applyAlignment="1" applyProtection="1">
      <alignment horizontal="left" vertical="center"/>
    </xf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167" fontId="0" fillId="5" borderId="0" xfId="0" applyNumberFormat="1" applyFill="1" applyProtection="1"/>
    <xf numFmtId="167" fontId="0" fillId="0" borderId="0" xfId="0" applyNumberFormat="1" applyProtection="1"/>
    <xf numFmtId="0" fontId="26" fillId="5" borderId="0" xfId="0" applyFont="1" applyFill="1" applyAlignment="1" applyProtection="1">
      <alignment horizontal="right" vertical="center"/>
    </xf>
    <xf numFmtId="0" fontId="67" fillId="3" borderId="3" xfId="0" applyFont="1" applyFill="1" applyBorder="1" applyAlignment="1" applyProtection="1">
      <alignment horizontal="center" vertical="center"/>
    </xf>
    <xf numFmtId="0" fontId="89" fillId="0" borderId="0" xfId="0" applyFont="1" applyAlignment="1" applyProtection="1">
      <alignment horizontal="center" vertical="center" wrapText="1"/>
    </xf>
    <xf numFmtId="0" fontId="48" fillId="0" borderId="0" xfId="0" applyFont="1" applyBorder="1" applyAlignment="1" applyProtection="1">
      <alignment horizontal="center" vertical="center" shrinkToFit="1"/>
      <protection locked="0"/>
    </xf>
    <xf numFmtId="167" fontId="48" fillId="0" borderId="0" xfId="0" applyNumberFormat="1" applyFont="1" applyBorder="1" applyAlignment="1" applyProtection="1">
      <alignment horizontal="center" vertical="center" wrapText="1" shrinkToFit="1"/>
      <protection locked="0"/>
    </xf>
    <xf numFmtId="17" fontId="57" fillId="0" borderId="0" xfId="0" applyNumberFormat="1" applyFont="1" applyBorder="1" applyAlignment="1" applyProtection="1">
      <alignment horizontal="left" vertical="center" shrinkToFit="1"/>
      <protection locked="0"/>
    </xf>
    <xf numFmtId="0" fontId="57" fillId="0" borderId="0" xfId="0" applyFont="1" applyBorder="1" applyAlignment="1" applyProtection="1">
      <alignment horizontal="left" vertical="center" shrinkToFit="1"/>
      <protection locked="0"/>
    </xf>
    <xf numFmtId="165" fontId="57" fillId="0" borderId="0" xfId="0" applyNumberFormat="1" applyFont="1" applyBorder="1" applyAlignment="1" applyProtection="1">
      <alignment horizontal="left" vertical="center" shrinkToFit="1"/>
      <protection locked="0"/>
    </xf>
    <xf numFmtId="0" fontId="45" fillId="0" borderId="0" xfId="0" applyFont="1" applyBorder="1" applyAlignment="1" applyProtection="1">
      <alignment vertical="center" shrinkToFit="1"/>
      <protection locked="0"/>
    </xf>
    <xf numFmtId="0" fontId="45" fillId="0" borderId="0" xfId="0" applyFont="1" applyBorder="1" applyAlignment="1" applyProtection="1">
      <alignment horizontal="center" vertical="center" shrinkToFit="1"/>
      <protection locked="0"/>
    </xf>
    <xf numFmtId="164" fontId="45" fillId="0" borderId="0" xfId="0" applyNumberFormat="1" applyFont="1" applyBorder="1" applyAlignment="1" applyProtection="1">
      <alignment horizontal="center" vertical="center" shrinkToFit="1"/>
      <protection locked="0"/>
    </xf>
    <xf numFmtId="165" fontId="45" fillId="0" borderId="0" xfId="0" applyNumberFormat="1" applyFont="1" applyBorder="1" applyAlignment="1" applyProtection="1">
      <alignment horizontal="left" vertical="center" shrinkToFit="1"/>
      <protection locked="0"/>
    </xf>
    <xf numFmtId="0" fontId="3" fillId="0" borderId="0" xfId="0" applyFont="1" applyAlignment="1" applyProtection="1">
      <alignment horizontal="left" vertical="center" shrinkToFit="1"/>
      <protection locked="0"/>
    </xf>
    <xf numFmtId="0" fontId="44" fillId="0" borderId="0" xfId="0" applyFont="1" applyBorder="1" applyProtection="1"/>
    <xf numFmtId="0" fontId="45" fillId="0" borderId="80" xfId="0" applyFont="1" applyBorder="1" applyProtection="1"/>
    <xf numFmtId="0" fontId="45" fillId="0" borderId="8" xfId="0" applyFont="1" applyBorder="1" applyProtection="1"/>
    <xf numFmtId="10" fontId="45" fillId="0" borderId="0" xfId="3" applyNumberFormat="1" applyFont="1" applyProtection="1"/>
    <xf numFmtId="166" fontId="81" fillId="2" borderId="138" xfId="0" applyNumberFormat="1" applyFont="1" applyFill="1" applyBorder="1" applyAlignment="1" applyProtection="1">
      <alignment horizontal="center" vertical="center" shrinkToFit="1"/>
    </xf>
    <xf numFmtId="0" fontId="0" fillId="0" borderId="0" xfId="0" applyFont="1" applyAlignment="1" applyProtection="1">
      <alignment horizontal="left"/>
    </xf>
    <xf numFmtId="0" fontId="0" fillId="0" borderId="140" xfId="0" applyFill="1" applyBorder="1" applyAlignment="1">
      <alignment horizontal="center" vertical="center"/>
    </xf>
    <xf numFmtId="0" fontId="0" fillId="0" borderId="141" xfId="0" applyFill="1" applyBorder="1" applyAlignment="1">
      <alignment horizontal="center" vertical="center"/>
    </xf>
    <xf numFmtId="175" fontId="81" fillId="0" borderId="37" xfId="3" applyNumberFormat="1" applyFont="1" applyFill="1" applyBorder="1" applyAlignment="1" applyProtection="1">
      <alignment horizontal="center" vertical="center" shrinkToFit="1"/>
    </xf>
    <xf numFmtId="175" fontId="81" fillId="2" borderId="25" xfId="3" applyNumberFormat="1" applyFont="1" applyFill="1" applyBorder="1" applyAlignment="1" applyProtection="1">
      <alignment horizontal="center" vertical="center" shrinkToFit="1"/>
    </xf>
    <xf numFmtId="175" fontId="81" fillId="0" borderId="25" xfId="3" applyNumberFormat="1" applyFont="1" applyFill="1" applyBorder="1" applyAlignment="1" applyProtection="1">
      <alignment horizontal="center" vertical="center" shrinkToFit="1"/>
    </xf>
    <xf numFmtId="175" fontId="81" fillId="2" borderId="60" xfId="3" applyNumberFormat="1" applyFont="1" applyFill="1" applyBorder="1" applyAlignment="1" applyProtection="1">
      <alignment horizontal="center" vertical="center" shrinkToFit="1"/>
    </xf>
    <xf numFmtId="0" fontId="91" fillId="0" borderId="12" xfId="0" applyFont="1" applyBorder="1" applyAlignment="1" applyProtection="1">
      <alignment horizontal="left" vertical="center" wrapText="1" shrinkToFit="1"/>
      <protection locked="0"/>
    </xf>
    <xf numFmtId="8" fontId="91" fillId="0" borderId="6" xfId="0" applyNumberFormat="1" applyFont="1" applyBorder="1" applyAlignment="1" applyProtection="1">
      <alignment horizontal="right" vertical="center" wrapText="1" shrinkToFit="1"/>
      <protection locked="0"/>
    </xf>
    <xf numFmtId="0" fontId="91" fillId="0" borderId="8" xfId="0" applyFont="1" applyBorder="1" applyAlignment="1" applyProtection="1">
      <alignment horizontal="left" vertical="center" wrapText="1" shrinkToFit="1"/>
      <protection locked="0"/>
    </xf>
    <xf numFmtId="8" fontId="91" fillId="0" borderId="9" xfId="0" applyNumberFormat="1" applyFont="1" applyBorder="1" applyAlignment="1" applyProtection="1">
      <alignment horizontal="right" vertical="center" wrapText="1" shrinkToFit="1"/>
      <protection locked="0"/>
    </xf>
    <xf numFmtId="0" fontId="0" fillId="0" borderId="143" xfId="0" applyFill="1" applyBorder="1" applyAlignment="1">
      <alignment horizontal="center" vertical="center"/>
    </xf>
    <xf numFmtId="17" fontId="94" fillId="0" borderId="0" xfId="0" applyNumberFormat="1" applyFont="1" applyAlignment="1" applyProtection="1">
      <alignment horizontal="center" vertical="center" shrinkToFit="1"/>
      <protection locked="0"/>
    </xf>
    <xf numFmtId="0" fontId="57" fillId="0" borderId="0" xfId="0" applyFont="1" applyAlignment="1" applyProtection="1">
      <alignment horizontal="center" vertical="center" shrinkToFit="1"/>
      <protection locked="0"/>
    </xf>
    <xf numFmtId="165" fontId="61" fillId="0" borderId="0" xfId="0" applyNumberFormat="1" applyFont="1" applyAlignment="1" applyProtection="1">
      <alignment horizontal="left" vertical="center" shrinkToFit="1"/>
      <protection locked="0"/>
    </xf>
    <xf numFmtId="0" fontId="90" fillId="3" borderId="142" xfId="0" applyFont="1" applyFill="1" applyBorder="1" applyAlignment="1" applyProtection="1">
      <alignment horizontal="center" vertical="center"/>
    </xf>
    <xf numFmtId="167" fontId="31" fillId="0" borderId="0" xfId="0" applyNumberFormat="1" applyFont="1" applyBorder="1" applyProtection="1"/>
    <xf numFmtId="0" fontId="58" fillId="0" borderId="0" xfId="0" applyFont="1" applyBorder="1" applyAlignment="1" applyProtection="1">
      <alignment horizontal="center" vertical="center"/>
    </xf>
    <xf numFmtId="17" fontId="58" fillId="0" borderId="0" xfId="0" applyNumberFormat="1" applyFont="1" applyBorder="1" applyAlignment="1" applyProtection="1">
      <alignment horizontal="center" vertical="center"/>
    </xf>
    <xf numFmtId="17" fontId="58" fillId="0" borderId="0" xfId="0" applyNumberFormat="1" applyFont="1" applyBorder="1" applyAlignment="1" applyProtection="1">
      <alignment horizontal="left" vertical="center"/>
    </xf>
    <xf numFmtId="167" fontId="31" fillId="0" borderId="0" xfId="0" applyNumberFormat="1" applyFont="1" applyBorder="1" applyAlignment="1" applyProtection="1">
      <alignment horizontal="left" vertical="top"/>
    </xf>
    <xf numFmtId="0" fontId="31" fillId="0" borderId="0" xfId="0" applyFont="1" applyBorder="1" applyAlignment="1" applyProtection="1">
      <alignment horizontal="left" vertical="top"/>
    </xf>
    <xf numFmtId="0" fontId="31" fillId="0" borderId="0" xfId="0" applyFont="1" applyBorder="1" applyProtection="1"/>
    <xf numFmtId="0" fontId="31" fillId="0" borderId="0" xfId="0" applyFont="1" applyBorder="1" applyAlignment="1" applyProtection="1">
      <alignment horizontal="center"/>
    </xf>
    <xf numFmtId="167" fontId="96" fillId="0" borderId="0" xfId="0" applyNumberFormat="1" applyFont="1" applyBorder="1" applyAlignment="1" applyProtection="1">
      <alignment horizontal="left" vertical="top"/>
    </xf>
    <xf numFmtId="17" fontId="96" fillId="0" borderId="0" xfId="0" applyNumberFormat="1" applyFont="1" applyBorder="1" applyAlignment="1" applyProtection="1">
      <alignment horizontal="left" vertical="center"/>
    </xf>
    <xf numFmtId="166" fontId="8" fillId="0" borderId="2" xfId="0" applyNumberFormat="1" applyFont="1" applyFill="1" applyBorder="1" applyAlignment="1" applyProtection="1">
      <alignment horizontal="center" vertical="center" shrinkToFit="1"/>
      <protection locked="0"/>
    </xf>
    <xf numFmtId="17" fontId="86" fillId="0" borderId="24" xfId="4" applyNumberFormat="1" applyFont="1" applyFill="1" applyBorder="1" applyAlignment="1" applyProtection="1">
      <alignment horizontal="center" vertical="center"/>
    </xf>
    <xf numFmtId="0" fontId="86" fillId="2" borderId="1" xfId="4" applyFont="1" applyFill="1" applyBorder="1" applyAlignment="1" applyProtection="1">
      <alignment horizontal="center" vertical="center"/>
    </xf>
    <xf numFmtId="0" fontId="86" fillId="0" borderId="11" xfId="4" applyFont="1" applyBorder="1" applyAlignment="1" applyProtection="1">
      <alignment horizontal="center" vertical="center"/>
    </xf>
    <xf numFmtId="166" fontId="61" fillId="7" borderId="31" xfId="0" applyNumberFormat="1" applyFont="1" applyFill="1" applyBorder="1" applyAlignment="1" applyProtection="1">
      <alignment horizontal="center" vertical="center"/>
    </xf>
    <xf numFmtId="165" fontId="61" fillId="7" borderId="31" xfId="0" applyNumberFormat="1" applyFont="1" applyFill="1" applyBorder="1" applyAlignment="1" applyProtection="1">
      <alignment horizontal="center" vertical="center"/>
    </xf>
    <xf numFmtId="0" fontId="63" fillId="0" borderId="7" xfId="0" applyFont="1" applyFill="1" applyBorder="1" applyAlignment="1" applyProtection="1">
      <alignment horizontal="left" vertical="center"/>
    </xf>
    <xf numFmtId="0" fontId="63" fillId="0" borderId="145" xfId="0" applyFont="1" applyFill="1" applyBorder="1" applyAlignment="1" applyProtection="1">
      <alignment horizontal="left" vertical="center"/>
    </xf>
    <xf numFmtId="0" fontId="63" fillId="0" borderId="146" xfId="0" applyFont="1" applyFill="1" applyBorder="1" applyAlignment="1" applyProtection="1">
      <alignment horizontal="left" vertical="center"/>
    </xf>
    <xf numFmtId="0" fontId="63" fillId="12" borderId="7" xfId="0" applyFont="1" applyFill="1" applyBorder="1" applyAlignment="1" applyProtection="1">
      <alignment horizontal="left" vertical="center"/>
    </xf>
    <xf numFmtId="17" fontId="40" fillId="12" borderId="145" xfId="0" applyNumberFormat="1" applyFont="1" applyFill="1" applyBorder="1" applyAlignment="1" applyProtection="1">
      <alignment horizontal="center" vertical="center"/>
    </xf>
    <xf numFmtId="0" fontId="63" fillId="12" borderId="7" xfId="0" applyFont="1" applyFill="1" applyBorder="1" applyAlignment="1" applyProtection="1">
      <alignment horizontal="center" vertical="center"/>
    </xf>
    <xf numFmtId="17" fontId="40" fillId="12" borderId="144" xfId="0" applyNumberFormat="1" applyFont="1" applyFill="1" applyBorder="1" applyAlignment="1" applyProtection="1">
      <alignment horizontal="center" vertical="center"/>
    </xf>
    <xf numFmtId="0" fontId="63" fillId="0" borderId="147" xfId="0" applyFont="1" applyFill="1" applyBorder="1" applyAlignment="1" applyProtection="1">
      <alignment horizontal="left" vertical="center"/>
    </xf>
    <xf numFmtId="0" fontId="63" fillId="0" borderId="148" xfId="0" applyFont="1" applyFill="1" applyBorder="1" applyAlignment="1" applyProtection="1">
      <alignment horizontal="left" vertical="center"/>
    </xf>
    <xf numFmtId="17" fontId="40" fillId="12" borderId="146" xfId="0" applyNumberFormat="1" applyFont="1" applyFill="1" applyBorder="1" applyAlignment="1" applyProtection="1">
      <alignment horizontal="center" vertical="center"/>
    </xf>
    <xf numFmtId="17" fontId="40" fillId="12" borderId="148" xfId="0" applyNumberFormat="1" applyFont="1" applyFill="1" applyBorder="1" applyAlignment="1" applyProtection="1">
      <alignment horizontal="center" vertical="center"/>
    </xf>
    <xf numFmtId="17" fontId="70" fillId="12" borderId="145" xfId="0" applyNumberFormat="1" applyFont="1" applyFill="1" applyBorder="1" applyAlignment="1" applyProtection="1">
      <alignment horizontal="center" vertical="center"/>
    </xf>
    <xf numFmtId="0" fontId="37" fillId="12" borderId="7" xfId="0" applyFont="1" applyFill="1" applyBorder="1" applyAlignment="1" applyProtection="1">
      <alignment horizontal="center" vertical="center" wrapText="1"/>
    </xf>
    <xf numFmtId="0" fontId="58" fillId="12" borderId="113" xfId="0" applyFont="1" applyFill="1" applyBorder="1" applyAlignment="1" applyProtection="1">
      <alignment horizontal="center" vertical="center" wrapText="1"/>
    </xf>
    <xf numFmtId="0" fontId="45" fillId="12" borderId="114" xfId="0" applyFont="1" applyFill="1" applyBorder="1" applyAlignment="1" applyProtection="1">
      <alignment horizontal="right" vertical="center"/>
    </xf>
    <xf numFmtId="0" fontId="0" fillId="0" borderId="0" xfId="0" applyFill="1"/>
    <xf numFmtId="0" fontId="45" fillId="0" borderId="0" xfId="0" applyFont="1" applyProtection="1"/>
    <xf numFmtId="0" fontId="90" fillId="3" borderId="149" xfId="0" applyFont="1" applyFill="1" applyBorder="1" applyAlignment="1" applyProtection="1">
      <alignment horizontal="center" vertical="center"/>
    </xf>
    <xf numFmtId="0" fontId="90" fillId="20" borderId="150" xfId="0" applyFont="1" applyFill="1" applyBorder="1" applyAlignment="1" applyProtection="1">
      <alignment horizontal="center" vertical="center"/>
    </xf>
    <xf numFmtId="0" fontId="91" fillId="0" borderId="151" xfId="0" applyFont="1" applyBorder="1" applyAlignment="1" applyProtection="1">
      <alignment horizontal="left" vertical="center" wrapText="1" shrinkToFit="1"/>
      <protection locked="0"/>
    </xf>
    <xf numFmtId="0" fontId="91" fillId="0" borderId="2" xfId="0" applyFont="1" applyBorder="1" applyAlignment="1" applyProtection="1">
      <alignment horizontal="left" vertical="center" wrapText="1" shrinkToFit="1"/>
      <protection locked="0"/>
    </xf>
    <xf numFmtId="17" fontId="98" fillId="0" borderId="0" xfId="0" applyNumberFormat="1" applyFont="1" applyAlignment="1" applyProtection="1">
      <alignment horizontal="center" vertical="center" shrinkToFit="1"/>
    </xf>
    <xf numFmtId="167" fontId="98" fillId="0" borderId="0" xfId="0" applyNumberFormat="1" applyFont="1" applyAlignment="1" applyProtection="1">
      <alignment horizontal="center" vertical="center" shrinkToFit="1"/>
    </xf>
    <xf numFmtId="9" fontId="100" fillId="0" borderId="153" xfId="3" applyFont="1" applyFill="1" applyBorder="1" applyAlignment="1" applyProtection="1">
      <alignment horizontal="center" vertical="center" wrapText="1"/>
    </xf>
    <xf numFmtId="9" fontId="87" fillId="2" borderId="39" xfId="3" applyNumberFormat="1" applyFont="1" applyFill="1" applyBorder="1" applyAlignment="1" applyProtection="1">
      <alignment horizontal="center" vertical="center"/>
    </xf>
    <xf numFmtId="9" fontId="87" fillId="0" borderId="121" xfId="3" applyNumberFormat="1" applyFont="1" applyFill="1" applyBorder="1" applyAlignment="1" applyProtection="1">
      <alignment horizontal="center" vertical="center"/>
    </xf>
    <xf numFmtId="9" fontId="48" fillId="4" borderId="125" xfId="3" applyNumberFormat="1" applyFont="1" applyFill="1" applyBorder="1" applyAlignment="1" applyProtection="1">
      <alignment horizontal="center" vertical="center"/>
    </xf>
    <xf numFmtId="0" fontId="33" fillId="3" borderId="111" xfId="0" applyFont="1" applyFill="1" applyBorder="1" applyAlignment="1" applyProtection="1">
      <alignment horizontal="center" vertical="center"/>
    </xf>
    <xf numFmtId="9" fontId="80" fillId="3" borderId="47" xfId="3" applyFont="1" applyFill="1" applyBorder="1" applyAlignment="1" applyProtection="1">
      <alignment horizontal="center" vertical="center"/>
    </xf>
    <xf numFmtId="0" fontId="102" fillId="3" borderId="46" xfId="0" applyFont="1" applyFill="1" applyBorder="1" applyAlignment="1" applyProtection="1">
      <alignment horizontal="center" vertical="center" wrapText="1"/>
    </xf>
    <xf numFmtId="0" fontId="45" fillId="5" borderId="0" xfId="0" applyFont="1" applyFill="1" applyAlignment="1" applyProtection="1">
      <alignment horizontal="center" vertical="center"/>
    </xf>
    <xf numFmtId="0" fontId="57" fillId="5" borderId="0" xfId="0" applyFont="1" applyFill="1" applyAlignment="1" applyProtection="1">
      <alignment horizontal="right" vertical="center"/>
    </xf>
    <xf numFmtId="0" fontId="60" fillId="5" borderId="0" xfId="0" applyFont="1" applyFill="1" applyAlignment="1" applyProtection="1">
      <alignment horizontal="center" vertical="center"/>
    </xf>
    <xf numFmtId="0" fontId="65" fillId="5" borderId="0" xfId="0" applyFont="1" applyFill="1" applyAlignment="1" applyProtection="1">
      <alignment horizontal="right" vertical="center"/>
    </xf>
    <xf numFmtId="0" fontId="45" fillId="5" borderId="0" xfId="0" applyFont="1" applyFill="1" applyAlignment="1" applyProtection="1">
      <alignment horizontal="right"/>
    </xf>
    <xf numFmtId="0" fontId="45" fillId="5" borderId="0" xfId="0" applyFont="1" applyFill="1" applyAlignment="1" applyProtection="1">
      <alignment vertical="center"/>
    </xf>
    <xf numFmtId="172" fontId="45" fillId="5" borderId="0" xfId="0" applyNumberFormat="1" applyFont="1" applyFill="1" applyProtection="1"/>
    <xf numFmtId="0" fontId="45" fillId="5" borderId="0" xfId="0" applyFont="1" applyFill="1" applyBorder="1" applyProtection="1"/>
    <xf numFmtId="0" fontId="0" fillId="5" borderId="0" xfId="0" applyFont="1" applyFill="1" applyAlignment="1" applyProtection="1">
      <alignment horizontal="left"/>
    </xf>
    <xf numFmtId="0" fontId="107" fillId="0" borderId="0" xfId="0" applyFont="1" applyAlignment="1">
      <alignment horizontal="center" vertical="center"/>
    </xf>
    <xf numFmtId="0" fontId="0" fillId="0" borderId="0" xfId="0" applyFont="1" applyAlignment="1">
      <alignment vertical="center" shrinkToFit="1"/>
    </xf>
    <xf numFmtId="0" fontId="108" fillId="0" borderId="0" xfId="0" applyNumberFormat="1" applyFont="1" applyBorder="1" applyAlignment="1">
      <alignment horizontal="left" vertical="center" wrapText="1"/>
    </xf>
    <xf numFmtId="0" fontId="0" fillId="0" borderId="0" xfId="0" applyBorder="1"/>
    <xf numFmtId="0" fontId="107" fillId="0" borderId="0" xfId="0" applyFont="1" applyAlignment="1">
      <alignment vertical="center"/>
    </xf>
    <xf numFmtId="0" fontId="107" fillId="6" borderId="0" xfId="0" applyFont="1" applyFill="1" applyAlignment="1">
      <alignment horizontal="center" vertical="center"/>
    </xf>
    <xf numFmtId="0" fontId="0" fillId="6" borderId="0" xfId="0" applyFont="1" applyFill="1" applyAlignment="1">
      <alignment vertical="center" shrinkToFit="1"/>
    </xf>
    <xf numFmtId="0" fontId="107" fillId="6" borderId="0" xfId="0" applyFont="1" applyFill="1" applyAlignment="1">
      <alignment vertical="center"/>
    </xf>
    <xf numFmtId="10" fontId="114" fillId="2" borderId="36" xfId="0" applyNumberFormat="1" applyFont="1" applyFill="1" applyBorder="1" applyAlignment="1" applyProtection="1">
      <alignment horizontal="center" vertical="center" shrinkToFit="1"/>
    </xf>
    <xf numFmtId="10" fontId="52" fillId="10" borderId="6" xfId="0" applyNumberFormat="1" applyFont="1" applyFill="1" applyBorder="1" applyAlignment="1" applyProtection="1">
      <alignment horizontal="center" vertical="center" shrinkToFit="1"/>
    </xf>
    <xf numFmtId="10" fontId="113" fillId="3" borderId="36" xfId="0" applyNumberFormat="1" applyFont="1" applyFill="1" applyBorder="1" applyAlignment="1" applyProtection="1">
      <alignment horizontal="center" vertical="center" shrinkToFit="1"/>
    </xf>
    <xf numFmtId="0" fontId="109" fillId="4" borderId="13" xfId="0" applyNumberFormat="1" applyFont="1" applyFill="1" applyBorder="1" applyAlignment="1">
      <alignment horizontal="left" vertical="center"/>
    </xf>
    <xf numFmtId="0" fontId="109" fillId="4" borderId="3" xfId="0" applyNumberFormat="1" applyFont="1" applyFill="1" applyBorder="1" applyAlignment="1">
      <alignment horizontal="left" vertical="center"/>
    </xf>
    <xf numFmtId="0" fontId="109" fillId="4" borderId="10" xfId="0" applyNumberFormat="1" applyFont="1" applyFill="1" applyBorder="1" applyAlignment="1">
      <alignment horizontal="left" vertical="center"/>
    </xf>
    <xf numFmtId="0" fontId="109" fillId="4" borderId="12" xfId="0" applyNumberFormat="1" applyFont="1" applyFill="1" applyBorder="1" applyAlignment="1">
      <alignment horizontal="left" vertical="center"/>
    </xf>
    <xf numFmtId="0" fontId="109" fillId="4" borderId="0" xfId="0" applyNumberFormat="1" applyFont="1" applyFill="1" applyBorder="1" applyAlignment="1">
      <alignment horizontal="left" vertical="center"/>
    </xf>
    <xf numFmtId="0" fontId="109" fillId="4" borderId="6" xfId="0" applyNumberFormat="1" applyFont="1" applyFill="1" applyBorder="1" applyAlignment="1">
      <alignment horizontal="left" vertical="center"/>
    </xf>
    <xf numFmtId="0" fontId="0" fillId="0" borderId="12" xfId="0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10" fillId="0" borderId="12" xfId="0" applyNumberFormat="1" applyFont="1" applyBorder="1" applyAlignment="1">
      <alignment horizontal="left" vertical="center" wrapText="1"/>
    </xf>
    <xf numFmtId="0" fontId="10" fillId="0" borderId="0" xfId="0" applyNumberFormat="1" applyFont="1" applyBorder="1" applyAlignment="1">
      <alignment horizontal="left" vertical="center" wrapText="1"/>
    </xf>
    <xf numFmtId="0" fontId="10" fillId="0" borderId="6" xfId="0" applyNumberFormat="1" applyFont="1" applyBorder="1" applyAlignment="1">
      <alignment horizontal="left" vertical="center" wrapText="1"/>
    </xf>
    <xf numFmtId="0" fontId="10" fillId="0" borderId="8" xfId="0" applyNumberFormat="1" applyFont="1" applyBorder="1" applyAlignment="1">
      <alignment horizontal="left" vertical="center" wrapText="1"/>
    </xf>
    <xf numFmtId="0" fontId="10" fillId="0" borderId="5" xfId="0" applyNumberFormat="1" applyFont="1" applyBorder="1" applyAlignment="1">
      <alignment horizontal="left" vertical="center" wrapText="1"/>
    </xf>
    <xf numFmtId="0" fontId="10" fillId="0" borderId="9" xfId="0" applyNumberFormat="1" applyFont="1" applyBorder="1" applyAlignment="1">
      <alignment horizontal="left" vertical="center" wrapText="1"/>
    </xf>
    <xf numFmtId="0" fontId="109" fillId="0" borderId="8" xfId="0" applyNumberFormat="1" applyFont="1" applyFill="1" applyBorder="1" applyAlignment="1">
      <alignment horizontal="left" vertical="center"/>
    </xf>
    <xf numFmtId="0" fontId="109" fillId="0" borderId="5" xfId="0" applyNumberFormat="1" applyFont="1" applyFill="1" applyBorder="1" applyAlignment="1">
      <alignment horizontal="left" vertical="center"/>
    </xf>
    <xf numFmtId="0" fontId="109" fillId="0" borderId="9" xfId="0" applyNumberFormat="1" applyFont="1" applyFill="1" applyBorder="1" applyAlignment="1">
      <alignment horizontal="left" vertical="center"/>
    </xf>
    <xf numFmtId="0" fontId="108" fillId="0" borderId="8" xfId="0" applyNumberFormat="1" applyFont="1" applyBorder="1" applyAlignment="1">
      <alignment horizontal="left" vertical="center" wrapText="1"/>
    </xf>
    <xf numFmtId="0" fontId="108" fillId="0" borderId="5" xfId="0" applyNumberFormat="1" applyFont="1" applyBorder="1" applyAlignment="1">
      <alignment horizontal="left" vertical="center" wrapText="1"/>
    </xf>
    <xf numFmtId="0" fontId="108" fillId="0" borderId="9" xfId="0" applyNumberFormat="1" applyFont="1" applyBorder="1" applyAlignment="1">
      <alignment horizontal="left" vertical="center" wrapText="1"/>
    </xf>
    <xf numFmtId="0" fontId="107" fillId="0" borderId="0" xfId="0" applyFont="1" applyAlignment="1">
      <alignment horizontal="center" vertical="center"/>
    </xf>
    <xf numFmtId="0" fontId="110" fillId="21" borderId="23" xfId="0" applyNumberFormat="1" applyFont="1" applyFill="1" applyBorder="1" applyAlignment="1">
      <alignment horizontal="center" vertical="center"/>
    </xf>
    <xf numFmtId="0" fontId="110" fillId="21" borderId="7" xfId="0" applyNumberFormat="1" applyFont="1" applyFill="1" applyBorder="1" applyAlignment="1">
      <alignment horizontal="center" vertical="center"/>
    </xf>
    <xf numFmtId="0" fontId="110" fillId="21" borderId="16" xfId="0" applyNumberFormat="1" applyFont="1" applyFill="1" applyBorder="1" applyAlignment="1">
      <alignment horizontal="center" vertical="center"/>
    </xf>
    <xf numFmtId="0" fontId="92" fillId="0" borderId="0" xfId="0" applyFont="1" applyAlignment="1">
      <alignment horizontal="right" vertical="center" wrapText="1"/>
    </xf>
    <xf numFmtId="17" fontId="99" fillId="0" borderId="0" xfId="0" applyNumberFormat="1" applyFont="1" applyAlignment="1">
      <alignment horizontal="center" vertical="center"/>
    </xf>
    <xf numFmtId="0" fontId="57" fillId="9" borderId="0" xfId="0" applyFont="1" applyFill="1" applyAlignment="1" applyProtection="1">
      <alignment horizontal="center" vertical="center" wrapText="1"/>
    </xf>
    <xf numFmtId="0" fontId="57" fillId="9" borderId="0" xfId="0" applyFont="1" applyFill="1" applyAlignment="1" applyProtection="1">
      <alignment horizontal="center" vertical="center"/>
    </xf>
    <xf numFmtId="0" fontId="57" fillId="9" borderId="5" xfId="0" applyFont="1" applyFill="1" applyBorder="1" applyAlignment="1" applyProtection="1">
      <alignment horizontal="center" vertical="center"/>
    </xf>
    <xf numFmtId="0" fontId="92" fillId="0" borderId="0" xfId="0" applyFont="1" applyAlignment="1" applyProtection="1">
      <alignment horizontal="right" vertical="center" wrapText="1"/>
    </xf>
    <xf numFmtId="0" fontId="93" fillId="0" borderId="0" xfId="0" applyFont="1" applyAlignment="1" applyProtection="1">
      <alignment horizontal="right" vertical="center" wrapText="1"/>
    </xf>
    <xf numFmtId="0" fontId="97" fillId="0" borderId="0" xfId="0" applyFont="1" applyAlignment="1" applyProtection="1">
      <alignment horizontal="center" vertical="center" shrinkToFit="1"/>
    </xf>
    <xf numFmtId="0" fontId="95" fillId="0" borderId="5" xfId="0" applyFont="1" applyBorder="1" applyAlignment="1" applyProtection="1">
      <alignment horizontal="right" vertical="center"/>
    </xf>
    <xf numFmtId="10" fontId="81" fillId="0" borderId="4" xfId="3" applyNumberFormat="1" applyFont="1" applyBorder="1" applyAlignment="1" applyProtection="1">
      <alignment horizontal="center" vertical="center"/>
    </xf>
    <xf numFmtId="10" fontId="81" fillId="0" borderId="9" xfId="3" applyNumberFormat="1" applyFont="1" applyBorder="1" applyAlignment="1" applyProtection="1">
      <alignment horizontal="center" vertical="center"/>
    </xf>
    <xf numFmtId="10" fontId="81" fillId="0" borderId="21" xfId="3" applyNumberFormat="1" applyFont="1" applyBorder="1" applyAlignment="1" applyProtection="1">
      <alignment horizontal="center" vertical="center"/>
    </xf>
    <xf numFmtId="10" fontId="81" fillId="0" borderId="16" xfId="3" applyNumberFormat="1" applyFont="1" applyBorder="1" applyAlignment="1" applyProtection="1">
      <alignment horizontal="center" vertical="center"/>
    </xf>
    <xf numFmtId="0" fontId="103" fillId="18" borderId="0" xfId="0" applyFont="1" applyFill="1" applyBorder="1" applyAlignment="1" applyProtection="1">
      <alignment vertical="center"/>
    </xf>
    <xf numFmtId="0" fontId="44" fillId="0" borderId="0" xfId="0" applyFont="1" applyAlignment="1" applyProtection="1">
      <alignment vertical="center"/>
    </xf>
    <xf numFmtId="0" fontId="79" fillId="0" borderId="152" xfId="0" applyFont="1" applyFill="1" applyBorder="1" applyAlignment="1" applyProtection="1">
      <alignment horizontal="center" vertical="center"/>
    </xf>
    <xf numFmtId="0" fontId="79" fillId="0" borderId="18" xfId="0" applyFont="1" applyFill="1" applyBorder="1" applyAlignment="1" applyProtection="1">
      <alignment horizontal="center" vertical="center"/>
    </xf>
    <xf numFmtId="0" fontId="45" fillId="0" borderId="3" xfId="0" applyFont="1" applyBorder="1" applyAlignment="1" applyProtection="1">
      <alignment horizontal="center"/>
    </xf>
    <xf numFmtId="8" fontId="82" fillId="0" borderId="5" xfId="1" applyNumberFormat="1" applyFont="1" applyFill="1" applyBorder="1" applyAlignment="1" applyProtection="1">
      <alignment horizontal="center" vertical="center" shrinkToFit="1"/>
    </xf>
    <xf numFmtId="8" fontId="82" fillId="0" borderId="20" xfId="1" applyNumberFormat="1" applyFont="1" applyFill="1" applyBorder="1" applyAlignment="1" applyProtection="1">
      <alignment horizontal="center" vertical="center" shrinkToFit="1"/>
    </xf>
    <xf numFmtId="0" fontId="81" fillId="2" borderId="56" xfId="0" applyFont="1" applyFill="1" applyBorder="1" applyAlignment="1" applyProtection="1">
      <alignment horizontal="center" vertical="center" shrinkToFit="1"/>
    </xf>
    <xf numFmtId="0" fontId="81" fillId="2" borderId="57" xfId="0" applyFont="1" applyFill="1" applyBorder="1" applyAlignment="1" applyProtection="1">
      <alignment horizontal="center" vertical="center" shrinkToFit="1"/>
    </xf>
    <xf numFmtId="165" fontId="80" fillId="2" borderId="56" xfId="1" applyNumberFormat="1" applyFont="1" applyFill="1" applyBorder="1" applyAlignment="1" applyProtection="1">
      <alignment horizontal="center" vertical="center" shrinkToFit="1"/>
    </xf>
    <xf numFmtId="165" fontId="80" fillId="2" borderId="139" xfId="1" applyNumberFormat="1" applyFont="1" applyFill="1" applyBorder="1" applyAlignment="1" applyProtection="1">
      <alignment horizontal="center" vertical="center" shrinkToFit="1"/>
    </xf>
    <xf numFmtId="0" fontId="81" fillId="0" borderId="21" xfId="0" applyFont="1" applyBorder="1" applyAlignment="1" applyProtection="1">
      <alignment horizontal="center" vertical="center" shrinkToFit="1"/>
    </xf>
    <xf numFmtId="0" fontId="81" fillId="0" borderId="22" xfId="0" applyFont="1" applyBorder="1" applyAlignment="1" applyProtection="1">
      <alignment horizontal="center" vertical="center" shrinkToFit="1"/>
    </xf>
    <xf numFmtId="0" fontId="81" fillId="2" borderId="23" xfId="0" applyFont="1" applyFill="1" applyBorder="1" applyAlignment="1" applyProtection="1">
      <alignment horizontal="left" vertical="center" shrinkToFit="1"/>
      <protection locked="0"/>
    </xf>
    <xf numFmtId="0" fontId="81" fillId="2" borderId="7" xfId="0" applyFont="1" applyFill="1" applyBorder="1" applyAlignment="1" applyProtection="1">
      <alignment horizontal="left" vertical="center" shrinkToFit="1"/>
      <protection locked="0"/>
    </xf>
    <xf numFmtId="0" fontId="81" fillId="2" borderId="22" xfId="0" applyFont="1" applyFill="1" applyBorder="1" applyAlignment="1" applyProtection="1">
      <alignment horizontal="left" vertical="center" shrinkToFit="1"/>
      <protection locked="0"/>
    </xf>
    <xf numFmtId="0" fontId="81" fillId="0" borderId="23" xfId="0" applyFont="1" applyFill="1" applyBorder="1" applyAlignment="1" applyProtection="1">
      <alignment horizontal="left" vertical="center" shrinkToFit="1"/>
      <protection locked="0"/>
    </xf>
    <xf numFmtId="0" fontId="81" fillId="0" borderId="7" xfId="0" applyFont="1" applyFill="1" applyBorder="1" applyAlignment="1" applyProtection="1">
      <alignment horizontal="left" vertical="center" shrinkToFit="1"/>
      <protection locked="0"/>
    </xf>
    <xf numFmtId="0" fontId="81" fillId="0" borderId="22" xfId="0" applyFont="1" applyFill="1" applyBorder="1" applyAlignment="1" applyProtection="1">
      <alignment horizontal="left" vertical="center" shrinkToFit="1"/>
      <protection locked="0"/>
    </xf>
    <xf numFmtId="0" fontId="81" fillId="0" borderId="8" xfId="0" applyFont="1" applyFill="1" applyBorder="1" applyAlignment="1" applyProtection="1">
      <alignment horizontal="left" vertical="center" shrinkToFit="1"/>
      <protection locked="0"/>
    </xf>
    <xf numFmtId="0" fontId="81" fillId="0" borderId="5" xfId="0" applyFont="1" applyFill="1" applyBorder="1" applyAlignment="1" applyProtection="1">
      <alignment horizontal="left" vertical="center" shrinkToFit="1"/>
      <protection locked="0"/>
    </xf>
    <xf numFmtId="0" fontId="81" fillId="0" borderId="20" xfId="0" applyFont="1" applyFill="1" applyBorder="1" applyAlignment="1" applyProtection="1">
      <alignment horizontal="left" vertical="center" shrinkToFit="1"/>
      <protection locked="0"/>
    </xf>
    <xf numFmtId="0" fontId="81" fillId="2" borderId="58" xfId="0" applyFont="1" applyFill="1" applyBorder="1" applyAlignment="1" applyProtection="1">
      <alignment horizontal="left" vertical="center" shrinkToFit="1"/>
      <protection locked="0"/>
    </xf>
    <xf numFmtId="0" fontId="81" fillId="2" borderId="59" xfId="0" applyFont="1" applyFill="1" applyBorder="1" applyAlignment="1" applyProtection="1">
      <alignment horizontal="left" vertical="center" shrinkToFit="1"/>
      <protection locked="0"/>
    </xf>
    <xf numFmtId="0" fontId="81" fillId="2" borderId="57" xfId="0" applyFont="1" applyFill="1" applyBorder="1" applyAlignment="1" applyProtection="1">
      <alignment horizontal="left" vertical="center" shrinkToFit="1"/>
      <protection locked="0"/>
    </xf>
    <xf numFmtId="165" fontId="80" fillId="0" borderId="4" xfId="1" applyNumberFormat="1" applyFont="1" applyFill="1" applyBorder="1" applyAlignment="1" applyProtection="1">
      <alignment horizontal="center" vertical="center" shrinkToFit="1"/>
    </xf>
    <xf numFmtId="165" fontId="80" fillId="0" borderId="64" xfId="1" applyNumberFormat="1" applyFont="1" applyFill="1" applyBorder="1" applyAlignment="1" applyProtection="1">
      <alignment horizontal="center" vertical="center" shrinkToFit="1"/>
    </xf>
    <xf numFmtId="165" fontId="81" fillId="0" borderId="105" xfId="1" applyNumberFormat="1" applyFont="1" applyFill="1" applyBorder="1" applyAlignment="1" applyProtection="1">
      <alignment horizontal="center" vertical="center" shrinkToFit="1"/>
    </xf>
    <xf numFmtId="165" fontId="81" fillId="0" borderId="20" xfId="1" applyNumberFormat="1" applyFont="1" applyFill="1" applyBorder="1" applyAlignment="1" applyProtection="1">
      <alignment horizontal="center" vertical="center" shrinkToFit="1"/>
    </xf>
    <xf numFmtId="0" fontId="45" fillId="0" borderId="3" xfId="0" applyFont="1" applyFill="1" applyBorder="1" applyAlignment="1" applyProtection="1">
      <alignment horizontal="center" vertical="center"/>
    </xf>
    <xf numFmtId="0" fontId="45" fillId="0" borderId="0" xfId="0" applyFont="1" applyAlignment="1" applyProtection="1">
      <alignment horizontal="center"/>
    </xf>
    <xf numFmtId="0" fontId="61" fillId="3" borderId="8" xfId="0" applyFont="1" applyFill="1" applyBorder="1" applyAlignment="1" applyProtection="1">
      <alignment horizontal="left" vertical="center"/>
      <protection locked="0"/>
    </xf>
    <xf numFmtId="0" fontId="61" fillId="3" borderId="5" xfId="0" applyFont="1" applyFill="1" applyBorder="1" applyAlignment="1" applyProtection="1">
      <alignment horizontal="left" vertical="center"/>
      <protection locked="0"/>
    </xf>
    <xf numFmtId="0" fontId="61" fillId="3" borderId="20" xfId="0" applyFont="1" applyFill="1" applyBorder="1" applyAlignment="1" applyProtection="1">
      <alignment horizontal="left" vertical="center"/>
      <protection locked="0"/>
    </xf>
    <xf numFmtId="49" fontId="69" fillId="0" borderId="3" xfId="0" applyNumberFormat="1" applyFont="1" applyFill="1" applyBorder="1" applyAlignment="1" applyProtection="1">
      <alignment horizontal="right" vertical="center"/>
    </xf>
    <xf numFmtId="49" fontId="56" fillId="10" borderId="0" xfId="0" applyNumberFormat="1" applyFont="1" applyFill="1" applyBorder="1" applyAlignment="1" applyProtection="1">
      <alignment vertical="top"/>
    </xf>
    <xf numFmtId="0" fontId="42" fillId="4" borderId="13" xfId="0" applyFont="1" applyFill="1" applyBorder="1" applyAlignment="1" applyProtection="1">
      <alignment horizontal="center" vertical="center" shrinkToFit="1"/>
    </xf>
    <xf numFmtId="0" fontId="42" fillId="4" borderId="10" xfId="0" applyFont="1" applyFill="1" applyBorder="1" applyAlignment="1" applyProtection="1">
      <alignment horizontal="center" vertical="center" shrinkToFit="1"/>
    </xf>
    <xf numFmtId="0" fontId="6" fillId="4" borderId="8" xfId="0" applyFont="1" applyFill="1" applyBorder="1" applyAlignment="1" applyProtection="1">
      <alignment horizontal="center" vertical="center" wrapText="1"/>
    </xf>
    <xf numFmtId="0" fontId="6" fillId="4" borderId="9" xfId="0" applyFont="1" applyFill="1" applyBorder="1" applyAlignment="1" applyProtection="1">
      <alignment horizontal="center" vertical="center" wrapText="1"/>
    </xf>
    <xf numFmtId="0" fontId="44" fillId="4" borderId="8" xfId="0" applyFont="1" applyFill="1" applyBorder="1" applyAlignment="1" applyProtection="1">
      <alignment horizontal="center" vertical="center" wrapText="1"/>
    </xf>
    <xf numFmtId="0" fontId="44" fillId="4" borderId="9" xfId="0" applyFont="1" applyFill="1" applyBorder="1" applyAlignment="1" applyProtection="1">
      <alignment horizontal="center" vertical="center" wrapText="1"/>
    </xf>
    <xf numFmtId="173" fontId="81" fillId="2" borderId="21" xfId="0" applyNumberFormat="1" applyFont="1" applyFill="1" applyBorder="1" applyAlignment="1" applyProtection="1">
      <alignment horizontal="center" vertical="center"/>
    </xf>
    <xf numFmtId="173" fontId="81" fillId="2" borderId="22" xfId="0" applyNumberFormat="1" applyFont="1" applyFill="1" applyBorder="1" applyAlignment="1" applyProtection="1">
      <alignment horizontal="center" vertical="center"/>
    </xf>
    <xf numFmtId="10" fontId="81" fillId="2" borderId="68" xfId="3" applyNumberFormat="1" applyFont="1" applyFill="1" applyBorder="1" applyAlignment="1" applyProtection="1">
      <alignment horizontal="center" vertical="center"/>
    </xf>
    <xf numFmtId="10" fontId="81" fillId="2" borderId="71" xfId="3" applyNumberFormat="1" applyFont="1" applyFill="1" applyBorder="1" applyAlignment="1" applyProtection="1">
      <alignment horizontal="center" vertical="center"/>
    </xf>
    <xf numFmtId="167" fontId="81" fillId="0" borderId="21" xfId="3" applyNumberFormat="1" applyFont="1" applyBorder="1" applyAlignment="1" applyProtection="1">
      <alignment horizontal="center" vertical="center"/>
    </xf>
    <xf numFmtId="167" fontId="81" fillId="0" borderId="16" xfId="3" applyNumberFormat="1" applyFont="1" applyBorder="1" applyAlignment="1" applyProtection="1">
      <alignment horizontal="center" vertical="center"/>
    </xf>
    <xf numFmtId="167" fontId="81" fillId="2" borderId="106" xfId="3" applyNumberFormat="1" applyFont="1" applyFill="1" applyBorder="1" applyAlignment="1" applyProtection="1">
      <alignment horizontal="center" vertical="center"/>
    </xf>
    <xf numFmtId="167" fontId="81" fillId="2" borderId="107" xfId="3" applyNumberFormat="1" applyFont="1" applyFill="1" applyBorder="1" applyAlignment="1" applyProtection="1">
      <alignment horizontal="center" vertical="center"/>
    </xf>
    <xf numFmtId="167" fontId="81" fillId="0" borderId="74" xfId="3" applyNumberFormat="1" applyFont="1" applyBorder="1" applyAlignment="1" applyProtection="1">
      <alignment horizontal="center" vertical="center"/>
    </xf>
    <xf numFmtId="167" fontId="81" fillId="0" borderId="77" xfId="3" applyNumberFormat="1" applyFont="1" applyBorder="1" applyAlignment="1" applyProtection="1">
      <alignment horizontal="center" vertical="center"/>
    </xf>
    <xf numFmtId="10" fontId="81" fillId="0" borderId="74" xfId="3" applyNumberFormat="1" applyFont="1" applyBorder="1" applyAlignment="1" applyProtection="1">
      <alignment horizontal="center" vertical="center"/>
    </xf>
    <xf numFmtId="10" fontId="81" fillId="0" borderId="77" xfId="3" applyNumberFormat="1" applyFont="1" applyBorder="1" applyAlignment="1" applyProtection="1">
      <alignment horizontal="center" vertical="center"/>
    </xf>
    <xf numFmtId="0" fontId="81" fillId="2" borderId="21" xfId="0" applyFont="1" applyFill="1" applyBorder="1" applyAlignment="1" applyProtection="1">
      <alignment vertical="center" shrinkToFit="1"/>
    </xf>
    <xf numFmtId="0" fontId="81" fillId="2" borderId="7" xfId="0" applyFont="1" applyFill="1" applyBorder="1" applyAlignment="1" applyProtection="1">
      <alignment vertical="center" shrinkToFit="1"/>
    </xf>
    <xf numFmtId="0" fontId="81" fillId="2" borderId="22" xfId="0" applyFont="1" applyFill="1" applyBorder="1" applyAlignment="1" applyProtection="1">
      <alignment vertical="center" shrinkToFit="1"/>
    </xf>
    <xf numFmtId="0" fontId="81" fillId="2" borderId="21" xfId="0" applyFont="1" applyFill="1" applyBorder="1" applyAlignment="1" applyProtection="1">
      <alignment horizontal="center" vertical="center" shrinkToFit="1"/>
    </xf>
    <xf numFmtId="0" fontId="81" fillId="2" borderId="22" xfId="0" applyFont="1" applyFill="1" applyBorder="1" applyAlignment="1" applyProtection="1">
      <alignment horizontal="center" vertical="center" shrinkToFit="1"/>
    </xf>
    <xf numFmtId="165" fontId="80" fillId="2" borderId="21" xfId="1" applyNumberFormat="1" applyFont="1" applyFill="1" applyBorder="1" applyAlignment="1" applyProtection="1">
      <alignment horizontal="center" vertical="center" shrinkToFit="1"/>
    </xf>
    <xf numFmtId="165" fontId="80" fillId="2" borderId="104" xfId="1" applyNumberFormat="1" applyFont="1" applyFill="1" applyBorder="1" applyAlignment="1" applyProtection="1">
      <alignment horizontal="center" vertical="center" shrinkToFit="1"/>
    </xf>
    <xf numFmtId="10" fontId="81" fillId="2" borderId="21" xfId="3" applyNumberFormat="1" applyFont="1" applyFill="1" applyBorder="1" applyAlignment="1" applyProtection="1">
      <alignment horizontal="center" vertical="center"/>
    </xf>
    <xf numFmtId="10" fontId="81" fillId="2" borderId="16" xfId="3" applyNumberFormat="1" applyFont="1" applyFill="1" applyBorder="1" applyAlignment="1" applyProtection="1">
      <alignment horizontal="center" vertical="center"/>
    </xf>
    <xf numFmtId="0" fontId="81" fillId="0" borderId="21" xfId="0" applyFont="1" applyBorder="1" applyAlignment="1" applyProtection="1">
      <alignment vertical="center" shrinkToFit="1"/>
    </xf>
    <xf numFmtId="0" fontId="81" fillId="0" borderId="7" xfId="0" applyFont="1" applyBorder="1" applyAlignment="1" applyProtection="1">
      <alignment vertical="center" shrinkToFit="1"/>
    </xf>
    <xf numFmtId="0" fontId="81" fillId="0" borderId="22" xfId="0" applyFont="1" applyBorder="1" applyAlignment="1" applyProtection="1">
      <alignment vertical="center" shrinkToFit="1"/>
    </xf>
    <xf numFmtId="0" fontId="81" fillId="2" borderId="65" xfId="0" applyFont="1" applyFill="1" applyBorder="1" applyAlignment="1" applyProtection="1">
      <alignment vertical="center" shrinkToFit="1"/>
    </xf>
    <xf numFmtId="0" fontId="81" fillId="2" borderId="3" xfId="0" applyFont="1" applyFill="1" applyBorder="1" applyAlignment="1" applyProtection="1">
      <alignment vertical="center" shrinkToFit="1"/>
    </xf>
    <xf numFmtId="0" fontId="81" fillId="2" borderId="30" xfId="0" applyFont="1" applyFill="1" applyBorder="1" applyAlignment="1" applyProtection="1">
      <alignment vertical="center" shrinkToFit="1"/>
    </xf>
    <xf numFmtId="167" fontId="81" fillId="2" borderId="21" xfId="3" applyNumberFormat="1" applyFont="1" applyFill="1" applyBorder="1" applyAlignment="1" applyProtection="1">
      <alignment horizontal="center" vertical="center"/>
    </xf>
    <xf numFmtId="167" fontId="81" fillId="2" borderId="16" xfId="3" applyNumberFormat="1" applyFont="1" applyFill="1" applyBorder="1" applyAlignment="1" applyProtection="1">
      <alignment horizontal="center" vertical="center"/>
    </xf>
    <xf numFmtId="17" fontId="38" fillId="4" borderId="11" xfId="0" applyNumberFormat="1" applyFont="1" applyFill="1" applyBorder="1" applyAlignment="1" applyProtection="1">
      <alignment horizontal="center" vertical="center" wrapText="1"/>
    </xf>
    <xf numFmtId="17" fontId="38" fillId="4" borderId="24" xfId="0" applyNumberFormat="1" applyFont="1" applyFill="1" applyBorder="1" applyAlignment="1" applyProtection="1">
      <alignment horizontal="center" vertical="center" wrapText="1"/>
    </xf>
    <xf numFmtId="17" fontId="38" fillId="4" borderId="10" xfId="0" applyNumberFormat="1" applyFont="1" applyFill="1" applyBorder="1" applyAlignment="1" applyProtection="1">
      <alignment horizontal="center" vertical="center" wrapText="1"/>
    </xf>
    <xf numFmtId="17" fontId="38" fillId="4" borderId="9" xfId="0" applyNumberFormat="1" applyFont="1" applyFill="1" applyBorder="1" applyAlignment="1" applyProtection="1">
      <alignment horizontal="center" vertical="center" wrapText="1"/>
    </xf>
    <xf numFmtId="0" fontId="38" fillId="4" borderId="115" xfId="0" applyFont="1" applyFill="1" applyBorder="1" applyAlignment="1" applyProtection="1">
      <alignment horizontal="center" vertical="center"/>
    </xf>
    <xf numFmtId="0" fontId="38" fillId="4" borderId="103" xfId="0" applyFont="1" applyFill="1" applyBorder="1" applyAlignment="1" applyProtection="1">
      <alignment horizontal="center" vertical="center"/>
    </xf>
    <xf numFmtId="0" fontId="38" fillId="4" borderId="116" xfId="0" applyFont="1" applyFill="1" applyBorder="1" applyAlignment="1" applyProtection="1">
      <alignment horizontal="center" vertical="center"/>
    </xf>
    <xf numFmtId="0" fontId="49" fillId="12" borderId="113" xfId="0" applyFont="1" applyFill="1" applyBorder="1" applyAlignment="1" applyProtection="1">
      <alignment horizontal="center" vertical="center"/>
    </xf>
    <xf numFmtId="0" fontId="38" fillId="4" borderId="22" xfId="0" applyFont="1" applyFill="1" applyBorder="1" applyAlignment="1" applyProtection="1">
      <alignment horizontal="center" vertical="center"/>
    </xf>
    <xf numFmtId="0" fontId="38" fillId="4" borderId="21" xfId="0" applyFont="1" applyFill="1" applyBorder="1" applyAlignment="1" applyProtection="1">
      <alignment horizontal="center" vertical="center"/>
    </xf>
    <xf numFmtId="167" fontId="81" fillId="0" borderId="108" xfId="3" applyNumberFormat="1" applyFont="1" applyBorder="1" applyAlignment="1" applyProtection="1">
      <alignment horizontal="center" vertical="center"/>
    </xf>
    <xf numFmtId="167" fontId="81" fillId="0" borderId="109" xfId="3" applyNumberFormat="1" applyFont="1" applyBorder="1" applyAlignment="1" applyProtection="1">
      <alignment horizontal="center" vertical="center"/>
    </xf>
    <xf numFmtId="10" fontId="81" fillId="0" borderId="65" xfId="3" applyNumberFormat="1" applyFont="1" applyBorder="1" applyAlignment="1" applyProtection="1">
      <alignment horizontal="center" vertical="center"/>
    </xf>
    <xf numFmtId="10" fontId="81" fillId="0" borderId="10" xfId="3" applyNumberFormat="1" applyFont="1" applyBorder="1" applyAlignment="1" applyProtection="1">
      <alignment horizontal="center" vertical="center"/>
    </xf>
    <xf numFmtId="0" fontId="40" fillId="0" borderId="3" xfId="0" applyFont="1" applyBorder="1" applyAlignment="1" applyProtection="1">
      <alignment horizontal="center" vertical="center"/>
    </xf>
    <xf numFmtId="0" fontId="40" fillId="0" borderId="5" xfId="0" applyFont="1" applyBorder="1" applyAlignment="1" applyProtection="1">
      <alignment horizontal="center" vertical="center"/>
    </xf>
    <xf numFmtId="0" fontId="59" fillId="3" borderId="22" xfId="0" applyFont="1" applyFill="1" applyBorder="1" applyAlignment="1" applyProtection="1">
      <alignment horizontal="center" vertical="center"/>
    </xf>
    <xf numFmtId="0" fontId="59" fillId="3" borderId="103" xfId="0" applyFont="1" applyFill="1" applyBorder="1" applyAlignment="1" applyProtection="1">
      <alignment horizontal="center" vertical="center"/>
    </xf>
    <xf numFmtId="0" fontId="59" fillId="3" borderId="21" xfId="0" applyFont="1" applyFill="1" applyBorder="1" applyAlignment="1" applyProtection="1">
      <alignment horizontal="center" vertical="center"/>
    </xf>
    <xf numFmtId="0" fontId="42" fillId="3" borderId="115" xfId="0" applyFont="1" applyFill="1" applyBorder="1" applyAlignment="1" applyProtection="1">
      <alignment horizontal="center" vertical="center"/>
    </xf>
    <xf numFmtId="0" fontId="42" fillId="3" borderId="103" xfId="0" applyFont="1" applyFill="1" applyBorder="1" applyAlignment="1" applyProtection="1">
      <alignment horizontal="center" vertical="center"/>
    </xf>
    <xf numFmtId="0" fontId="42" fillId="3" borderId="116" xfId="0" applyFont="1" applyFill="1" applyBorder="1" applyAlignment="1" applyProtection="1">
      <alignment horizontal="center" vertical="center"/>
    </xf>
    <xf numFmtId="17" fontId="77" fillId="12" borderId="23" xfId="0" applyNumberFormat="1" applyFont="1" applyFill="1" applyBorder="1" applyAlignment="1" applyProtection="1">
      <alignment horizontal="center" vertical="center"/>
    </xf>
    <xf numFmtId="0" fontId="77" fillId="12" borderId="7" xfId="0" applyFont="1" applyFill="1" applyBorder="1" applyAlignment="1" applyProtection="1">
      <alignment horizontal="center" vertical="center"/>
    </xf>
    <xf numFmtId="0" fontId="77" fillId="12" borderId="16" xfId="0" applyFont="1" applyFill="1" applyBorder="1" applyAlignment="1" applyProtection="1">
      <alignment horizontal="center" vertical="center"/>
    </xf>
    <xf numFmtId="0" fontId="57" fillId="0" borderId="7" xfId="0" applyFont="1" applyBorder="1" applyAlignment="1" applyProtection="1">
      <alignment horizontal="center"/>
    </xf>
    <xf numFmtId="0" fontId="57" fillId="0" borderId="3" xfId="0" applyFont="1" applyBorder="1" applyAlignment="1" applyProtection="1">
      <alignment horizontal="center"/>
    </xf>
    <xf numFmtId="17" fontId="77" fillId="12" borderId="7" xfId="0" applyNumberFormat="1" applyFont="1" applyFill="1" applyBorder="1" applyAlignment="1" applyProtection="1">
      <alignment horizontal="center" vertical="center"/>
    </xf>
    <xf numFmtId="17" fontId="77" fillId="12" borderId="16" xfId="0" applyNumberFormat="1" applyFont="1" applyFill="1" applyBorder="1" applyAlignment="1" applyProtection="1">
      <alignment horizontal="center" vertical="center"/>
    </xf>
    <xf numFmtId="0" fontId="80" fillId="3" borderId="40" xfId="0" applyFont="1" applyFill="1" applyBorder="1" applyAlignment="1" applyProtection="1">
      <alignment horizontal="center" vertical="center"/>
    </xf>
    <xf numFmtId="0" fontId="80" fillId="3" borderId="44" xfId="0" applyFont="1" applyFill="1" applyBorder="1" applyAlignment="1" applyProtection="1">
      <alignment horizontal="center" vertical="center"/>
    </xf>
    <xf numFmtId="173" fontId="81" fillId="0" borderId="21" xfId="0" applyNumberFormat="1" applyFont="1" applyBorder="1" applyAlignment="1" applyProtection="1">
      <alignment horizontal="center" vertical="center"/>
    </xf>
    <xf numFmtId="173" fontId="81" fillId="0" borderId="22" xfId="0" applyNumberFormat="1" applyFont="1" applyBorder="1" applyAlignment="1" applyProtection="1">
      <alignment horizontal="center" vertical="center"/>
    </xf>
    <xf numFmtId="0" fontId="43" fillId="0" borderId="3" xfId="0" applyFont="1" applyFill="1" applyBorder="1" applyAlignment="1" applyProtection="1">
      <alignment horizontal="left" vertical="center"/>
    </xf>
    <xf numFmtId="0" fontId="43" fillId="3" borderId="5" xfId="0" applyFont="1" applyFill="1" applyBorder="1" applyAlignment="1" applyProtection="1">
      <alignment horizontal="right" vertical="center" wrapText="1"/>
    </xf>
    <xf numFmtId="165" fontId="80" fillId="0" borderId="21" xfId="1" applyNumberFormat="1" applyFont="1" applyFill="1" applyBorder="1" applyAlignment="1" applyProtection="1">
      <alignment horizontal="center" vertical="center" shrinkToFit="1"/>
    </xf>
    <xf numFmtId="165" fontId="80" fillId="0" borderId="104" xfId="1" applyNumberFormat="1" applyFont="1" applyFill="1" applyBorder="1" applyAlignment="1" applyProtection="1">
      <alignment horizontal="center" vertical="center" shrinkToFit="1"/>
    </xf>
    <xf numFmtId="165" fontId="81" fillId="0" borderId="101" xfId="1" applyNumberFormat="1" applyFont="1" applyFill="1" applyBorder="1" applyAlignment="1" applyProtection="1">
      <alignment horizontal="center" vertical="center" shrinkToFit="1"/>
    </xf>
    <xf numFmtId="165" fontId="81" fillId="0" borderId="22" xfId="1" applyNumberFormat="1" applyFont="1" applyFill="1" applyBorder="1" applyAlignment="1" applyProtection="1">
      <alignment horizontal="center" vertical="center" shrinkToFit="1"/>
    </xf>
    <xf numFmtId="165" fontId="81" fillId="2" borderId="101" xfId="1" applyNumberFormat="1" applyFont="1" applyFill="1" applyBorder="1" applyAlignment="1" applyProtection="1">
      <alignment horizontal="center" vertical="center" shrinkToFit="1"/>
    </xf>
    <xf numFmtId="165" fontId="81" fillId="2" borderId="22" xfId="1" applyNumberFormat="1" applyFont="1" applyFill="1" applyBorder="1" applyAlignment="1" applyProtection="1">
      <alignment horizontal="center" vertical="center" shrinkToFit="1"/>
    </xf>
    <xf numFmtId="8" fontId="82" fillId="2" borderId="5" xfId="1" applyNumberFormat="1" applyFont="1" applyFill="1" applyBorder="1" applyAlignment="1" applyProtection="1">
      <alignment horizontal="center" vertical="center" shrinkToFit="1"/>
    </xf>
    <xf numFmtId="8" fontId="82" fillId="2" borderId="20" xfId="1" applyNumberFormat="1" applyFont="1" applyFill="1" applyBorder="1" applyAlignment="1" applyProtection="1">
      <alignment horizontal="center" vertical="center" shrinkToFit="1"/>
    </xf>
    <xf numFmtId="0" fontId="81" fillId="0" borderId="4" xfId="0" applyFont="1" applyBorder="1" applyAlignment="1" applyProtection="1">
      <alignment horizontal="center" vertical="center" shrinkToFit="1"/>
    </xf>
    <xf numFmtId="0" fontId="81" fillId="0" borderId="20" xfId="0" applyFont="1" applyBorder="1" applyAlignment="1" applyProtection="1">
      <alignment horizontal="center" vertical="center" shrinkToFit="1"/>
    </xf>
    <xf numFmtId="0" fontId="66" fillId="0" borderId="0" xfId="0" applyFont="1" applyBorder="1" applyAlignment="1" applyProtection="1">
      <alignment vertical="center"/>
    </xf>
    <xf numFmtId="0" fontId="45" fillId="0" borderId="0" xfId="0" applyFont="1" applyProtection="1"/>
    <xf numFmtId="165" fontId="80" fillId="0" borderId="154" xfId="1" applyNumberFormat="1" applyFont="1" applyFill="1" applyBorder="1" applyAlignment="1" applyProtection="1">
      <alignment horizontal="center" vertical="center" shrinkToFit="1"/>
    </xf>
    <xf numFmtId="165" fontId="80" fillId="0" borderId="155" xfId="1" applyNumberFormat="1" applyFont="1" applyFill="1" applyBorder="1" applyAlignment="1" applyProtection="1">
      <alignment horizontal="center" vertical="center" shrinkToFit="1"/>
    </xf>
    <xf numFmtId="8" fontId="82" fillId="2" borderId="7" xfId="1" applyNumberFormat="1" applyFont="1" applyFill="1" applyBorder="1" applyAlignment="1" applyProtection="1">
      <alignment horizontal="center" vertical="center" shrinkToFit="1"/>
    </xf>
    <xf numFmtId="8" fontId="82" fillId="2" borderId="22" xfId="1" applyNumberFormat="1" applyFont="1" applyFill="1" applyBorder="1" applyAlignment="1" applyProtection="1">
      <alignment horizontal="center" vertical="center" shrinkToFit="1"/>
    </xf>
    <xf numFmtId="0" fontId="45" fillId="0" borderId="0" xfId="0" applyFont="1" applyBorder="1" applyAlignment="1" applyProtection="1">
      <alignment horizontal="center" vertical="center"/>
    </xf>
    <xf numFmtId="0" fontId="42" fillId="0" borderId="23" xfId="0" applyFont="1" applyBorder="1" applyAlignment="1" applyProtection="1">
      <alignment horizontal="center" vertical="center" wrapText="1"/>
    </xf>
    <xf numFmtId="0" fontId="42" fillId="0" borderId="7" xfId="0" applyFont="1" applyBorder="1" applyAlignment="1" applyProtection="1">
      <alignment horizontal="center" vertical="center" wrapText="1"/>
    </xf>
    <xf numFmtId="0" fontId="42" fillId="0" borderId="16" xfId="0" applyFont="1" applyBorder="1" applyAlignment="1" applyProtection="1">
      <alignment horizontal="center" vertical="center" wrapText="1"/>
    </xf>
    <xf numFmtId="17" fontId="55" fillId="0" borderId="11" xfId="0" applyNumberFormat="1" applyFont="1" applyBorder="1" applyAlignment="1" applyProtection="1">
      <alignment horizontal="center" vertical="center"/>
    </xf>
    <xf numFmtId="17" fontId="55" fillId="0" borderId="24" xfId="0" applyNumberFormat="1" applyFont="1" applyBorder="1" applyAlignment="1" applyProtection="1">
      <alignment horizontal="center" vertical="center"/>
    </xf>
    <xf numFmtId="0" fontId="40" fillId="0" borderId="147" xfId="0" applyFont="1" applyBorder="1" applyAlignment="1" applyProtection="1">
      <alignment horizontal="center" vertical="center"/>
    </xf>
    <xf numFmtId="0" fontId="40" fillId="0" borderId="148" xfId="0" applyFont="1" applyBorder="1" applyAlignment="1" applyProtection="1">
      <alignment horizontal="center" vertical="center"/>
    </xf>
    <xf numFmtId="165" fontId="81" fillId="0" borderId="100" xfId="1" applyNumberFormat="1" applyFont="1" applyFill="1" applyBorder="1" applyAlignment="1" applyProtection="1">
      <alignment horizontal="center" vertical="center" shrinkToFit="1"/>
    </xf>
    <xf numFmtId="165" fontId="81" fillId="0" borderId="33" xfId="1" applyNumberFormat="1" applyFont="1" applyFill="1" applyBorder="1" applyAlignment="1" applyProtection="1">
      <alignment horizontal="center" vertical="center" shrinkToFit="1"/>
    </xf>
    <xf numFmtId="0" fontId="106" fillId="0" borderId="78" xfId="0" applyFont="1" applyBorder="1" applyAlignment="1" applyProtection="1">
      <alignment horizontal="center" vertical="center" wrapText="1" shrinkToFit="1"/>
    </xf>
    <xf numFmtId="0" fontId="106" fillId="0" borderId="66" xfId="0" applyFont="1" applyBorder="1" applyAlignment="1" applyProtection="1">
      <alignment horizontal="center" vertical="center" wrapText="1" shrinkToFit="1"/>
    </xf>
    <xf numFmtId="0" fontId="106" fillId="0" borderId="67" xfId="0" applyFont="1" applyBorder="1" applyAlignment="1" applyProtection="1">
      <alignment horizontal="center" vertical="center" wrapText="1" shrinkToFit="1"/>
    </xf>
    <xf numFmtId="0" fontId="106" fillId="0" borderId="12" xfId="0" applyFont="1" applyBorder="1" applyAlignment="1" applyProtection="1">
      <alignment horizontal="center" vertical="center" wrapText="1" shrinkToFit="1"/>
    </xf>
    <xf numFmtId="0" fontId="106" fillId="0" borderId="0" xfId="0" applyFont="1" applyBorder="1" applyAlignment="1" applyProtection="1">
      <alignment horizontal="center" vertical="center" wrapText="1" shrinkToFit="1"/>
    </xf>
    <xf numFmtId="0" fontId="106" fillId="0" borderId="54" xfId="0" applyFont="1" applyBorder="1" applyAlignment="1" applyProtection="1">
      <alignment horizontal="center" vertical="center" wrapText="1" shrinkToFit="1"/>
    </xf>
    <xf numFmtId="0" fontId="106" fillId="0" borderId="79" xfId="0" applyFont="1" applyBorder="1" applyAlignment="1" applyProtection="1">
      <alignment horizontal="center" vertical="center" wrapText="1" shrinkToFit="1"/>
    </xf>
    <xf numFmtId="0" fontId="106" fillId="0" borderId="72" xfId="0" applyFont="1" applyBorder="1" applyAlignment="1" applyProtection="1">
      <alignment horizontal="center" vertical="center" wrapText="1" shrinkToFit="1"/>
    </xf>
    <xf numFmtId="0" fontId="106" fillId="0" borderId="73" xfId="0" applyFont="1" applyBorder="1" applyAlignment="1" applyProtection="1">
      <alignment horizontal="center" vertical="center" wrapText="1" shrinkToFit="1"/>
    </xf>
    <xf numFmtId="0" fontId="81" fillId="0" borderId="68" xfId="0" applyFont="1" applyBorder="1" applyAlignment="1" applyProtection="1">
      <alignment vertical="center" shrinkToFit="1"/>
    </xf>
    <xf numFmtId="0" fontId="81" fillId="0" borderId="69" xfId="0" applyFont="1" applyBorder="1" applyAlignment="1" applyProtection="1">
      <alignment vertical="center" shrinkToFit="1"/>
    </xf>
    <xf numFmtId="0" fontId="81" fillId="0" borderId="70" xfId="0" applyFont="1" applyBorder="1" applyAlignment="1" applyProtection="1">
      <alignment vertical="center" shrinkToFit="1"/>
    </xf>
    <xf numFmtId="0" fontId="81" fillId="2" borderId="4" xfId="0" applyFont="1" applyFill="1" applyBorder="1" applyAlignment="1" applyProtection="1">
      <alignment vertical="center" shrinkToFit="1"/>
    </xf>
    <xf numFmtId="0" fontId="81" fillId="2" borderId="5" xfId="0" applyFont="1" applyFill="1" applyBorder="1" applyAlignment="1" applyProtection="1">
      <alignment vertical="center" shrinkToFit="1"/>
    </xf>
    <xf numFmtId="0" fontId="81" fillId="2" borderId="20" xfId="0" applyFont="1" applyFill="1" applyBorder="1" applyAlignment="1" applyProtection="1">
      <alignment vertical="center" shrinkToFit="1"/>
    </xf>
    <xf numFmtId="167" fontId="81" fillId="0" borderId="106" xfId="3" applyNumberFormat="1" applyFont="1" applyBorder="1" applyAlignment="1" applyProtection="1">
      <alignment horizontal="center" vertical="center"/>
    </xf>
    <xf numFmtId="167" fontId="81" fillId="0" borderId="107" xfId="3" applyNumberFormat="1" applyFont="1" applyBorder="1" applyAlignment="1" applyProtection="1">
      <alignment horizontal="center" vertical="center"/>
    </xf>
    <xf numFmtId="0" fontId="79" fillId="2" borderId="31" xfId="0" applyFont="1" applyFill="1" applyBorder="1" applyAlignment="1" applyProtection="1">
      <alignment horizontal="right" vertical="center" shrinkToFit="1"/>
    </xf>
    <xf numFmtId="0" fontId="79" fillId="2" borderId="32" xfId="0" applyFont="1" applyFill="1" applyBorder="1" applyAlignment="1" applyProtection="1">
      <alignment horizontal="right" vertical="center" shrinkToFit="1"/>
    </xf>
    <xf numFmtId="0" fontId="79" fillId="2" borderId="33" xfId="0" applyFont="1" applyFill="1" applyBorder="1" applyAlignment="1" applyProtection="1">
      <alignment horizontal="right" vertical="center" shrinkToFit="1"/>
    </xf>
    <xf numFmtId="0" fontId="106" fillId="0" borderId="12" xfId="0" applyFont="1" applyBorder="1" applyAlignment="1" applyProtection="1">
      <alignment horizontal="center" vertical="center"/>
    </xf>
    <xf numFmtId="0" fontId="106" fillId="0" borderId="0" xfId="0" applyFont="1" applyBorder="1" applyAlignment="1" applyProtection="1">
      <alignment horizontal="center" vertical="center"/>
    </xf>
    <xf numFmtId="0" fontId="106" fillId="0" borderId="54" xfId="0" applyFont="1" applyBorder="1" applyAlignment="1" applyProtection="1">
      <alignment horizontal="center" vertical="center"/>
    </xf>
    <xf numFmtId="0" fontId="106" fillId="0" borderId="8" xfId="0" applyFont="1" applyBorder="1" applyAlignment="1" applyProtection="1">
      <alignment horizontal="center" vertical="center"/>
    </xf>
    <xf numFmtId="0" fontId="106" fillId="0" borderId="5" xfId="0" applyFont="1" applyBorder="1" applyAlignment="1" applyProtection="1">
      <alignment horizontal="center" vertical="center"/>
    </xf>
    <xf numFmtId="0" fontId="106" fillId="0" borderId="20" xfId="0" applyFont="1" applyBorder="1" applyAlignment="1" applyProtection="1">
      <alignment horizontal="center" vertical="center"/>
    </xf>
    <xf numFmtId="0" fontId="81" fillId="2" borderId="48" xfId="0" applyFont="1" applyFill="1" applyBorder="1" applyAlignment="1" applyProtection="1">
      <alignment vertical="center" shrinkToFit="1"/>
    </xf>
    <xf numFmtId="0" fontId="81" fillId="2" borderId="61" xfId="0" applyFont="1" applyFill="1" applyBorder="1" applyAlignment="1" applyProtection="1">
      <alignment vertical="center" shrinkToFit="1"/>
    </xf>
    <xf numFmtId="0" fontId="81" fillId="2" borderId="55" xfId="0" applyFont="1" applyFill="1" applyBorder="1" applyAlignment="1" applyProtection="1">
      <alignment vertical="center" shrinkToFit="1"/>
    </xf>
    <xf numFmtId="0" fontId="31" fillId="0" borderId="0" xfId="0" applyFont="1" applyBorder="1" applyAlignment="1" applyProtection="1">
      <alignment horizontal="center"/>
    </xf>
    <xf numFmtId="0" fontId="31" fillId="0" borderId="0" xfId="0" applyFont="1" applyBorder="1" applyAlignment="1" applyProtection="1">
      <alignment horizontal="left"/>
    </xf>
    <xf numFmtId="10" fontId="82" fillId="2" borderId="34" xfId="3" applyNumberFormat="1" applyFont="1" applyFill="1" applyBorder="1" applyAlignment="1" applyProtection="1">
      <alignment horizontal="center" vertical="center"/>
    </xf>
    <xf numFmtId="10" fontId="82" fillId="2" borderId="52" xfId="3" applyNumberFormat="1" applyFont="1" applyFill="1" applyBorder="1" applyAlignment="1" applyProtection="1">
      <alignment horizontal="center" vertical="center"/>
    </xf>
    <xf numFmtId="0" fontId="81" fillId="0" borderId="74" xfId="0" applyFont="1" applyBorder="1" applyAlignment="1" applyProtection="1">
      <alignment vertical="center" shrinkToFit="1"/>
    </xf>
    <xf numFmtId="0" fontId="81" fillId="0" borderId="75" xfId="0" applyFont="1" applyBorder="1" applyAlignment="1" applyProtection="1">
      <alignment vertical="center" shrinkToFit="1"/>
    </xf>
    <xf numFmtId="0" fontId="81" fillId="0" borderId="76" xfId="0" applyFont="1" applyBorder="1" applyAlignment="1" applyProtection="1">
      <alignment vertical="center" shrinkToFit="1"/>
    </xf>
    <xf numFmtId="0" fontId="81" fillId="0" borderId="110" xfId="0" applyFont="1" applyBorder="1" applyAlignment="1" applyProtection="1">
      <alignment vertical="center" shrinkToFit="1"/>
    </xf>
    <xf numFmtId="0" fontId="81" fillId="0" borderId="0" xfId="0" applyFont="1" applyBorder="1" applyAlignment="1" applyProtection="1">
      <alignment vertical="center" shrinkToFit="1"/>
    </xf>
    <xf numFmtId="0" fontId="81" fillId="0" borderId="54" xfId="0" applyFont="1" applyBorder="1" applyAlignment="1" applyProtection="1">
      <alignment vertical="center" shrinkToFit="1"/>
    </xf>
    <xf numFmtId="0" fontId="80" fillId="3" borderId="49" xfId="0" applyFont="1" applyFill="1" applyBorder="1" applyAlignment="1" applyProtection="1">
      <alignment horizontal="center" vertical="center"/>
    </xf>
    <xf numFmtId="0" fontId="80" fillId="3" borderId="50" xfId="0" applyFont="1" applyFill="1" applyBorder="1" applyAlignment="1" applyProtection="1">
      <alignment horizontal="center" vertical="center"/>
    </xf>
    <xf numFmtId="0" fontId="80" fillId="3" borderId="51" xfId="0" applyFont="1" applyFill="1" applyBorder="1" applyAlignment="1" applyProtection="1">
      <alignment horizontal="center" vertical="center"/>
    </xf>
    <xf numFmtId="0" fontId="33" fillId="0" borderId="5" xfId="0" applyFont="1" applyBorder="1" applyAlignment="1" applyProtection="1">
      <alignment horizontal="center" vertical="center" shrinkToFit="1"/>
      <protection locked="0"/>
    </xf>
    <xf numFmtId="0" fontId="33" fillId="0" borderId="9" xfId="0" applyFont="1" applyBorder="1" applyAlignment="1" applyProtection="1">
      <alignment horizontal="center" vertical="center" shrinkToFit="1"/>
      <protection locked="0"/>
    </xf>
    <xf numFmtId="0" fontId="45" fillId="0" borderId="0" xfId="0" applyFont="1" applyAlignment="1" applyProtection="1">
      <alignment vertical="center"/>
    </xf>
    <xf numFmtId="0" fontId="77" fillId="0" borderId="0" xfId="0" applyFont="1" applyAlignment="1" applyProtection="1">
      <alignment horizontal="center" vertical="center" shrinkToFit="1"/>
    </xf>
    <xf numFmtId="167" fontId="81" fillId="0" borderId="110" xfId="3" applyNumberFormat="1" applyFont="1" applyBorder="1" applyAlignment="1" applyProtection="1">
      <alignment horizontal="center" vertical="center"/>
    </xf>
    <xf numFmtId="167" fontId="81" fillId="0" borderId="6" xfId="3" applyNumberFormat="1" applyFont="1" applyBorder="1" applyAlignment="1" applyProtection="1">
      <alignment horizontal="center" vertical="center"/>
    </xf>
    <xf numFmtId="0" fontId="45" fillId="0" borderId="0" xfId="0" applyFont="1" applyAlignment="1" applyProtection="1">
      <alignment horizontal="center" vertical="center"/>
    </xf>
    <xf numFmtId="0" fontId="31" fillId="2" borderId="13" xfId="0" applyFont="1" applyFill="1" applyBorder="1" applyAlignment="1" applyProtection="1">
      <alignment horizontal="left" vertical="center"/>
    </xf>
    <xf numFmtId="0" fontId="31" fillId="2" borderId="3" xfId="0" applyFont="1" applyFill="1" applyBorder="1" applyAlignment="1" applyProtection="1">
      <alignment horizontal="left" vertical="center"/>
    </xf>
    <xf numFmtId="0" fontId="31" fillId="2" borderId="3" xfId="0" applyFont="1" applyFill="1" applyBorder="1" applyAlignment="1" applyProtection="1">
      <alignment vertical="center"/>
    </xf>
    <xf numFmtId="0" fontId="31" fillId="2" borderId="10" xfId="0" applyFont="1" applyFill="1" applyBorder="1" applyAlignment="1" applyProtection="1">
      <alignment vertical="center"/>
    </xf>
    <xf numFmtId="173" fontId="6" fillId="0" borderId="21" xfId="0" applyNumberFormat="1" applyFont="1" applyBorder="1" applyAlignment="1" applyProtection="1">
      <alignment horizontal="center" vertical="center" shrinkToFit="1"/>
    </xf>
    <xf numFmtId="173" fontId="6" fillId="0" borderId="22" xfId="0" applyNumberFormat="1" applyFont="1" applyBorder="1" applyAlignment="1" applyProtection="1">
      <alignment horizontal="center" vertical="center" shrinkToFit="1"/>
    </xf>
    <xf numFmtId="0" fontId="80" fillId="3" borderId="156" xfId="0" applyFont="1" applyFill="1" applyBorder="1" applyAlignment="1" applyProtection="1">
      <alignment horizontal="center" vertical="center"/>
    </xf>
    <xf numFmtId="0" fontId="46" fillId="0" borderId="23" xfId="0" applyFont="1" applyBorder="1" applyAlignment="1" applyProtection="1">
      <alignment horizontal="center" vertical="center"/>
    </xf>
    <xf numFmtId="0" fontId="46" fillId="0" borderId="16" xfId="0" applyFont="1" applyBorder="1" applyAlignment="1" applyProtection="1">
      <alignment horizontal="center" vertical="center"/>
    </xf>
    <xf numFmtId="0" fontId="75" fillId="0" borderId="8" xfId="0" applyFont="1" applyFill="1" applyBorder="1" applyAlignment="1" applyProtection="1">
      <alignment vertical="center" shrinkToFit="1"/>
      <protection locked="0"/>
    </xf>
    <xf numFmtId="0" fontId="75" fillId="0" borderId="5" xfId="0" applyFont="1" applyFill="1" applyBorder="1" applyAlignment="1" applyProtection="1">
      <alignment vertical="center" shrinkToFit="1"/>
      <protection locked="0"/>
    </xf>
    <xf numFmtId="169" fontId="1" fillId="0" borderId="5" xfId="0" applyNumberFormat="1" applyFont="1" applyFill="1" applyBorder="1" applyAlignment="1" applyProtection="1">
      <alignment horizontal="center" vertical="center" shrinkToFit="1"/>
      <protection locked="0"/>
    </xf>
    <xf numFmtId="169" fontId="8" fillId="0" borderId="20" xfId="0" applyNumberFormat="1" applyFont="1" applyFill="1" applyBorder="1" applyAlignment="1" applyProtection="1">
      <alignment horizontal="center" vertical="center" shrinkToFit="1"/>
      <protection locked="0"/>
    </xf>
    <xf numFmtId="0" fontId="47" fillId="0" borderId="5" xfId="0" applyFont="1" applyFill="1" applyBorder="1" applyAlignment="1" applyProtection="1">
      <alignment vertical="center" shrinkToFit="1"/>
      <protection locked="0"/>
    </xf>
    <xf numFmtId="0" fontId="47" fillId="0" borderId="9" xfId="0" applyFont="1" applyFill="1" applyBorder="1" applyAlignment="1" applyProtection="1">
      <alignment vertical="center" shrinkToFit="1"/>
      <protection locked="0"/>
    </xf>
    <xf numFmtId="0" fontId="33" fillId="3" borderId="45" xfId="0" applyFont="1" applyFill="1" applyBorder="1" applyAlignment="1" applyProtection="1">
      <alignment horizontal="center" vertical="center"/>
    </xf>
    <xf numFmtId="0" fontId="33" fillId="3" borderId="44" xfId="0" applyFont="1" applyFill="1" applyBorder="1" applyAlignment="1" applyProtection="1">
      <alignment horizontal="center" vertical="center"/>
    </xf>
    <xf numFmtId="0" fontId="38" fillId="8" borderId="23" xfId="0" applyFont="1" applyFill="1" applyBorder="1" applyAlignment="1" applyProtection="1">
      <alignment horizontal="center" vertical="center"/>
    </xf>
    <xf numFmtId="0" fontId="38" fillId="8" borderId="7" xfId="0" applyFont="1" applyFill="1" applyBorder="1" applyAlignment="1" applyProtection="1">
      <alignment horizontal="center" vertical="center"/>
    </xf>
    <xf numFmtId="0" fontId="38" fillId="8" borderId="16" xfId="0" applyFont="1" applyFill="1" applyBorder="1" applyAlignment="1" applyProtection="1">
      <alignment horizontal="center" vertical="center"/>
    </xf>
    <xf numFmtId="0" fontId="42" fillId="0" borderId="17" xfId="0" applyFont="1" applyBorder="1" applyAlignment="1" applyProtection="1">
      <alignment horizontal="center" vertical="center"/>
    </xf>
    <xf numFmtId="0" fontId="42" fillId="0" borderId="18" xfId="0" applyFont="1" applyBorder="1" applyAlignment="1" applyProtection="1">
      <alignment horizontal="center" vertical="center"/>
    </xf>
    <xf numFmtId="0" fontId="42" fillId="0" borderId="19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49" fillId="0" borderId="7" xfId="0" applyFont="1" applyBorder="1" applyAlignment="1" applyProtection="1">
      <alignment horizontal="center" vertical="center"/>
    </xf>
    <xf numFmtId="0" fontId="49" fillId="0" borderId="16" xfId="0" applyFont="1" applyBorder="1" applyAlignment="1" applyProtection="1">
      <alignment horizontal="center" vertical="center"/>
    </xf>
    <xf numFmtId="171" fontId="8" fillId="0" borderId="8" xfId="0" applyNumberFormat="1" applyFont="1" applyBorder="1" applyAlignment="1" applyProtection="1">
      <alignment horizontal="center" vertical="center" shrinkToFit="1"/>
    </xf>
    <xf numFmtId="171" fontId="8" fillId="0" borderId="5" xfId="0" applyNumberFormat="1" applyFont="1" applyBorder="1" applyAlignment="1" applyProtection="1">
      <alignment horizontal="center" vertical="center" shrinkToFit="1"/>
    </xf>
    <xf numFmtId="171" fontId="8" fillId="0" borderId="20" xfId="0" applyNumberFormat="1" applyFont="1" applyBorder="1" applyAlignment="1" applyProtection="1">
      <alignment horizontal="center" vertical="center" shrinkToFit="1"/>
    </xf>
    <xf numFmtId="170" fontId="8" fillId="0" borderId="4" xfId="0" applyNumberFormat="1" applyFont="1" applyFill="1" applyBorder="1" applyAlignment="1" applyProtection="1">
      <alignment horizontal="center" vertical="center" shrinkToFit="1"/>
      <protection locked="0"/>
    </xf>
    <xf numFmtId="170" fontId="8" fillId="0" borderId="20" xfId="0" applyNumberFormat="1" applyFont="1" applyFill="1" applyBorder="1" applyAlignment="1" applyProtection="1">
      <alignment horizontal="center" vertical="center" shrinkToFit="1"/>
      <protection locked="0"/>
    </xf>
    <xf numFmtId="0" fontId="1" fillId="0" borderId="4" xfId="0" applyFont="1" applyFill="1" applyBorder="1" applyAlignment="1" applyProtection="1">
      <alignment horizontal="left" vertical="center" shrinkToFit="1"/>
      <protection locked="0"/>
    </xf>
    <xf numFmtId="0" fontId="8" fillId="0" borderId="5" xfId="0" applyFont="1" applyFill="1" applyBorder="1" applyAlignment="1" applyProtection="1">
      <alignment horizontal="left" vertical="center" shrinkToFit="1"/>
      <protection locked="0"/>
    </xf>
    <xf numFmtId="0" fontId="8" fillId="0" borderId="20" xfId="0" applyFont="1" applyFill="1" applyBorder="1" applyAlignment="1" applyProtection="1">
      <alignment horizontal="left" vertical="center" shrinkToFit="1"/>
      <protection locked="0"/>
    </xf>
    <xf numFmtId="169" fontId="1" fillId="0" borderId="4" xfId="0" applyNumberFormat="1" applyFont="1" applyFill="1" applyBorder="1" applyAlignment="1" applyProtection="1">
      <alignment horizontal="center" vertical="center" shrinkToFit="1"/>
      <protection locked="0"/>
    </xf>
    <xf numFmtId="0" fontId="30" fillId="0" borderId="5" xfId="4" applyFill="1" applyBorder="1" applyAlignment="1" applyProtection="1">
      <alignment vertical="center" shrinkToFit="1"/>
      <protection locked="0"/>
    </xf>
    <xf numFmtId="0" fontId="33" fillId="3" borderId="49" xfId="0" applyFont="1" applyFill="1" applyBorder="1" applyAlignment="1" applyProtection="1">
      <alignment horizontal="center" vertical="center"/>
    </xf>
    <xf numFmtId="0" fontId="33" fillId="3" borderId="50" xfId="0" applyFont="1" applyFill="1" applyBorder="1" applyAlignment="1" applyProtection="1">
      <alignment horizontal="center" vertical="center"/>
    </xf>
    <xf numFmtId="173" fontId="6" fillId="0" borderId="4" xfId="0" applyNumberFormat="1" applyFont="1" applyBorder="1" applyAlignment="1" applyProtection="1">
      <alignment horizontal="center" vertical="center" shrinkToFit="1"/>
    </xf>
    <xf numFmtId="173" fontId="6" fillId="0" borderId="20" xfId="0" applyNumberFormat="1" applyFont="1" applyBorder="1" applyAlignment="1" applyProtection="1">
      <alignment horizontal="center" vertical="center" shrinkToFit="1"/>
    </xf>
    <xf numFmtId="173" fontId="6" fillId="2" borderId="21" xfId="0" applyNumberFormat="1" applyFont="1" applyFill="1" applyBorder="1" applyAlignment="1" applyProtection="1">
      <alignment horizontal="center" vertical="center" shrinkToFit="1"/>
    </xf>
    <xf numFmtId="173" fontId="6" fillId="2" borderId="22" xfId="0" applyNumberFormat="1" applyFont="1" applyFill="1" applyBorder="1" applyAlignment="1" applyProtection="1">
      <alignment horizontal="center" vertical="center" shrinkToFit="1"/>
    </xf>
    <xf numFmtId="167" fontId="81" fillId="0" borderId="4" xfId="3" applyNumberFormat="1" applyFont="1" applyBorder="1" applyAlignment="1" applyProtection="1">
      <alignment horizontal="center" vertical="center"/>
    </xf>
    <xf numFmtId="167" fontId="81" fillId="0" borderId="9" xfId="3" applyNumberFormat="1" applyFont="1" applyBorder="1" applyAlignment="1" applyProtection="1">
      <alignment horizontal="center" vertical="center"/>
    </xf>
    <xf numFmtId="0" fontId="80" fillId="3" borderId="157" xfId="0" applyFont="1" applyFill="1" applyBorder="1" applyAlignment="1" applyProtection="1">
      <alignment horizontal="center" vertical="center"/>
    </xf>
    <xf numFmtId="0" fontId="56" fillId="3" borderId="31" xfId="0" applyFont="1" applyFill="1" applyBorder="1" applyAlignment="1" applyProtection="1">
      <alignment horizontal="right" vertical="center"/>
    </xf>
    <xf numFmtId="0" fontId="56" fillId="3" borderId="32" xfId="0" applyFont="1" applyFill="1" applyBorder="1" applyAlignment="1" applyProtection="1">
      <alignment horizontal="right" vertical="center"/>
    </xf>
    <xf numFmtId="0" fontId="56" fillId="3" borderId="33" xfId="0" applyFont="1" applyFill="1" applyBorder="1" applyAlignment="1" applyProtection="1">
      <alignment horizontal="right" vertical="center"/>
    </xf>
    <xf numFmtId="165" fontId="80" fillId="2" borderId="4" xfId="1" applyNumberFormat="1" applyFont="1" applyFill="1" applyBorder="1" applyAlignment="1" applyProtection="1">
      <alignment horizontal="center" vertical="center" shrinkToFit="1"/>
    </xf>
    <xf numFmtId="165" fontId="80" fillId="2" borderId="64" xfId="1" applyNumberFormat="1" applyFont="1" applyFill="1" applyBorder="1" applyAlignment="1" applyProtection="1">
      <alignment horizontal="center" vertical="center" shrinkToFit="1"/>
    </xf>
    <xf numFmtId="0" fontId="6" fillId="0" borderId="23" xfId="0" applyFont="1" applyBorder="1" applyAlignment="1" applyProtection="1">
      <alignment horizontal="center" vertical="center"/>
    </xf>
    <xf numFmtId="0" fontId="6" fillId="0" borderId="7" xfId="0" applyFont="1" applyBorder="1" applyAlignment="1" applyProtection="1">
      <alignment horizontal="center" vertical="center"/>
    </xf>
    <xf numFmtId="0" fontId="6" fillId="2" borderId="23" xfId="0" applyFont="1" applyFill="1" applyBorder="1" applyAlignment="1" applyProtection="1">
      <alignment horizontal="center" vertical="center"/>
    </xf>
    <xf numFmtId="0" fontId="6" fillId="2" borderId="7" xfId="0" applyFont="1" applyFill="1" applyBorder="1" applyAlignment="1" applyProtection="1">
      <alignment horizontal="center" vertical="center"/>
    </xf>
    <xf numFmtId="173" fontId="56" fillId="3" borderId="35" xfId="0" applyNumberFormat="1" applyFont="1" applyFill="1" applyBorder="1" applyAlignment="1" applyProtection="1">
      <alignment horizontal="center" vertical="center" shrinkToFit="1"/>
    </xf>
    <xf numFmtId="173" fontId="56" fillId="3" borderId="33" xfId="0" applyNumberFormat="1" applyFont="1" applyFill="1" applyBorder="1" applyAlignment="1" applyProtection="1">
      <alignment horizontal="center" vertical="center" shrinkToFit="1"/>
    </xf>
    <xf numFmtId="0" fontId="31" fillId="0" borderId="7" xfId="0" applyFont="1" applyBorder="1" applyAlignment="1" applyProtection="1">
      <alignment horizontal="left" vertical="top"/>
    </xf>
    <xf numFmtId="0" fontId="79" fillId="0" borderId="17" xfId="0" applyFont="1" applyBorder="1" applyAlignment="1" applyProtection="1">
      <alignment horizontal="center" vertical="center"/>
    </xf>
    <xf numFmtId="0" fontId="79" fillId="0" borderId="18" xfId="0" applyFont="1" applyBorder="1" applyAlignment="1" applyProtection="1">
      <alignment horizontal="center" vertical="center"/>
    </xf>
    <xf numFmtId="0" fontId="79" fillId="0" borderId="19" xfId="0" applyFont="1" applyBorder="1" applyAlignment="1" applyProtection="1">
      <alignment horizontal="center" vertical="center"/>
    </xf>
    <xf numFmtId="173" fontId="42" fillId="2" borderId="35" xfId="0" applyNumberFormat="1" applyFont="1" applyFill="1" applyBorder="1" applyAlignment="1" applyProtection="1">
      <alignment horizontal="center" vertical="center" shrinkToFit="1"/>
    </xf>
    <xf numFmtId="173" fontId="42" fillId="2" borderId="33" xfId="0" applyNumberFormat="1" applyFont="1" applyFill="1" applyBorder="1" applyAlignment="1" applyProtection="1">
      <alignment horizontal="center" vertical="center" shrinkToFit="1"/>
    </xf>
    <xf numFmtId="173" fontId="51" fillId="10" borderId="110" xfId="0" applyNumberFormat="1" applyFont="1" applyFill="1" applyBorder="1" applyAlignment="1" applyProtection="1">
      <alignment horizontal="center" vertical="center" shrinkToFit="1"/>
    </xf>
    <xf numFmtId="173" fontId="51" fillId="10" borderId="54" xfId="0" applyNumberFormat="1" applyFont="1" applyFill="1" applyBorder="1" applyAlignment="1" applyProtection="1">
      <alignment horizontal="center" vertical="center" shrinkToFit="1"/>
    </xf>
    <xf numFmtId="173" fontId="6" fillId="0" borderId="65" xfId="0" applyNumberFormat="1" applyFont="1" applyBorder="1" applyAlignment="1" applyProtection="1">
      <alignment horizontal="center" vertical="center" shrinkToFit="1"/>
    </xf>
    <xf numFmtId="173" fontId="6" fillId="0" borderId="30" xfId="0" applyNumberFormat="1" applyFont="1" applyBorder="1" applyAlignment="1" applyProtection="1">
      <alignment horizontal="center" vertical="center" shrinkToFit="1"/>
    </xf>
    <xf numFmtId="10" fontId="81" fillId="0" borderId="68" xfId="3" applyNumberFormat="1" applyFont="1" applyBorder="1" applyAlignment="1" applyProtection="1">
      <alignment horizontal="center" vertical="center"/>
    </xf>
    <xf numFmtId="10" fontId="81" fillId="0" borderId="71" xfId="3" applyNumberFormat="1" applyFont="1" applyBorder="1" applyAlignment="1" applyProtection="1">
      <alignment horizontal="center" vertical="center"/>
    </xf>
    <xf numFmtId="0" fontId="80" fillId="3" borderId="45" xfId="0" applyFont="1" applyFill="1" applyBorder="1" applyAlignment="1" applyProtection="1">
      <alignment horizontal="center" vertical="center"/>
    </xf>
    <xf numFmtId="0" fontId="80" fillId="3" borderId="63" xfId="0" applyFont="1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165" fontId="81" fillId="2" borderId="102" xfId="1" applyNumberFormat="1" applyFont="1" applyFill="1" applyBorder="1" applyAlignment="1" applyProtection="1">
      <alignment horizontal="center" vertical="center" shrinkToFit="1"/>
    </xf>
    <xf numFmtId="165" fontId="81" fillId="2" borderId="57" xfId="1" applyNumberFormat="1" applyFont="1" applyFill="1" applyBorder="1" applyAlignment="1" applyProtection="1">
      <alignment horizontal="center" vertical="center" shrinkToFit="1"/>
    </xf>
    <xf numFmtId="8" fontId="82" fillId="2" borderId="59" xfId="1" applyNumberFormat="1" applyFont="1" applyFill="1" applyBorder="1" applyAlignment="1" applyProtection="1">
      <alignment horizontal="center" vertical="center" shrinkToFit="1"/>
    </xf>
    <xf numFmtId="8" fontId="82" fillId="2" borderId="57" xfId="1" applyNumberFormat="1" applyFont="1" applyFill="1" applyBorder="1" applyAlignment="1" applyProtection="1">
      <alignment horizontal="center" vertical="center" shrinkToFit="1"/>
    </xf>
    <xf numFmtId="0" fontId="81" fillId="2" borderId="110" xfId="0" applyFont="1" applyFill="1" applyBorder="1" applyAlignment="1" applyProtection="1">
      <alignment vertical="center" shrinkToFit="1"/>
    </xf>
    <xf numFmtId="0" fontId="81" fillId="2" borderId="0" xfId="0" applyFont="1" applyFill="1" applyBorder="1" applyAlignment="1" applyProtection="1">
      <alignment vertical="center" shrinkToFit="1"/>
    </xf>
    <xf numFmtId="0" fontId="81" fillId="2" borderId="54" xfId="0" applyFont="1" applyFill="1" applyBorder="1" applyAlignment="1" applyProtection="1">
      <alignment vertical="center" shrinkToFit="1"/>
    </xf>
    <xf numFmtId="0" fontId="81" fillId="2" borderId="68" xfId="0" applyFont="1" applyFill="1" applyBorder="1" applyAlignment="1" applyProtection="1">
      <alignment vertical="center" shrinkToFit="1"/>
    </xf>
    <xf numFmtId="0" fontId="81" fillId="2" borderId="69" xfId="0" applyFont="1" applyFill="1" applyBorder="1" applyAlignment="1" applyProtection="1">
      <alignment vertical="center" shrinkToFit="1"/>
    </xf>
    <xf numFmtId="0" fontId="81" fillId="2" borderId="70" xfId="0" applyFont="1" applyFill="1" applyBorder="1" applyAlignment="1" applyProtection="1">
      <alignment vertical="center" shrinkToFit="1"/>
    </xf>
    <xf numFmtId="0" fontId="6" fillId="0" borderId="58" xfId="0" applyFont="1" applyBorder="1" applyAlignment="1" applyProtection="1">
      <alignment horizontal="center" vertical="center"/>
    </xf>
    <xf numFmtId="0" fontId="6" fillId="0" borderId="59" xfId="0" applyFont="1" applyBorder="1" applyAlignment="1" applyProtection="1">
      <alignment horizontal="center" vertical="center"/>
    </xf>
    <xf numFmtId="0" fontId="42" fillId="2" borderId="31" xfId="0" applyFont="1" applyFill="1" applyBorder="1" applyAlignment="1" applyProtection="1">
      <alignment horizontal="right" vertical="center"/>
    </xf>
    <xf numFmtId="0" fontId="42" fillId="2" borderId="32" xfId="0" applyFont="1" applyFill="1" applyBorder="1" applyAlignment="1" applyProtection="1">
      <alignment horizontal="right" vertical="center"/>
    </xf>
    <xf numFmtId="0" fontId="51" fillId="10" borderId="12" xfId="0" applyFont="1" applyFill="1" applyBorder="1" applyAlignment="1" applyProtection="1">
      <alignment horizontal="right" vertical="center"/>
    </xf>
    <xf numFmtId="0" fontId="51" fillId="10" borderId="0" xfId="0" applyFont="1" applyFill="1" applyBorder="1" applyAlignment="1" applyProtection="1">
      <alignment horizontal="right" vertical="center"/>
    </xf>
    <xf numFmtId="49" fontId="78" fillId="0" borderId="0" xfId="0" applyNumberFormat="1" applyFont="1" applyFill="1" applyBorder="1" applyAlignment="1" applyProtection="1">
      <alignment horizontal="left" vertical="top" wrapText="1"/>
      <protection locked="0"/>
    </xf>
    <xf numFmtId="49" fontId="78" fillId="0" borderId="0" xfId="0" applyNumberFormat="1" applyFont="1" applyFill="1" applyBorder="1" applyAlignment="1" applyProtection="1">
      <alignment horizontal="left" vertical="top"/>
      <protection locked="0"/>
    </xf>
    <xf numFmtId="49" fontId="78" fillId="0" borderId="0" xfId="0" applyNumberFormat="1" applyFont="1" applyFill="1" applyBorder="1" applyAlignment="1" applyProtection="1">
      <alignment horizontal="left" vertical="center"/>
      <protection locked="0"/>
    </xf>
    <xf numFmtId="49" fontId="78" fillId="0" borderId="5" xfId="0" applyNumberFormat="1" applyFont="1" applyFill="1" applyBorder="1" applyAlignment="1" applyProtection="1">
      <alignment horizontal="left" vertical="center"/>
      <protection locked="0"/>
    </xf>
    <xf numFmtId="167" fontId="81" fillId="2" borderId="110" xfId="3" applyNumberFormat="1" applyFont="1" applyFill="1" applyBorder="1" applyAlignment="1" applyProtection="1">
      <alignment horizontal="center" vertical="center"/>
    </xf>
    <xf numFmtId="167" fontId="81" fillId="2" borderId="6" xfId="3" applyNumberFormat="1" applyFont="1" applyFill="1" applyBorder="1" applyAlignment="1" applyProtection="1">
      <alignment horizontal="center" vertical="center"/>
    </xf>
    <xf numFmtId="0" fontId="43" fillId="2" borderId="0" xfId="0" applyFont="1" applyFill="1" applyBorder="1" applyAlignment="1" applyProtection="1">
      <alignment horizontal="left" vertical="center"/>
    </xf>
    <xf numFmtId="0" fontId="81" fillId="0" borderId="21" xfId="0" applyFont="1" applyBorder="1" applyAlignment="1" applyProtection="1">
      <alignment horizontal="left" vertical="center" shrinkToFit="1"/>
    </xf>
    <xf numFmtId="0" fontId="81" fillId="0" borderId="7" xfId="0" applyFont="1" applyBorder="1" applyAlignment="1" applyProtection="1">
      <alignment horizontal="left" vertical="center" shrinkToFit="1"/>
    </xf>
    <xf numFmtId="0" fontId="81" fillId="0" borderId="22" xfId="0" applyFont="1" applyBorder="1" applyAlignment="1" applyProtection="1">
      <alignment horizontal="left" vertical="center" shrinkToFit="1"/>
    </xf>
    <xf numFmtId="173" fontId="79" fillId="2" borderId="35" xfId="0" applyNumberFormat="1" applyFont="1" applyFill="1" applyBorder="1" applyAlignment="1" applyProtection="1">
      <alignment horizontal="center" vertical="center"/>
    </xf>
    <xf numFmtId="173" fontId="79" fillId="2" borderId="33" xfId="0" applyNumberFormat="1" applyFont="1" applyFill="1" applyBorder="1" applyAlignment="1" applyProtection="1">
      <alignment horizontal="center" vertical="center"/>
    </xf>
    <xf numFmtId="0" fontId="45" fillId="0" borderId="5" xfId="0" applyFont="1" applyBorder="1" applyAlignment="1" applyProtection="1">
      <alignment horizontal="center" vertical="center"/>
    </xf>
    <xf numFmtId="0" fontId="79" fillId="0" borderId="17" xfId="0" applyFont="1" applyFill="1" applyBorder="1" applyAlignment="1" applyProtection="1">
      <alignment horizontal="center" vertical="center"/>
    </xf>
    <xf numFmtId="0" fontId="79" fillId="0" borderId="62" xfId="0" applyFont="1" applyFill="1" applyBorder="1" applyAlignment="1" applyProtection="1">
      <alignment horizontal="center" vertical="center"/>
    </xf>
    <xf numFmtId="0" fontId="33" fillId="0" borderId="8" xfId="0" applyFont="1" applyBorder="1" applyAlignment="1" applyProtection="1">
      <alignment horizontal="center" vertical="center" shrinkToFit="1"/>
      <protection locked="0"/>
    </xf>
    <xf numFmtId="0" fontId="81" fillId="2" borderId="106" xfId="0" applyFont="1" applyFill="1" applyBorder="1" applyAlignment="1" applyProtection="1">
      <alignment vertical="center" shrinkToFit="1"/>
    </xf>
    <xf numFmtId="0" fontId="81" fillId="2" borderId="66" xfId="0" applyFont="1" applyFill="1" applyBorder="1" applyAlignment="1" applyProtection="1">
      <alignment vertical="center" shrinkToFit="1"/>
    </xf>
    <xf numFmtId="0" fontId="81" fillId="2" borderId="67" xfId="0" applyFont="1" applyFill="1" applyBorder="1" applyAlignment="1" applyProtection="1">
      <alignment vertical="center" shrinkToFit="1"/>
    </xf>
    <xf numFmtId="0" fontId="44" fillId="0" borderId="12" xfId="0" applyFont="1" applyBorder="1" applyAlignment="1" applyProtection="1">
      <alignment horizontal="left" vertical="center" shrinkToFit="1"/>
      <protection locked="0"/>
    </xf>
    <xf numFmtId="0" fontId="44" fillId="0" borderId="0" xfId="0" applyFont="1" applyBorder="1" applyAlignment="1" applyProtection="1">
      <alignment horizontal="left" vertical="center" shrinkToFit="1"/>
      <protection locked="0"/>
    </xf>
    <xf numFmtId="0" fontId="44" fillId="0" borderId="6" xfId="0" applyFont="1" applyBorder="1" applyAlignment="1" applyProtection="1">
      <alignment horizontal="left" vertical="center" shrinkToFit="1"/>
      <protection locked="0"/>
    </xf>
    <xf numFmtId="0" fontId="18" fillId="0" borderId="0" xfId="0" applyFont="1" applyAlignment="1" applyProtection="1">
      <alignment horizontal="left" vertical="center" wrapText="1"/>
    </xf>
    <xf numFmtId="0" fontId="53" fillId="0" borderId="13" xfId="0" applyFont="1" applyBorder="1" applyAlignment="1" applyProtection="1">
      <alignment horizontal="center" vertical="center" wrapText="1" shrinkToFit="1"/>
    </xf>
    <xf numFmtId="0" fontId="53" fillId="0" borderId="3" xfId="0" applyFont="1" applyBorder="1" applyAlignment="1" applyProtection="1">
      <alignment horizontal="center" vertical="center" shrinkToFit="1"/>
    </xf>
    <xf numFmtId="0" fontId="53" fillId="0" borderId="10" xfId="0" applyFont="1" applyBorder="1" applyAlignment="1" applyProtection="1">
      <alignment horizontal="center" vertical="center" shrinkToFit="1"/>
    </xf>
    <xf numFmtId="0" fontId="11" fillId="0" borderId="8" xfId="0" applyFont="1" applyBorder="1" applyAlignment="1" applyProtection="1">
      <alignment horizontal="left" vertical="center" shrinkToFit="1"/>
    </xf>
    <xf numFmtId="0" fontId="11" fillId="0" borderId="5" xfId="0" applyFont="1" applyBorder="1" applyAlignment="1" applyProtection="1">
      <alignment horizontal="left" vertical="center" shrinkToFit="1"/>
    </xf>
    <xf numFmtId="0" fontId="11" fillId="0" borderId="9" xfId="0" applyFont="1" applyBorder="1" applyAlignment="1" applyProtection="1">
      <alignment horizontal="left" vertical="center" shrinkToFit="1"/>
    </xf>
    <xf numFmtId="0" fontId="13" fillId="0" borderId="0" xfId="0" applyFont="1" applyAlignment="1" applyProtection="1">
      <alignment horizontal="center" vertical="center"/>
    </xf>
    <xf numFmtId="0" fontId="43" fillId="3" borderId="17" xfId="0" applyFont="1" applyFill="1" applyBorder="1" applyAlignment="1" applyProtection="1">
      <alignment horizontal="left" vertical="center"/>
    </xf>
    <xf numFmtId="0" fontId="43" fillId="3" borderId="18" xfId="0" applyFont="1" applyFill="1" applyBorder="1" applyAlignment="1" applyProtection="1">
      <alignment horizontal="left" vertical="center"/>
    </xf>
    <xf numFmtId="0" fontId="43" fillId="3" borderId="19" xfId="0" applyFont="1" applyFill="1" applyBorder="1" applyAlignment="1" applyProtection="1">
      <alignment horizontal="left" vertical="center"/>
    </xf>
    <xf numFmtId="0" fontId="44" fillId="0" borderId="80" xfId="0" applyFont="1" applyBorder="1" applyAlignment="1" applyProtection="1">
      <alignment horizontal="left" vertical="center" shrinkToFit="1"/>
      <protection locked="0"/>
    </xf>
    <xf numFmtId="0" fontId="44" fillId="0" borderId="81" xfId="0" applyFont="1" applyBorder="1" applyAlignment="1" applyProtection="1">
      <alignment horizontal="left" vertical="center" shrinkToFit="1"/>
      <protection locked="0"/>
    </xf>
    <xf numFmtId="0" fontId="44" fillId="0" borderId="82" xfId="0" applyFont="1" applyBorder="1" applyAlignment="1" applyProtection="1">
      <alignment horizontal="left" vertical="center" shrinkToFit="1"/>
      <protection locked="0"/>
    </xf>
    <xf numFmtId="0" fontId="23" fillId="3" borderId="130" xfId="0" applyFont="1" applyFill="1" applyBorder="1" applyAlignment="1" applyProtection="1">
      <alignment horizontal="center" vertical="center" shrinkToFit="1"/>
    </xf>
    <xf numFmtId="0" fontId="23" fillId="3" borderId="131" xfId="0" applyFont="1" applyFill="1" applyBorder="1" applyAlignment="1" applyProtection="1">
      <alignment horizontal="center" vertical="center" shrinkToFit="1"/>
    </xf>
    <xf numFmtId="0" fontId="23" fillId="3" borderId="132" xfId="0" applyFont="1" applyFill="1" applyBorder="1" applyAlignment="1" applyProtection="1">
      <alignment horizontal="center" vertical="center" shrinkToFit="1"/>
    </xf>
    <xf numFmtId="0" fontId="23" fillId="3" borderId="133" xfId="0" applyFont="1" applyFill="1" applyBorder="1" applyAlignment="1" applyProtection="1">
      <alignment horizontal="center" vertical="center" shrinkToFit="1"/>
    </xf>
    <xf numFmtId="0" fontId="23" fillId="3" borderId="134" xfId="0" applyFont="1" applyFill="1" applyBorder="1" applyAlignment="1" applyProtection="1">
      <alignment horizontal="center" vertical="center" shrinkToFit="1"/>
    </xf>
    <xf numFmtId="0" fontId="23" fillId="3" borderId="135" xfId="0" applyFont="1" applyFill="1" applyBorder="1" applyAlignment="1" applyProtection="1">
      <alignment horizontal="center" vertical="center" shrinkToFit="1"/>
    </xf>
    <xf numFmtId="0" fontId="23" fillId="3" borderId="130" xfId="0" applyFont="1" applyFill="1" applyBorder="1" applyAlignment="1" applyProtection="1">
      <alignment horizontal="center" vertical="center"/>
    </xf>
    <xf numFmtId="0" fontId="23" fillId="3" borderId="131" xfId="0" applyFont="1" applyFill="1" applyBorder="1" applyAlignment="1" applyProtection="1">
      <alignment horizontal="center" vertical="center"/>
    </xf>
    <xf numFmtId="0" fontId="23" fillId="3" borderId="132" xfId="0" applyFont="1" applyFill="1" applyBorder="1" applyAlignment="1" applyProtection="1">
      <alignment horizontal="center" vertical="center"/>
    </xf>
    <xf numFmtId="0" fontId="37" fillId="2" borderId="13" xfId="0" applyFont="1" applyFill="1" applyBorder="1" applyAlignment="1" applyProtection="1">
      <alignment horizontal="left" vertical="center"/>
    </xf>
    <xf numFmtId="0" fontId="37" fillId="2" borderId="3" xfId="0" applyFont="1" applyFill="1" applyBorder="1" applyAlignment="1" applyProtection="1">
      <alignment horizontal="left" vertical="center"/>
    </xf>
    <xf numFmtId="0" fontId="37" fillId="2" borderId="10" xfId="0" applyFont="1" applyFill="1" applyBorder="1" applyAlignment="1" applyProtection="1">
      <alignment horizontal="left" vertical="center"/>
    </xf>
    <xf numFmtId="9" fontId="16" fillId="4" borderId="8" xfId="3" applyFont="1" applyFill="1" applyBorder="1" applyAlignment="1" applyProtection="1">
      <alignment horizontal="left" vertical="center"/>
      <protection locked="0"/>
    </xf>
    <xf numFmtId="9" fontId="16" fillId="4" borderId="5" xfId="3" applyFont="1" applyFill="1" applyBorder="1" applyAlignment="1" applyProtection="1">
      <alignment horizontal="left" vertical="center"/>
      <protection locked="0"/>
    </xf>
    <xf numFmtId="9" fontId="16" fillId="4" borderId="9" xfId="3" applyFont="1" applyFill="1" applyBorder="1" applyAlignment="1" applyProtection="1">
      <alignment horizontal="left" vertical="center"/>
      <protection locked="0"/>
    </xf>
    <xf numFmtId="0" fontId="39" fillId="0" borderId="7" xfId="0" applyFont="1" applyBorder="1" applyAlignment="1" applyProtection="1">
      <alignment horizontal="center" vertical="center"/>
    </xf>
    <xf numFmtId="0" fontId="72" fillId="14" borderId="0" xfId="0" applyFont="1" applyFill="1" applyAlignment="1">
      <alignment horizontal="center"/>
    </xf>
    <xf numFmtId="0" fontId="73" fillId="14" borderId="0" xfId="0" applyFont="1" applyFill="1" applyAlignment="1">
      <alignment horizontal="center" vertical="center"/>
    </xf>
    <xf numFmtId="0" fontId="73" fillId="14" borderId="5" xfId="0" applyFont="1" applyFill="1" applyBorder="1" applyAlignment="1">
      <alignment horizontal="center" vertical="center"/>
    </xf>
    <xf numFmtId="0" fontId="73" fillId="14" borderId="92" xfId="0" applyFont="1" applyFill="1" applyBorder="1" applyAlignment="1">
      <alignment horizontal="center" vertical="center"/>
    </xf>
    <xf numFmtId="0" fontId="73" fillId="14" borderId="93" xfId="0" applyFont="1" applyFill="1" applyBorder="1" applyAlignment="1">
      <alignment horizontal="center" vertical="center"/>
    </xf>
  </cellXfs>
  <cellStyles count="5">
    <cellStyle name="Hiperlink" xfId="4" builtinId="8"/>
    <cellStyle name="Moeda" xfId="1" builtinId="4"/>
    <cellStyle name="Moeda 2" xfId="2"/>
    <cellStyle name="Normal" xfId="0" builtinId="0"/>
    <cellStyle name="Porcentagem" xfId="3" builtinId="5"/>
  </cellStyles>
  <dxfs count="190">
    <dxf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auto="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FF000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</dxf>
    <dxf>
      <font>
        <b/>
        <i val="0"/>
        <color auto="1"/>
      </font>
      <fill>
        <patternFill patternType="solid">
          <bgColor theme="0" tint="-4.9989318521683403E-2"/>
        </patternFill>
      </fill>
    </dxf>
    <dxf>
      <font>
        <b/>
        <i val="0"/>
        <color auto="1"/>
      </font>
      <fill>
        <patternFill patternType="solid">
          <bgColor theme="0" tint="-4.9989318521683403E-2"/>
        </patternFill>
      </fill>
    </dxf>
    <dxf>
      <font>
        <b/>
        <i val="0"/>
        <color auto="1"/>
      </font>
      <fill>
        <patternFill patternType="solid">
          <bgColor theme="0" tint="-4.9989318521683403E-2"/>
        </patternFill>
      </fill>
    </dxf>
    <dxf>
      <font>
        <b/>
        <i val="0"/>
        <color auto="1"/>
      </font>
      <fill>
        <patternFill patternType="solid"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CC"/>
        </patternFill>
      </fill>
    </dxf>
    <dxf>
      <font>
        <b/>
        <i val="0"/>
        <strike val="0"/>
      </font>
      <fill>
        <patternFill>
          <bgColor rgb="FFFFFFCC"/>
        </patternFill>
      </fill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00FF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00FF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CC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CC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</border>
    </dxf>
    <dxf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  <border>
        <left style="hair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hair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-0.499984740745262"/>
      </font>
    </dxf>
    <dxf>
      <font>
        <b/>
        <i val="0"/>
        <color rgb="FF0000FF"/>
      </font>
      <fill>
        <patternFill>
          <bgColor theme="0" tint="-0.14996795556505021"/>
        </patternFill>
      </fill>
      <border>
        <left style="hair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</dxfs>
  <tableStyles count="1" defaultTableStyle="TableStyleMedium9" defaultPivotStyle="PivotStyleLight16">
    <tableStyle name="CUSTO_TOTAL2" pivot="0" count="0"/>
  </tableStyles>
  <colors>
    <mruColors>
      <color rgb="FFCCFFCC"/>
      <color rgb="FF99FF99"/>
      <color rgb="FF0000FF"/>
      <color rgb="FFFFFFCC"/>
      <color rgb="FFFFFF99"/>
      <color rgb="FFFFFF66"/>
      <color rgb="FFFF99FF"/>
      <color rgb="FFFFC7CE"/>
      <color rgb="FF4D4D4D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874001231867124"/>
          <c:y val="0.11406432138243913"/>
          <c:w val="0.27289628953125333"/>
          <c:h val="0.79062618143725782"/>
        </c:manualLayout>
      </c:layout>
      <c:doughnutChart>
        <c:varyColors val="1"/>
        <c:ser>
          <c:idx val="0"/>
          <c:order val="0"/>
          <c:explosion val="9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E27-48E8-AD6A-73DA71F3BB1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8E27-48E8-AD6A-73DA71F3BB1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8E27-48E8-AD6A-73DA71F3BB1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8E27-48E8-AD6A-73DA71F3BB12}"/>
              </c:ext>
            </c:extLst>
          </c:dPt>
          <c:dLbls>
            <c:dLbl>
              <c:idx val="0"/>
              <c:layout>
                <c:manualLayout>
                  <c:x val="-0.29157646844398416"/>
                  <c:y val="-2.274529505346588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1" i="0" u="none" strike="noStrike" kern="1200" baseline="0">
                        <a:solidFill>
                          <a:schemeClr val="bg1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defRPr>
                    </a:pPr>
                    <a:fld id="{90711801-DCDE-46E1-AF27-BE392D0474D4}" type="CELLRAN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[CELLRANGE]</a:t>
                    </a:fld>
                    <a:r>
                      <a:rPr lang="en-US" baseline="0"/>
                      <a:t>
</a:t>
                    </a:r>
                    <a:fld id="{181765B3-B1F4-4112-B199-5D8CC65D24EE}" type="CATEGORYNAM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[NOME DA CATEGORIA]</a:t>
                    </a:fld>
                    <a:r>
                      <a:rPr lang="en-US" baseline="0"/>
                      <a:t>
</a:t>
                    </a:r>
                    <a:fld id="{88745F45-709D-4FD0-BC75-ECFFE8F1FCF2}" type="PERCENTA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bg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864207488420071"/>
                      <c:h val="0.3033630332313784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E27-48E8-AD6A-73DA71F3BB12}"/>
                </c:ext>
              </c:extLst>
            </c:dLbl>
            <c:dLbl>
              <c:idx val="1"/>
              <c:layout>
                <c:manualLayout>
                  <c:x val="-0.31348962887485771"/>
                  <c:y val="-1.563997616127586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1" i="0" u="none" strike="noStrike" kern="1200" baseline="0">
                        <a:solidFill>
                          <a:schemeClr val="bg1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defRPr>
                    </a:pPr>
                    <a:fld id="{F7E36B29-5D6A-4136-936F-B806F9AAA02C}" type="CELLRAN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[CELLRANGE]</a:t>
                    </a:fld>
                    <a:r>
                      <a:rPr lang="en-US" baseline="0"/>
                      <a:t>
</a:t>
                    </a:r>
                    <a:fld id="{A25E4FED-A690-4A0F-BA4E-9CCE345BAEBA}" type="CATEGORYNAM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[NOME DA CATEGORIA]</a:t>
                    </a:fld>
                    <a:r>
                      <a:rPr lang="en-US" baseline="0"/>
                      <a:t>
</a:t>
                    </a:r>
                    <a:fld id="{507CB94B-008F-4EF9-9DB8-A6AFDCB25A6B}" type="PERCENTA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bg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864207488420071"/>
                      <c:h val="0.30320492929651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E27-48E8-AD6A-73DA71F3BB12}"/>
                </c:ext>
              </c:extLst>
            </c:dLbl>
            <c:dLbl>
              <c:idx val="2"/>
              <c:layout>
                <c:manualLayout>
                  <c:x val="0.3157491906144862"/>
                  <c:y val="-0.12004275209204505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1" i="0" u="none" strike="noStrike" kern="1200" baseline="0">
                        <a:solidFill>
                          <a:schemeClr val="bg1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defRPr>
                    </a:pPr>
                    <a:fld id="{811A2D30-58E4-4036-A9EE-89BD95CA9DA9}" type="CELLRAN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[CELLRANGE]</a:t>
                    </a:fld>
                    <a:r>
                      <a:rPr lang="en-US" baseline="0"/>
                      <a:t>
</a:t>
                    </a:r>
                    <a:fld id="{137A0231-C701-454A-BC38-063303CDCAEC}" type="CATEGORYNAM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[NOME DA CATEGORIA]</a:t>
                    </a:fld>
                    <a:r>
                      <a:rPr lang="en-US" baseline="0"/>
                      <a:t>
</a:t>
                    </a:r>
                    <a:fld id="{51C28F2D-3A30-4ECE-B1A7-60192A5C6BFA}" type="PERCENTA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bg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864207488420071"/>
                      <c:h val="0.30320492929651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E27-48E8-AD6A-73DA71F3BB12}"/>
                </c:ext>
              </c:extLst>
            </c:dLbl>
            <c:dLbl>
              <c:idx val="3"/>
              <c:layout>
                <c:manualLayout>
                  <c:x val="0.29674994696108831"/>
                  <c:y val="0.3191247348111155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1" i="0" u="none" strike="noStrike" kern="1200" baseline="0">
                        <a:solidFill>
                          <a:schemeClr val="bg1"/>
                        </a:solidFill>
                        <a:latin typeface="Calibri" panose="020F0502020204030204" pitchFamily="34" charset="0"/>
                        <a:ea typeface="Calibri" panose="020F0502020204030204" pitchFamily="34" charset="0"/>
                        <a:cs typeface="Calibri" panose="020F0502020204030204" pitchFamily="34" charset="0"/>
                      </a:defRPr>
                    </a:pPr>
                    <a:fld id="{303024DA-102E-483E-B7CE-39628317AA1A}" type="CELLRAN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[CELLRANGE]</a:t>
                    </a:fld>
                    <a:r>
                      <a:rPr lang="en-US" baseline="0"/>
                      <a:t>
</a:t>
                    </a:r>
                    <a:fld id="{D6F7BA5E-E210-45C4-885F-8B0A04C47002}" type="CATEGORYNAM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[NOME DA CATEGORIA]</a:t>
                    </a:fld>
                    <a:r>
                      <a:rPr lang="en-US" baseline="0"/>
                      <a:t>
</a:t>
                    </a:r>
                    <a:fld id="{6FEF9B38-C0F5-4196-8341-28AF2C8E010B}" type="PERCENTAGE">
                      <a:rPr lang="en-US" baseline="0"/>
                      <a:pPr>
                        <a:defRPr sz="1050" b="1">
                          <a:solidFill>
                            <a:schemeClr val="bg1"/>
                          </a:solidFill>
                          <a:latin typeface="Calibri" panose="020F0502020204030204" pitchFamily="34" charset="0"/>
                          <a:ea typeface="Calibri" panose="020F0502020204030204" pitchFamily="34" charset="0"/>
                          <a:cs typeface="Calibri" panose="020F0502020204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chemeClr val="bg1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864207488420071"/>
                      <c:h val="0.303329186512755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8E27-48E8-AD6A-73DA71F3BB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bg1"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RELATÓRIO!$S$14:$S$18</c15:sqref>
                  </c15:fullRef>
                </c:ext>
              </c:extLst>
              <c:f>RELATÓRIO!$S$14:$S$17</c:f>
              <c:strCache>
                <c:ptCount val="4"/>
                <c:pt idx="0">
                  <c:v>PESSOAL</c:v>
                </c:pt>
                <c:pt idx="1">
                  <c:v>MATERIAL DE CONSUMO</c:v>
                </c:pt>
                <c:pt idx="2">
                  <c:v>SERVIÇOS DE TERCEIROS</c:v>
                </c:pt>
                <c:pt idx="3">
                  <c:v>DESPESAS GERAIS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RELATÓRIO!$T$14:$T$18</c15:sqref>
                  </c15:fullRef>
                </c:ext>
              </c:extLst>
              <c:f>RELATÓRIO!$T$14:$T$17</c:f>
              <c:numCache>
                <c:formatCode>_-[$R$-416]\ * #.##000_-;\-[$R$-416]\ * #.##000_-;_-[$R$-416]\ * "-"??_-;_-@_-</c:formatCode>
                <c:ptCount val="4"/>
                <c:pt idx="0">
                  <c:v>1706408.8574999999</c:v>
                </c:pt>
                <c:pt idx="1">
                  <c:v>60516.627500000002</c:v>
                </c:pt>
                <c:pt idx="2">
                  <c:v>63732.680000000008</c:v>
                </c:pt>
                <c:pt idx="3">
                  <c:v>16436.702499999999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(RELATÓRIO!$T$14:$T$17,RELATÓRIO!$U$14:$U$17)</c15:f>
                <c15:dlblRangeCache>
                  <c:ptCount val="8"/>
                  <c:pt idx="0">
                    <c:v> R$ 1.706.408,86 </c:v>
                  </c:pt>
                  <c:pt idx="1">
                    <c:v> R$ 60.516,63 </c:v>
                  </c:pt>
                  <c:pt idx="2">
                    <c:v> R$ 63.732,68 </c:v>
                  </c:pt>
                  <c:pt idx="3">
                    <c:v> R$ 16.436,70 </c:v>
                  </c:pt>
                  <c:pt idx="4">
                    <c:v>92,38%</c:v>
                  </c:pt>
                  <c:pt idx="5">
                    <c:v>3,28%</c:v>
                  </c:pt>
                  <c:pt idx="6">
                    <c:v>3,45%</c:v>
                  </c:pt>
                  <c:pt idx="7">
                    <c:v>0,89%</c:v>
                  </c:pt>
                </c15:dlblRangeCache>
              </c15:datalabelsRange>
            </c:ext>
            <c:ext xmlns:c15="http://schemas.microsoft.com/office/drawing/2012/chart" uri="{02D57815-91ED-43cb-92C2-25804820EDAC}">
              <c15:categoryFilterExceptions>
                <c15:categoryFilterException>
                  <c15:sqref>RELATÓRIO!$T$18</c15:sqref>
                  <c15:bubble3D val="0"/>
                  <c15:dLbl>
                    <c:idx val="3"/>
                    <c:layout>
                      <c:manualLayout>
                        <c:x val="0.28465051080007647"/>
                        <c:y val="0.31728700391810361"/>
                      </c:manualLayout>
                    </c:layout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dlblFieldTable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8-201B-45B5-A9CF-790508DB9E42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8E27-48E8-AD6A-73DA71F3BB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7"/>
        <c:holeSize val="45"/>
      </c:doughnutChart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RELATÓRIO!$G$97</c:f>
          <c:strCache>
            <c:ptCount val="1"/>
            <c:pt idx="0">
              <c:v>PRODUÇÃO e CUSTO MÉDIO de:  AMBULATÓRIO DE ESTOMIAS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RELATÓRIO!$D$99</c:f>
              <c:strCache>
                <c:ptCount val="1"/>
                <c:pt idx="0">
                  <c:v>Produção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RELATÓRIO!$E$99:$H$99</c:f>
              <c:numCache>
                <c:formatCode>General</c:formatCode>
                <c:ptCount val="4"/>
                <c:pt idx="0">
                  <c:v>74</c:v>
                </c:pt>
                <c:pt idx="1">
                  <c:v>31</c:v>
                </c:pt>
                <c:pt idx="2">
                  <c:v>78</c:v>
                </c:pt>
                <c:pt idx="3">
                  <c:v>90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RELATÓRIO!$E$98:$H$98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9D7-4EB4-AD95-A620C236A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240968"/>
        <c:axId val="346240584"/>
      </c:barChart>
      <c:lineChart>
        <c:grouping val="stacked"/>
        <c:varyColors val="0"/>
        <c:ser>
          <c:idx val="0"/>
          <c:order val="0"/>
          <c:tx>
            <c:strRef>
              <c:f>RELATÓRIO!$D$100</c:f>
              <c:strCache>
                <c:ptCount val="1"/>
                <c:pt idx="0">
                  <c:v>Custo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val>
            <c:numRef>
              <c:f>RELATÓRIO!$E$100:$H$100</c:f>
              <c:numCache>
                <c:formatCode>_("R$"* #,##0.00_);_("R$"* \(#,##0.00\);_("R$"* "-"??_);_(@_)</c:formatCode>
                <c:ptCount val="4"/>
                <c:pt idx="0">
                  <c:v>546.98</c:v>
                </c:pt>
                <c:pt idx="1">
                  <c:v>909.85</c:v>
                </c:pt>
                <c:pt idx="2">
                  <c:v>463.72</c:v>
                </c:pt>
                <c:pt idx="3">
                  <c:v>536.51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RELATÓRIO!$E$98:$H$98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9D7-4EB4-AD95-A620C236A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65720"/>
        <c:axId val="346240200"/>
      </c:lineChart>
      <c:catAx>
        <c:axId val="34556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200"/>
        <c:crosses val="autoZero"/>
        <c:auto val="1"/>
        <c:lblAlgn val="ctr"/>
        <c:lblOffset val="100"/>
        <c:noMultiLvlLbl val="0"/>
      </c:catAx>
      <c:valAx>
        <c:axId val="34624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565720"/>
        <c:crosses val="autoZero"/>
        <c:crossBetween val="between"/>
      </c:valAx>
      <c:valAx>
        <c:axId val="34624058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968"/>
        <c:crosses val="max"/>
        <c:crossBetween val="between"/>
      </c:valAx>
      <c:catAx>
        <c:axId val="346240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462405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1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RELATÓRIO!$D$113</c:f>
          <c:strCache>
            <c:ptCount val="1"/>
            <c:pt idx="0">
              <c:v>PRODUÇÃO e CUSTO MÉDIO de:  AMBULATÓRIO DE GERIATRIA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RELATÓRIO!$D$115</c:f>
              <c:strCache>
                <c:ptCount val="1"/>
                <c:pt idx="0">
                  <c:v>Produção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RELATÓRIO!$E$115:$H$115</c:f>
              <c:numCache>
                <c:formatCode>General</c:formatCode>
                <c:ptCount val="4"/>
                <c:pt idx="0">
                  <c:v>108</c:v>
                </c:pt>
                <c:pt idx="1">
                  <c:v>322</c:v>
                </c:pt>
                <c:pt idx="2">
                  <c:v>318</c:v>
                </c:pt>
                <c:pt idx="3">
                  <c:v>303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RELATÓRIO!$E$98:$H$98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008-43B9-A4B5-DBCDDBBA7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210568"/>
        <c:axId val="342210176"/>
      </c:barChart>
      <c:lineChart>
        <c:grouping val="stacked"/>
        <c:varyColors val="0"/>
        <c:ser>
          <c:idx val="0"/>
          <c:order val="0"/>
          <c:tx>
            <c:strRef>
              <c:f>RELATÓRIO!$D$116</c:f>
              <c:strCache>
                <c:ptCount val="1"/>
                <c:pt idx="0">
                  <c:v>Custo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val>
            <c:numRef>
              <c:f>RELATÓRIO!$E$116:$H$116</c:f>
              <c:numCache>
                <c:formatCode>_("R$"* #,##0.00_);_("R$"* \(#,##0.00\);_("R$"* "-"??_);_(@_)</c:formatCode>
                <c:ptCount val="4"/>
                <c:pt idx="0">
                  <c:v>962.36</c:v>
                </c:pt>
                <c:pt idx="1">
                  <c:v>323.63</c:v>
                </c:pt>
                <c:pt idx="2">
                  <c:v>335.55</c:v>
                </c:pt>
                <c:pt idx="3">
                  <c:v>341.91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RELATÓRIO!$E$98:$H$98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008-43B9-A4B5-DBCDDBBA7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09392"/>
        <c:axId val="342209784"/>
      </c:lineChart>
      <c:catAx>
        <c:axId val="34220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209784"/>
        <c:crosses val="autoZero"/>
        <c:auto val="1"/>
        <c:lblAlgn val="ctr"/>
        <c:lblOffset val="100"/>
        <c:noMultiLvlLbl val="0"/>
      </c:catAx>
      <c:valAx>
        <c:axId val="342209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209392"/>
        <c:crosses val="autoZero"/>
        <c:crossBetween val="between"/>
      </c:valAx>
      <c:valAx>
        <c:axId val="3422101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2210568"/>
        <c:crosses val="max"/>
        <c:crossBetween val="between"/>
      </c:valAx>
      <c:catAx>
        <c:axId val="3422105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4221017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1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RELATÓRIO!$D$146</c:f>
          <c:strCache>
            <c:ptCount val="1"/>
            <c:pt idx="0">
              <c:v>PRODUÇÃO e do CUSTO MÉDIO de:  AMBULATÓRIO DE GINECOLOGIA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433147925891102"/>
          <c:y val="0.18398917012242472"/>
          <c:w val="0.85064085243627896"/>
          <c:h val="0.62996059609760935"/>
        </c:manualLayout>
      </c:layout>
      <c:barChart>
        <c:barDir val="col"/>
        <c:grouping val="clustered"/>
        <c:varyColors val="0"/>
        <c:ser>
          <c:idx val="1"/>
          <c:order val="1"/>
          <c:tx>
            <c:v>Produção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RELATÓRIO!$E$148:$H$148</c:f>
              <c:numCache>
                <c:formatCode>General</c:formatCode>
                <c:ptCount val="4"/>
                <c:pt idx="0">
                  <c:v>0</c:v>
                </c:pt>
                <c:pt idx="1">
                  <c:v>89</c:v>
                </c:pt>
                <c:pt idx="2">
                  <c:v>0</c:v>
                </c:pt>
                <c:pt idx="3">
                  <c:v>93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RELATÓRIO!$E$147:$H$147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B0B-4FCB-A59F-FE3836C94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240968"/>
        <c:axId val="346240584"/>
      </c:barChart>
      <c:lineChart>
        <c:grouping val="stacked"/>
        <c:varyColors val="0"/>
        <c:ser>
          <c:idx val="0"/>
          <c:order val="0"/>
          <c:tx>
            <c:v>Custo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val>
            <c:numRef>
              <c:f>RELATÓRIO!$E$149:$H$149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365.51</c:v>
                </c:pt>
                <c:pt idx="2">
                  <c:v>0</c:v>
                </c:pt>
                <c:pt idx="3">
                  <c:v>393.65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RELATÓRIO!$E$147:$H$147</c15:sqref>
                        </c15:formulaRef>
                      </c:ext>
                    </c:extLst>
                    <c:strCache>
                      <c:ptCount val="4"/>
                      <c:pt idx="0">
                        <c:v>JAN-25</c:v>
                      </c:pt>
                      <c:pt idx="1">
                        <c:v>FEV-25</c:v>
                      </c:pt>
                      <c:pt idx="2">
                        <c:v>MAR-25</c:v>
                      </c:pt>
                      <c:pt idx="3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B0B-4FCB-A59F-FE3836C94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65720"/>
        <c:axId val="346240200"/>
      </c:lineChart>
      <c:catAx>
        <c:axId val="34556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200"/>
        <c:crosses val="autoZero"/>
        <c:auto val="1"/>
        <c:lblAlgn val="ctr"/>
        <c:lblOffset val="100"/>
        <c:noMultiLvlLbl val="0"/>
      </c:catAx>
      <c:valAx>
        <c:axId val="34624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565720"/>
        <c:crosses val="autoZero"/>
        <c:crossBetween val="between"/>
      </c:valAx>
      <c:valAx>
        <c:axId val="34624058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968"/>
        <c:crosses val="max"/>
        <c:crossBetween val="between"/>
      </c:valAx>
      <c:catAx>
        <c:axId val="346240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462405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1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RELATÓRIO!$D$161</c:f>
          <c:strCache>
            <c:ptCount val="1"/>
            <c:pt idx="0">
              <c:v>PRODUÇÃO e CUSTO MÉDIO de:  AMBULATÓRIO DE GASTROENTEROLOGIA PEDIÁTRICA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433147925891102"/>
          <c:y val="0.18398917012242472"/>
          <c:w val="0.85064085243627896"/>
          <c:h val="0.62996059609760935"/>
        </c:manualLayout>
      </c:layout>
      <c:barChart>
        <c:barDir val="col"/>
        <c:grouping val="clustered"/>
        <c:varyColors val="0"/>
        <c:ser>
          <c:idx val="1"/>
          <c:order val="1"/>
          <c:tx>
            <c:v>Produção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RELATÓRIO!$E$162:$H$162</c:f>
              <c:strCache>
                <c:ptCount val="4"/>
                <c:pt idx="0">
                  <c:v>JAN-25</c:v>
                </c:pt>
                <c:pt idx="1">
                  <c:v>FEV-25</c:v>
                </c:pt>
                <c:pt idx="2">
                  <c:v>MAR-25</c:v>
                </c:pt>
                <c:pt idx="3">
                  <c:v>ABR-25</c:v>
                </c:pt>
              </c:strCache>
            </c:strRef>
          </c:cat>
          <c:val>
            <c:numRef>
              <c:f>RELATÓRIO!$E$163:$H$163</c:f>
              <c:numCache>
                <c:formatCode>General</c:formatCode>
                <c:ptCount val="4"/>
                <c:pt idx="0">
                  <c:v>24</c:v>
                </c:pt>
                <c:pt idx="1">
                  <c:v>38</c:v>
                </c:pt>
                <c:pt idx="2">
                  <c:v>29</c:v>
                </c:pt>
                <c:pt idx="3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40-40C5-B45C-461C85BFC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240968"/>
        <c:axId val="346240584"/>
      </c:barChart>
      <c:lineChart>
        <c:grouping val="stacked"/>
        <c:varyColors val="0"/>
        <c:ser>
          <c:idx val="0"/>
          <c:order val="0"/>
          <c:tx>
            <c:v>Custo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RELATÓRIO!$E$147:$H$147</c:f>
              <c:strCache>
                <c:ptCount val="4"/>
                <c:pt idx="0">
                  <c:v>JAN-25</c:v>
                </c:pt>
                <c:pt idx="1">
                  <c:v>FEV-25</c:v>
                </c:pt>
                <c:pt idx="2">
                  <c:v>MAR-25</c:v>
                </c:pt>
                <c:pt idx="3">
                  <c:v>ABR-25</c:v>
                </c:pt>
              </c:strCache>
            </c:strRef>
          </c:cat>
          <c:val>
            <c:numRef>
              <c:f>RELATÓRIO!$E$164:$H$164</c:f>
              <c:numCache>
                <c:formatCode>_("R$"* #,##0.00_);_("R$"* \(#,##0.00\);_("R$"* "-"??_);_(@_)</c:formatCode>
                <c:ptCount val="4"/>
                <c:pt idx="0">
                  <c:v>892.55</c:v>
                </c:pt>
                <c:pt idx="1">
                  <c:v>568.04999999999995</c:v>
                </c:pt>
                <c:pt idx="2">
                  <c:v>752.3</c:v>
                </c:pt>
                <c:pt idx="3">
                  <c:v>567.66999999999996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40-40C5-B45C-461C85BFC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565720"/>
        <c:axId val="346240200"/>
      </c:lineChart>
      <c:catAx>
        <c:axId val="345565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200"/>
        <c:crosses val="autoZero"/>
        <c:auto val="1"/>
        <c:lblAlgn val="ctr"/>
        <c:lblOffset val="100"/>
        <c:noMultiLvlLbl val="0"/>
      </c:catAx>
      <c:valAx>
        <c:axId val="34624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5565720"/>
        <c:crosses val="autoZero"/>
        <c:crossBetween val="between"/>
      </c:valAx>
      <c:valAx>
        <c:axId val="34624058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40968"/>
        <c:crosses val="max"/>
        <c:crossBetween val="between"/>
      </c:valAx>
      <c:catAx>
        <c:axId val="346240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462405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1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RELATÓRIO!$B$81</c:f>
          <c:strCache>
            <c:ptCount val="1"/>
            <c:pt idx="0">
              <c:v>REMUNERAÇÃO A PESSOAL - ESTATUTÁRIO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RELATÓRIO!$B$83</c:f>
              <c:strCache>
                <c:ptCount val="1"/>
                <c:pt idx="0">
                  <c:v>Remuneração a Pessoal - Estatutário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RELATÓRIO!$C$82:$F$82</c:f>
              <c:strCache>
                <c:ptCount val="4"/>
                <c:pt idx="0">
                  <c:v>JAN/25</c:v>
                </c:pt>
                <c:pt idx="1">
                  <c:v>FEV/25</c:v>
                </c:pt>
                <c:pt idx="2">
                  <c:v>MAR/25</c:v>
                </c:pt>
                <c:pt idx="3">
                  <c:v>ABR/25</c:v>
                </c:pt>
              </c:strCache>
            </c:strRef>
          </c:cat>
          <c:val>
            <c:numRef>
              <c:f>RELATÓRIO!$C$83:$F$83</c:f>
              <c:numCache>
                <c:formatCode>"R$"\ #,##0.00</c:formatCode>
                <c:ptCount val="4"/>
                <c:pt idx="0">
                  <c:v>1247234.8700000001</c:v>
                </c:pt>
                <c:pt idx="1">
                  <c:v>1207439.96</c:v>
                </c:pt>
                <c:pt idx="2">
                  <c:v>1219203.98</c:v>
                </c:pt>
                <c:pt idx="3">
                  <c:v>1205392.06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C4-4C32-BD7F-601BE22F9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82528"/>
        <c:axId val="2058294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RELATÓRIO!$B$84</c15:sqref>
                        </c15:formulaRef>
                      </c:ext>
                    </c:extLst>
                    <c:strCache>
                      <c:ptCount val="1"/>
                      <c:pt idx="0">
                        <c:v>Remuneração a Pessoal - Estatutário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RELATÓRIO!$C$82:$F$82</c15:sqref>
                        </c15:formulaRef>
                      </c:ext>
                    </c:extLst>
                    <c:strCache>
                      <c:ptCount val="4"/>
                      <c:pt idx="0">
                        <c:v>JAN/25</c:v>
                      </c:pt>
                      <c:pt idx="1">
                        <c:v>FEV/25</c:v>
                      </c:pt>
                      <c:pt idx="2">
                        <c:v>MAR/25</c:v>
                      </c:pt>
                      <c:pt idx="3">
                        <c:v>ABR/25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RELATÓRIO!$C$84:$F$84</c15:sqref>
                        </c15:formulaRef>
                      </c:ext>
                    </c:extLst>
                    <c:numCache>
                      <c:formatCode>General</c:formatCode>
                      <c:ptCount val="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4C4-4C32-BD7F-601BE22F93D5}"/>
                  </c:ext>
                </c:extLst>
              </c15:ser>
            </c15:filteredLineSeries>
          </c:ext>
        </c:extLst>
      </c:lineChart>
      <c:catAx>
        <c:axId val="2058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944"/>
        <c:crosses val="autoZero"/>
        <c:auto val="1"/>
        <c:lblAlgn val="ctr"/>
        <c:lblOffset val="100"/>
        <c:noMultiLvlLbl val="0"/>
      </c:catAx>
      <c:valAx>
        <c:axId val="2058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RELATÓRIO!$H$81</c:f>
          <c:strCache>
            <c:ptCount val="1"/>
            <c:pt idx="0">
              <c:v>MATERIAL PARA REABILITAÇÃO (ÓRTESES, PRÓTESES E MATERIAIS ESPECIAIS - OPME)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RELATÓRIO!$H$83</c:f>
              <c:strCache>
                <c:ptCount val="1"/>
                <c:pt idx="0">
                  <c:v>Material para Reabilitação (Órteses, próteses e materiais especiais - OPME)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RELATÓRIO!$I$82:$L$82</c:f>
              <c:strCache>
                <c:ptCount val="4"/>
                <c:pt idx="0">
                  <c:v>JAN/25</c:v>
                </c:pt>
                <c:pt idx="1">
                  <c:v>FEV/25</c:v>
                </c:pt>
                <c:pt idx="2">
                  <c:v>MAR/25</c:v>
                </c:pt>
                <c:pt idx="3">
                  <c:v>ABR/25</c:v>
                </c:pt>
              </c:strCache>
            </c:strRef>
          </c:cat>
          <c:val>
            <c:numRef>
              <c:f>RELATÓRIO!$I$83:$L$83</c:f>
              <c:numCache>
                <c:formatCode>"R$"\ #,##0.00</c:formatCode>
                <c:ptCount val="4"/>
                <c:pt idx="0">
                  <c:v>17330.23</c:v>
                </c:pt>
                <c:pt idx="1">
                  <c:v>18039.669999999998</c:v>
                </c:pt>
                <c:pt idx="2">
                  <c:v>13901.03</c:v>
                </c:pt>
                <c:pt idx="3">
                  <c:v>29132.83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9-46DA-B262-909E5240B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82528"/>
        <c:axId val="20582944"/>
        <c:extLst/>
      </c:lineChart>
      <c:catAx>
        <c:axId val="2058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944"/>
        <c:crosses val="autoZero"/>
        <c:auto val="1"/>
        <c:lblAlgn val="ctr"/>
        <c:lblOffset val="100"/>
        <c:noMultiLvlLbl val="0"/>
      </c:catAx>
      <c:valAx>
        <c:axId val="2058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RELATÓRIO!$M$81</c:f>
          <c:strCache>
            <c:ptCount val="1"/>
            <c:pt idx="0">
              <c:v>SERVIÇOS DE ENERGIA ELÉTRICA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RELATÓRIO!$M$83</c:f>
              <c:strCache>
                <c:ptCount val="1"/>
                <c:pt idx="0">
                  <c:v>Serviços de Energia Elétrica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RELATÓRIO!$N$81:$Q$82</c:f>
              <c:strCache>
                <c:ptCount val="4"/>
                <c:pt idx="0">
                  <c:v>JAN/25</c:v>
                </c:pt>
                <c:pt idx="1">
                  <c:v>FEV/25</c:v>
                </c:pt>
                <c:pt idx="2">
                  <c:v>MAR/25</c:v>
                </c:pt>
                <c:pt idx="3">
                  <c:v>ABR/25</c:v>
                </c:pt>
              </c:strCache>
            </c:strRef>
          </c:cat>
          <c:val>
            <c:numRef>
              <c:f>RELATÓRIO!$N$83:$Q$83</c:f>
              <c:numCache>
                <c:formatCode>"R$"\ #,##0.00</c:formatCode>
                <c:ptCount val="4"/>
                <c:pt idx="0">
                  <c:v>10483.879999999999</c:v>
                </c:pt>
                <c:pt idx="1">
                  <c:v>11139.91</c:v>
                </c:pt>
                <c:pt idx="2">
                  <c:v>9615.49</c:v>
                </c:pt>
                <c:pt idx="3">
                  <c:v>10267.08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E-4F65-BB41-9F076EA5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82528"/>
        <c:axId val="20582944"/>
        <c:extLst/>
      </c:lineChart>
      <c:catAx>
        <c:axId val="2058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944"/>
        <c:crosses val="autoZero"/>
        <c:auto val="1"/>
        <c:lblAlgn val="ctr"/>
        <c:lblOffset val="100"/>
        <c:noMultiLvlLbl val="0"/>
      </c:catAx>
      <c:valAx>
        <c:axId val="2058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82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VARIAÇÃO!$J$3</c:f>
          <c:strCache>
            <c:ptCount val="1"/>
            <c:pt idx="0">
              <c:v>PRODUÇÃO:  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VARIAÇÃO!$K$5</c:f>
              <c:strCache>
                <c:ptCount val="1"/>
                <c:pt idx="0">
                  <c:v>PRODUÇÃO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VARIAÇÃO!$K$7:$K$9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VARIAÇÃO!$J$7:$J$9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984-4487-99DE-4CDB9A786259}"/>
            </c:ext>
          </c:extLst>
        </c:ser>
        <c:ser>
          <c:idx val="1"/>
          <c:order val="1"/>
          <c:tx>
            <c:strRef>
              <c:f>VARIAÇÃO!$L$5</c:f>
              <c:strCache>
                <c:ptCount val="1"/>
                <c:pt idx="0">
                  <c:v>DESVIO  PADRÃO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9525">
              <a:solidFill>
                <a:sysClr val="windowText" lastClr="000000"/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VARIAÇÃO!$J$7:$J$9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984-4487-99DE-4CDB9A7862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249215"/>
        <c:axId val="212256287"/>
      </c:barChart>
      <c:lineChart>
        <c:grouping val="standard"/>
        <c:varyColors val="0"/>
        <c:ser>
          <c:idx val="2"/>
          <c:order val="2"/>
          <c:tx>
            <c:strRef>
              <c:f>VARIAÇÃO!$M$5</c:f>
              <c:strCache>
                <c:ptCount val="1"/>
                <c:pt idx="0">
                  <c:v>VARIAÇÃO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numFmt formatCode="0%" sourceLinked="0"/>
            <c:spPr>
              <a:solidFill>
                <a:srgbClr val="FFFF6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VARIAÇÃO!$M$7:$M$9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VARIAÇÃO!$J$7:$J$9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6984-4487-99DE-4CDB9A7862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262111"/>
        <c:axId val="212243391"/>
      </c:lineChart>
      <c:catAx>
        <c:axId val="212249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56287"/>
        <c:crosses val="autoZero"/>
        <c:auto val="1"/>
        <c:lblAlgn val="ctr"/>
        <c:lblOffset val="100"/>
        <c:noMultiLvlLbl val="0"/>
      </c:catAx>
      <c:valAx>
        <c:axId val="21225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49215"/>
        <c:crosses val="autoZero"/>
        <c:crossBetween val="between"/>
      </c:valAx>
      <c:valAx>
        <c:axId val="212243391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62111"/>
        <c:crosses val="max"/>
        <c:crossBetween val="between"/>
      </c:valAx>
      <c:catAx>
        <c:axId val="212262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2243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VARIAÇÃO!$J$11</c:f>
          <c:strCache>
            <c:ptCount val="1"/>
            <c:pt idx="0">
              <c:v>CUSTO:  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VARIAÇÃO!$K$12</c:f>
              <c:strCache>
                <c:ptCount val="1"/>
                <c:pt idx="0">
                  <c:v>CUSTO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VARIAÇÃO!$K$14:$K$16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VARIAÇÃO!$J$14:$J$16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974-4673-AA6C-B6A220D7AEF2}"/>
            </c:ext>
          </c:extLst>
        </c:ser>
        <c:ser>
          <c:idx val="1"/>
          <c:order val="1"/>
          <c:tx>
            <c:strRef>
              <c:f>VARIAÇÃO!$L$12</c:f>
              <c:strCache>
                <c:ptCount val="1"/>
                <c:pt idx="0">
                  <c:v>DESVIO  PADRÃO 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VARIAÇÃO!$L$14:$L$16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VARIAÇÃO!$J$14:$J$16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974-4673-AA6C-B6A220D7AE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2249215"/>
        <c:axId val="212256287"/>
      </c:barChart>
      <c:lineChart>
        <c:grouping val="standard"/>
        <c:varyColors val="0"/>
        <c:ser>
          <c:idx val="2"/>
          <c:order val="2"/>
          <c:tx>
            <c:strRef>
              <c:f>VARIAÇÃO!$M$12</c:f>
              <c:strCache>
                <c:ptCount val="1"/>
                <c:pt idx="0">
                  <c:v>VARIAÇÃO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numFmt formatCode="0%" sourceLinked="0"/>
            <c:spPr>
              <a:solidFill>
                <a:srgbClr val="FFFF6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VARIAÇÃO!$M$14:$M$16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VARIAÇÃO!$J$14:$J$16</c15:sqref>
                        </c15:formulaRef>
                      </c:ext>
                    </c:extLst>
                    <c:strCache>
                      <c:ptCount val="3"/>
                      <c:pt idx="0">
                        <c:v>FEV-25</c:v>
                      </c:pt>
                      <c:pt idx="1">
                        <c:v>MAR-25</c:v>
                      </c:pt>
                      <c:pt idx="2">
                        <c:v>ABR-25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6-D974-4673-AA6C-B6A220D7AE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2270015"/>
        <c:axId val="212251711"/>
      </c:lineChart>
      <c:catAx>
        <c:axId val="212249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56287"/>
        <c:crosses val="autoZero"/>
        <c:auto val="1"/>
        <c:lblAlgn val="ctr"/>
        <c:lblOffset val="100"/>
        <c:noMultiLvlLbl val="0"/>
      </c:catAx>
      <c:valAx>
        <c:axId val="212256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49215"/>
        <c:crosses val="autoZero"/>
        <c:crossBetween val="between"/>
      </c:valAx>
      <c:valAx>
        <c:axId val="212251711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pt-BR"/>
          </a:p>
        </c:txPr>
        <c:crossAx val="212270015"/>
        <c:crosses val="max"/>
        <c:crossBetween val="between"/>
      </c:valAx>
      <c:catAx>
        <c:axId val="2122700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251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ORIENTA&#199;&#213;ES!A1"/><Relationship Id="rId4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4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ORIENTA&#199;&#213;ES!A1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148478</xdr:colOff>
      <xdr:row>1</xdr:row>
      <xdr:rowOff>101974</xdr:rowOff>
    </xdr:from>
    <xdr:to>
      <xdr:col>1</xdr:col>
      <xdr:colOff>168088</xdr:colOff>
      <xdr:row>2</xdr:row>
      <xdr:rowOff>123265</xdr:rowOff>
    </xdr:to>
    <xdr:sp macro="[0]!Voltar" textlink="">
      <xdr:nvSpPr>
        <xdr:cNvPr id="4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48478" y="101974"/>
          <a:ext cx="781610" cy="211791"/>
        </a:xfrm>
        <a:prstGeom prst="roundRect">
          <a:avLst/>
        </a:prstGeom>
        <a:ln>
          <a:solidFill>
            <a:schemeClr val="bg1">
              <a:lumMod val="8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INÍCIO</a:t>
          </a:r>
        </a:p>
      </xdr:txBody>
    </xdr:sp>
    <xdr:clientData fPrintsWithSheet="0"/>
  </xdr:twoCellAnchor>
  <xdr:twoCellAnchor editAs="oneCell">
    <xdr:from>
      <xdr:col>0</xdr:col>
      <xdr:colOff>76760</xdr:colOff>
      <xdr:row>3</xdr:row>
      <xdr:rowOff>45384</xdr:rowOff>
    </xdr:from>
    <xdr:to>
      <xdr:col>1</xdr:col>
      <xdr:colOff>238685</xdr:colOff>
      <xdr:row>7</xdr:row>
      <xdr:rowOff>131109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76760" y="426384"/>
          <a:ext cx="923925" cy="847725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1</xdr:row>
      <xdr:rowOff>178737</xdr:rowOff>
    </xdr:from>
    <xdr:to>
      <xdr:col>3</xdr:col>
      <xdr:colOff>132548</xdr:colOff>
      <xdr:row>7</xdr:row>
      <xdr:rowOff>55470</xdr:rowOff>
    </xdr:to>
    <xdr:pic>
      <xdr:nvPicPr>
        <xdr:cNvPr id="7" name="Imagem 6" descr="Category:Brasília | Logopedia | Fandom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150" y="178737"/>
          <a:ext cx="859809" cy="10197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269829</xdr:colOff>
      <xdr:row>1</xdr:row>
      <xdr:rowOff>66675</xdr:rowOff>
    </xdr:from>
    <xdr:to>
      <xdr:col>5</xdr:col>
      <xdr:colOff>696491</xdr:colOff>
      <xdr:row>7</xdr:row>
      <xdr:rowOff>107769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2611858" y="100293"/>
          <a:ext cx="1950662" cy="1184094"/>
          <a:chOff x="1163327" y="190500"/>
          <a:chExt cx="1950662" cy="1184094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59667" y="190500"/>
            <a:ext cx="1687480" cy="1031629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pt-BR" sz="60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GDF</a:t>
            </a:r>
          </a:p>
        </xdr:txBody>
      </xdr:sp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1163327" y="974911"/>
            <a:ext cx="1950662" cy="399683"/>
            <a:chOff x="1208151" y="1019735"/>
            <a:chExt cx="1950662" cy="399683"/>
          </a:xfrm>
        </xdr:grpSpPr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1221441" y="1019735"/>
              <a:ext cx="188346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/>
                <a:t>Goeverno do Distrito Federal</a:t>
              </a:r>
            </a:p>
          </xdr:txBody>
        </xdr:sp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1208151" y="1154858"/>
              <a:ext cx="19506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/>
                <a:t>Secretaria de Estado de Saúde</a:t>
              </a:r>
            </a:p>
          </xdr:txBody>
        </xdr:sp>
      </xdr:grpSp>
    </xdr:grpSp>
    <xdr:clientData/>
  </xdr:twoCellAnchor>
  <xdr:twoCellAnchor>
    <xdr:from>
      <xdr:col>1</xdr:col>
      <xdr:colOff>470647</xdr:colOff>
      <xdr:row>11</xdr:row>
      <xdr:rowOff>67236</xdr:rowOff>
    </xdr:from>
    <xdr:to>
      <xdr:col>10</xdr:col>
      <xdr:colOff>1860177</xdr:colOff>
      <xdr:row>17</xdr:row>
      <xdr:rowOff>49929</xdr:rowOff>
    </xdr:to>
    <xdr:sp macro="" textlink="">
      <xdr:nvSpPr>
        <xdr:cNvPr id="13" name="CaixaDeTexto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232647" y="1972236"/>
          <a:ext cx="8303559" cy="1125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>
            <a:spcAft>
              <a:spcPts val="0"/>
            </a:spcAft>
          </a:pPr>
          <a:r>
            <a:rPr lang="pt-BR" sz="1100" b="1">
              <a:solidFill>
                <a:srgbClr val="000000"/>
              </a:solidFill>
              <a:effectLst/>
              <a:ea typeface="Times New Roman" panose="02020603050405020304" pitchFamily="18" charset="0"/>
              <a:cs typeface="Times New Roman" panose="02020603050405020304" pitchFamily="18" charset="0"/>
            </a:rPr>
            <a:t>PROJETO – RELATÓRIO GERENCIAL DE CUSTOS </a:t>
          </a:r>
          <a:endParaRPr lang="pt-BR" sz="1200" b="1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>
            <a:spcAft>
              <a:spcPts val="0"/>
            </a:spcAft>
          </a:pPr>
          <a:r>
            <a:rPr lang="pt-BR" sz="1100">
              <a:solidFill>
                <a:srgbClr val="000000"/>
              </a:solidFill>
              <a:effectLst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algn="just">
            <a:spcAft>
              <a:spcPts val="0"/>
            </a:spcAft>
          </a:pPr>
          <a:r>
            <a:rPr lang="pt-BR" sz="1100">
              <a:solidFill>
                <a:srgbClr val="000000"/>
              </a:solidFill>
              <a:effectLst/>
              <a:ea typeface="Times New Roman" panose="02020603050405020304" pitchFamily="18" charset="0"/>
              <a:cs typeface="Times New Roman" panose="02020603050405020304" pitchFamily="18" charset="0"/>
            </a:rPr>
            <a:t>Este projeto visa atender à Ordem de Serviço nº 02, de 30 de agosto de 2021, publicada no Diário Oficial do Distrito Federal Nº 176, de sexta-feira, 17 de setembro de 2021, especificamente à entrega do item b do Art. 2º: b. definição de relatório gerencial de custos. </a:t>
          </a:r>
          <a:endParaRPr lang="pt-BR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  <a:p>
          <a:pPr algn="just">
            <a:spcAft>
              <a:spcPts val="0"/>
            </a:spcAft>
          </a:pPr>
          <a:r>
            <a:rPr lang="pt-BR" sz="1100">
              <a:solidFill>
                <a:srgbClr val="000000"/>
              </a:solidFill>
              <a:effectLst/>
              <a:ea typeface="Times New Roman" panose="02020603050405020304" pitchFamily="18" charset="0"/>
              <a:cs typeface="Times New Roman" panose="02020603050405020304" pitchFamily="18" charset="0"/>
            </a:rPr>
            <a:t>Além disso, é uma proposta de ofertar ao gestor e aos clientes internos informações do comportamento do uso dos recursos consumidos na unidade de saúde, viabilizando ainda, a prestação de contas e a transparência ativa. </a:t>
          </a:r>
          <a:endParaRPr lang="pt-BR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1</xdr:col>
      <xdr:colOff>381001</xdr:colOff>
      <xdr:row>36</xdr:row>
      <xdr:rowOff>100853</xdr:rowOff>
    </xdr:from>
    <xdr:to>
      <xdr:col>9</xdr:col>
      <xdr:colOff>141129</xdr:colOff>
      <xdr:row>40</xdr:row>
      <xdr:rowOff>380999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1" y="6768353"/>
          <a:ext cx="5912157" cy="1333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795617</xdr:colOff>
      <xdr:row>33</xdr:row>
      <xdr:rowOff>134471</xdr:rowOff>
    </xdr:from>
    <xdr:ext cx="5939119" cy="1255059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79205" y="6230471"/>
          <a:ext cx="5939119" cy="12550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COLABORAÇÃO TÉCNICA</a:t>
          </a: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Darlan Messias Freitas Moreira, Eloísa dos Santos Oliveira, Irvia Johnson Vasconcelos Elias,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Jeferson Antonio da Silva, Jorge Edson Souza Dantas Miranda Machado, Luciana Fernandes da Silva, 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Mauro Junior Gonçalves de Araújo, Nelson José Cocco Junior e Pedro Luís Escobar Brussi Filho. </a:t>
          </a:r>
          <a:endParaRPr lang="pt-BR" sz="1100"/>
        </a:p>
      </xdr:txBody>
    </xdr:sp>
    <xdr:clientData/>
  </xdr:oneCellAnchor>
  <xdr:oneCellAnchor>
    <xdr:from>
      <xdr:col>6</xdr:col>
      <xdr:colOff>358588</xdr:colOff>
      <xdr:row>2</xdr:row>
      <xdr:rowOff>123265</xdr:rowOff>
    </xdr:from>
    <xdr:ext cx="13130582" cy="718466"/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986617" y="313765"/>
          <a:ext cx="13130582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0" cap="none" spc="0">
              <a:ln w="0"/>
              <a:solidFill>
                <a:srgbClr val="000099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a:rPr>
            <a:t>RELATÓRIO GERENCIAL QUADRIMESTRAL</a:t>
          </a:r>
          <a:r>
            <a:rPr lang="pt-BR" sz="4000" b="0" cap="none" spc="0" baseline="0">
              <a:ln w="0"/>
              <a:solidFill>
                <a:srgbClr val="000099"/>
              </a:solidFill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a:rPr>
            <a:t> DE CUSTOS - RGQC</a:t>
          </a:r>
          <a:endParaRPr lang="pt-BR" sz="4000" b="0" cap="none" spc="0">
            <a:ln w="0"/>
            <a:solidFill>
              <a:srgbClr val="000099"/>
            </a:solidFill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6661</xdr:colOff>
      <xdr:row>31</xdr:row>
      <xdr:rowOff>6662</xdr:rowOff>
    </xdr:from>
    <xdr:to>
      <xdr:col>1</xdr:col>
      <xdr:colOff>3333750</xdr:colOff>
      <xdr:row>31</xdr:row>
      <xdr:rowOff>199826</xdr:rowOff>
    </xdr:to>
    <xdr:sp macro="[0]!Próxima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30661" y="5618475"/>
          <a:ext cx="3327089" cy="19316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INICIAR</a:t>
          </a:r>
          <a:r>
            <a:rPr lang="pt-BR" sz="1300" b="1" baseline="0"/>
            <a:t> PREENCHIMENTO</a:t>
          </a:r>
          <a:endParaRPr lang="pt-BR" sz="1300" b="1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86590</xdr:colOff>
      <xdr:row>0</xdr:row>
      <xdr:rowOff>86591</xdr:rowOff>
    </xdr:from>
    <xdr:to>
      <xdr:col>0</xdr:col>
      <xdr:colOff>2010895</xdr:colOff>
      <xdr:row>4</xdr:row>
      <xdr:rowOff>204127</xdr:rowOff>
    </xdr:to>
    <xdr:grpSp>
      <xdr:nvGrpSpPr>
        <xdr:cNvPr id="11" name="Grupo 5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86590" y="86591"/>
          <a:ext cx="1695705" cy="1288078"/>
          <a:chOff x="502582" y="764813"/>
          <a:chExt cx="2164732" cy="991777"/>
        </a:xfrm>
      </xdr:grpSpPr>
      <xdr:sp macro="" textlink="">
        <xdr:nvSpPr>
          <xdr:cNvPr id="12" name="Seta para a direita 6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 DO APURASUS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 "</a:t>
            </a:r>
            <a:r>
              <a:rPr lang="pt-BR" sz="900" b="0" i="1">
                <a:latin typeface="Arial" panose="020B0604020202020204" pitchFamily="34" charset="0"/>
                <a:cs typeface="Arial" panose="020B0604020202020204" pitchFamily="34" charset="0"/>
              </a:rPr>
              <a:t>Dados da 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até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86590</xdr:colOff>
      <xdr:row>0</xdr:row>
      <xdr:rowOff>86591</xdr:rowOff>
    </xdr:from>
    <xdr:to>
      <xdr:col>0</xdr:col>
      <xdr:colOff>1960095</xdr:colOff>
      <xdr:row>4</xdr:row>
      <xdr:rowOff>204127</xdr:rowOff>
    </xdr:to>
    <xdr:grpSp>
      <xdr:nvGrpSpPr>
        <xdr:cNvPr id="14" name="Grupo 5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6590" y="86591"/>
          <a:ext cx="1692530" cy="1288078"/>
          <a:chOff x="502582" y="764813"/>
          <a:chExt cx="2164732" cy="991777"/>
        </a:xfrm>
      </xdr:grpSpPr>
      <xdr:sp macro="" textlink="">
        <xdr:nvSpPr>
          <xdr:cNvPr id="15" name="Seta para a direita 6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APURASUS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 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até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96866</xdr:colOff>
      <xdr:row>0</xdr:row>
      <xdr:rowOff>129152</xdr:rowOff>
    </xdr:from>
    <xdr:to>
      <xdr:col>1</xdr:col>
      <xdr:colOff>1068866</xdr:colOff>
      <xdr:row>0</xdr:row>
      <xdr:rowOff>409299</xdr:rowOff>
    </xdr:to>
    <xdr:sp macro="[0]!Select_Last" textlink="">
      <xdr:nvSpPr>
        <xdr:cNvPr id="8" name="Retângulo Arredondado 7"/>
        <xdr:cNvSpPr/>
      </xdr:nvSpPr>
      <xdr:spPr>
        <a:xfrm>
          <a:off x="1880785" y="129152"/>
          <a:ext cx="972000" cy="280147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1</xdr:col>
      <xdr:colOff>1130086</xdr:colOff>
      <xdr:row>0</xdr:row>
      <xdr:rowOff>129152</xdr:rowOff>
    </xdr:from>
    <xdr:to>
      <xdr:col>1</xdr:col>
      <xdr:colOff>2102086</xdr:colOff>
      <xdr:row>0</xdr:row>
      <xdr:rowOff>409299</xdr:rowOff>
    </xdr:to>
    <xdr:sp macro="[0]!X_Localizar" textlink="">
      <xdr:nvSpPr>
        <xdr:cNvPr id="9" name="Retângulo Arredondado 8"/>
        <xdr:cNvSpPr/>
      </xdr:nvSpPr>
      <xdr:spPr>
        <a:xfrm>
          <a:off x="2914005" y="129152"/>
          <a:ext cx="972000" cy="28014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71442</xdr:colOff>
      <xdr:row>0</xdr:row>
      <xdr:rowOff>134946</xdr:rowOff>
    </xdr:from>
    <xdr:to>
      <xdr:col>2</xdr:col>
      <xdr:colOff>1043442</xdr:colOff>
      <xdr:row>0</xdr:row>
      <xdr:rowOff>415746</xdr:rowOff>
    </xdr:to>
    <xdr:sp macro="[0]!Select_Last" textlink="">
      <xdr:nvSpPr>
        <xdr:cNvPr id="9" name="Retângulo Arredondado 8"/>
        <xdr:cNvSpPr/>
      </xdr:nvSpPr>
      <xdr:spPr>
        <a:xfrm>
          <a:off x="1849442" y="134946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1130382</xdr:colOff>
      <xdr:row>0</xdr:row>
      <xdr:rowOff>134946</xdr:rowOff>
    </xdr:from>
    <xdr:to>
      <xdr:col>2</xdr:col>
      <xdr:colOff>2102382</xdr:colOff>
      <xdr:row>0</xdr:row>
      <xdr:rowOff>415746</xdr:rowOff>
    </xdr:to>
    <xdr:sp macro="[0]!X_Localizar" textlink="">
      <xdr:nvSpPr>
        <xdr:cNvPr id="10" name="Retângulo Arredondado 9"/>
        <xdr:cNvSpPr/>
      </xdr:nvSpPr>
      <xdr:spPr>
        <a:xfrm>
          <a:off x="2908382" y="134946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78720</xdr:rowOff>
    </xdr:from>
    <xdr:to>
      <xdr:col>0</xdr:col>
      <xdr:colOff>1750040</xdr:colOff>
      <xdr:row>4</xdr:row>
      <xdr:rowOff>193620</xdr:rowOff>
    </xdr:to>
    <xdr:grpSp>
      <xdr:nvGrpSpPr>
        <xdr:cNvPr id="11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78720"/>
          <a:ext cx="1750040" cy="1302724"/>
          <a:chOff x="502582" y="764813"/>
          <a:chExt cx="2164732" cy="991777"/>
        </a:xfrm>
      </xdr:grpSpPr>
      <xdr:sp macro="" textlink="">
        <xdr:nvSpPr>
          <xdr:cNvPr id="12" name="Seta para a direit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 APURASUS 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</a:t>
            </a:r>
            <a:r>
              <a:rPr lang="pt-BR" sz="900" b="0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até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72036</xdr:colOff>
      <xdr:row>0</xdr:row>
      <xdr:rowOff>136068</xdr:rowOff>
    </xdr:from>
    <xdr:to>
      <xdr:col>2</xdr:col>
      <xdr:colOff>1044036</xdr:colOff>
      <xdr:row>0</xdr:row>
      <xdr:rowOff>416868</xdr:rowOff>
    </xdr:to>
    <xdr:sp macro="[0]!Select_Last" textlink="">
      <xdr:nvSpPr>
        <xdr:cNvPr id="7" name="Retângulo Arredondado 6"/>
        <xdr:cNvSpPr/>
      </xdr:nvSpPr>
      <xdr:spPr>
        <a:xfrm>
          <a:off x="1856973" y="136068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1130976</xdr:colOff>
      <xdr:row>0</xdr:row>
      <xdr:rowOff>136068</xdr:rowOff>
    </xdr:from>
    <xdr:to>
      <xdr:col>2</xdr:col>
      <xdr:colOff>2102976</xdr:colOff>
      <xdr:row>0</xdr:row>
      <xdr:rowOff>416868</xdr:rowOff>
    </xdr:to>
    <xdr:sp macro="[0]!X_Localizar" textlink="">
      <xdr:nvSpPr>
        <xdr:cNvPr id="10" name="Retângulo Arredondado 9"/>
        <xdr:cNvSpPr/>
      </xdr:nvSpPr>
      <xdr:spPr>
        <a:xfrm>
          <a:off x="2915913" y="136068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78720</xdr:rowOff>
    </xdr:from>
    <xdr:to>
      <xdr:col>0</xdr:col>
      <xdr:colOff>1750040</xdr:colOff>
      <xdr:row>4</xdr:row>
      <xdr:rowOff>193620</xdr:rowOff>
    </xdr:to>
    <xdr:grpSp>
      <xdr:nvGrpSpPr>
        <xdr:cNvPr id="8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78720"/>
          <a:ext cx="1750040" cy="1302724"/>
          <a:chOff x="502582" y="764813"/>
          <a:chExt cx="2164732" cy="991777"/>
        </a:xfrm>
      </xdr:grpSpPr>
      <xdr:sp macro="" textlink="">
        <xdr:nvSpPr>
          <xdr:cNvPr id="9" name="Seta para a direit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 APURASUS 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</a:t>
            </a:r>
            <a:r>
              <a:rPr lang="pt-BR" sz="900" b="0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até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71442</xdr:colOff>
      <xdr:row>0</xdr:row>
      <xdr:rowOff>134946</xdr:rowOff>
    </xdr:from>
    <xdr:to>
      <xdr:col>2</xdr:col>
      <xdr:colOff>1043442</xdr:colOff>
      <xdr:row>0</xdr:row>
      <xdr:rowOff>415746</xdr:rowOff>
    </xdr:to>
    <xdr:sp macro="[0]!Select_Last" textlink="">
      <xdr:nvSpPr>
        <xdr:cNvPr id="12" name="Retângulo Arredondado 11"/>
        <xdr:cNvSpPr/>
      </xdr:nvSpPr>
      <xdr:spPr>
        <a:xfrm>
          <a:off x="1852617" y="134946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1130382</xdr:colOff>
      <xdr:row>0</xdr:row>
      <xdr:rowOff>134946</xdr:rowOff>
    </xdr:from>
    <xdr:to>
      <xdr:col>2</xdr:col>
      <xdr:colOff>2102382</xdr:colOff>
      <xdr:row>0</xdr:row>
      <xdr:rowOff>415746</xdr:rowOff>
    </xdr:to>
    <xdr:sp macro="[0]!X_Localizar" textlink="">
      <xdr:nvSpPr>
        <xdr:cNvPr id="13" name="Retângulo Arredondado 12"/>
        <xdr:cNvSpPr/>
      </xdr:nvSpPr>
      <xdr:spPr>
        <a:xfrm>
          <a:off x="2911557" y="134946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72036</xdr:colOff>
      <xdr:row>0</xdr:row>
      <xdr:rowOff>136068</xdr:rowOff>
    </xdr:from>
    <xdr:to>
      <xdr:col>2</xdr:col>
      <xdr:colOff>1044036</xdr:colOff>
      <xdr:row>0</xdr:row>
      <xdr:rowOff>416868</xdr:rowOff>
    </xdr:to>
    <xdr:sp macro="[0]!Select_Last" textlink="">
      <xdr:nvSpPr>
        <xdr:cNvPr id="7" name="Retângulo Arredondado 6"/>
        <xdr:cNvSpPr/>
      </xdr:nvSpPr>
      <xdr:spPr>
        <a:xfrm>
          <a:off x="1856973" y="136068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1130976</xdr:colOff>
      <xdr:row>0</xdr:row>
      <xdr:rowOff>136068</xdr:rowOff>
    </xdr:from>
    <xdr:to>
      <xdr:col>2</xdr:col>
      <xdr:colOff>2102976</xdr:colOff>
      <xdr:row>0</xdr:row>
      <xdr:rowOff>416868</xdr:rowOff>
    </xdr:to>
    <xdr:sp macro="[0]!X_Localizar" textlink="">
      <xdr:nvSpPr>
        <xdr:cNvPr id="10" name="Retângulo Arredondado 9"/>
        <xdr:cNvSpPr/>
      </xdr:nvSpPr>
      <xdr:spPr>
        <a:xfrm>
          <a:off x="2915913" y="136068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78720</xdr:rowOff>
    </xdr:from>
    <xdr:to>
      <xdr:col>0</xdr:col>
      <xdr:colOff>1750040</xdr:colOff>
      <xdr:row>4</xdr:row>
      <xdr:rowOff>193620</xdr:rowOff>
    </xdr:to>
    <xdr:grpSp>
      <xdr:nvGrpSpPr>
        <xdr:cNvPr id="8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78720"/>
          <a:ext cx="1750040" cy="1302724"/>
          <a:chOff x="502582" y="764813"/>
          <a:chExt cx="2164732" cy="991777"/>
        </a:xfrm>
      </xdr:grpSpPr>
      <xdr:sp macro="" textlink="">
        <xdr:nvSpPr>
          <xdr:cNvPr id="9" name="Seta para a direit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 APURASUS 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</a:t>
            </a:r>
            <a:r>
              <a:rPr lang="pt-BR" sz="900" b="0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até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72036</xdr:colOff>
      <xdr:row>0</xdr:row>
      <xdr:rowOff>136068</xdr:rowOff>
    </xdr:from>
    <xdr:to>
      <xdr:col>2</xdr:col>
      <xdr:colOff>1044036</xdr:colOff>
      <xdr:row>0</xdr:row>
      <xdr:rowOff>416868</xdr:rowOff>
    </xdr:to>
    <xdr:sp macro="[0]!Select_Last" textlink="">
      <xdr:nvSpPr>
        <xdr:cNvPr id="12" name="Retângulo Arredondado 11"/>
        <xdr:cNvSpPr/>
      </xdr:nvSpPr>
      <xdr:spPr>
        <a:xfrm>
          <a:off x="1853211" y="136068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1130976</xdr:colOff>
      <xdr:row>0</xdr:row>
      <xdr:rowOff>136068</xdr:rowOff>
    </xdr:from>
    <xdr:to>
      <xdr:col>2</xdr:col>
      <xdr:colOff>2102976</xdr:colOff>
      <xdr:row>0</xdr:row>
      <xdr:rowOff>416868</xdr:rowOff>
    </xdr:to>
    <xdr:sp macro="[0]!X_Localizar" textlink="">
      <xdr:nvSpPr>
        <xdr:cNvPr id="13" name="Retângulo Arredondado 12"/>
        <xdr:cNvSpPr/>
      </xdr:nvSpPr>
      <xdr:spPr>
        <a:xfrm>
          <a:off x="2912151" y="136068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 editAs="oneCell">
    <xdr:from>
      <xdr:col>2</xdr:col>
      <xdr:colOff>71442</xdr:colOff>
      <xdr:row>0</xdr:row>
      <xdr:rowOff>134946</xdr:rowOff>
    </xdr:from>
    <xdr:to>
      <xdr:col>2</xdr:col>
      <xdr:colOff>1043442</xdr:colOff>
      <xdr:row>0</xdr:row>
      <xdr:rowOff>415746</xdr:rowOff>
    </xdr:to>
    <xdr:sp macro="[0]!Select_Last" textlink="">
      <xdr:nvSpPr>
        <xdr:cNvPr id="14" name="Retângulo Arredondado 13"/>
        <xdr:cNvSpPr/>
      </xdr:nvSpPr>
      <xdr:spPr>
        <a:xfrm>
          <a:off x="1852617" y="134946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1130382</xdr:colOff>
      <xdr:row>0</xdr:row>
      <xdr:rowOff>134946</xdr:rowOff>
    </xdr:from>
    <xdr:to>
      <xdr:col>2</xdr:col>
      <xdr:colOff>2102382</xdr:colOff>
      <xdr:row>0</xdr:row>
      <xdr:rowOff>415746</xdr:rowOff>
    </xdr:to>
    <xdr:sp macro="[0]!X_Localizar" textlink="">
      <xdr:nvSpPr>
        <xdr:cNvPr id="15" name="Retângulo Arredondado 14"/>
        <xdr:cNvSpPr/>
      </xdr:nvSpPr>
      <xdr:spPr>
        <a:xfrm>
          <a:off x="2911557" y="134946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80040</xdr:colOff>
      <xdr:row>0</xdr:row>
      <xdr:rowOff>120060</xdr:rowOff>
    </xdr:from>
    <xdr:to>
      <xdr:col>2</xdr:col>
      <xdr:colOff>1052040</xdr:colOff>
      <xdr:row>0</xdr:row>
      <xdr:rowOff>400860</xdr:rowOff>
    </xdr:to>
    <xdr:sp macro="[0]!Select_Last" textlink="">
      <xdr:nvSpPr>
        <xdr:cNvPr id="7" name="Retângulo Arredondado 6"/>
        <xdr:cNvSpPr/>
      </xdr:nvSpPr>
      <xdr:spPr>
        <a:xfrm>
          <a:off x="1864977" y="120060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1138980</xdr:colOff>
      <xdr:row>0</xdr:row>
      <xdr:rowOff>120060</xdr:rowOff>
    </xdr:from>
    <xdr:to>
      <xdr:col>2</xdr:col>
      <xdr:colOff>2110980</xdr:colOff>
      <xdr:row>0</xdr:row>
      <xdr:rowOff>400860</xdr:rowOff>
    </xdr:to>
    <xdr:sp macro="[0]!X_Localizar" textlink="">
      <xdr:nvSpPr>
        <xdr:cNvPr id="10" name="Retângulo Arredondado 9"/>
        <xdr:cNvSpPr/>
      </xdr:nvSpPr>
      <xdr:spPr>
        <a:xfrm>
          <a:off x="2923917" y="120060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78720</xdr:rowOff>
    </xdr:from>
    <xdr:to>
      <xdr:col>0</xdr:col>
      <xdr:colOff>1750040</xdr:colOff>
      <xdr:row>4</xdr:row>
      <xdr:rowOff>193620</xdr:rowOff>
    </xdr:to>
    <xdr:grpSp>
      <xdr:nvGrpSpPr>
        <xdr:cNvPr id="8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78720"/>
          <a:ext cx="1750040" cy="1302724"/>
          <a:chOff x="502582" y="764813"/>
          <a:chExt cx="2164732" cy="991777"/>
        </a:xfrm>
      </xdr:grpSpPr>
      <xdr:sp macro="" textlink="">
        <xdr:nvSpPr>
          <xdr:cNvPr id="9" name="Seta para a direit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 APURASUS 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</a:t>
            </a:r>
            <a:r>
              <a:rPr lang="pt-BR" sz="900" b="0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até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2</xdr:col>
      <xdr:colOff>72036</xdr:colOff>
      <xdr:row>0</xdr:row>
      <xdr:rowOff>136068</xdr:rowOff>
    </xdr:from>
    <xdr:to>
      <xdr:col>2</xdr:col>
      <xdr:colOff>1044036</xdr:colOff>
      <xdr:row>0</xdr:row>
      <xdr:rowOff>416868</xdr:rowOff>
    </xdr:to>
    <xdr:sp macro="[0]!Select_Last" textlink="">
      <xdr:nvSpPr>
        <xdr:cNvPr id="12" name="Retângulo Arredondado 11"/>
        <xdr:cNvSpPr/>
      </xdr:nvSpPr>
      <xdr:spPr>
        <a:xfrm>
          <a:off x="1853211" y="136068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1130976</xdr:colOff>
      <xdr:row>0</xdr:row>
      <xdr:rowOff>136068</xdr:rowOff>
    </xdr:from>
    <xdr:to>
      <xdr:col>2</xdr:col>
      <xdr:colOff>2102976</xdr:colOff>
      <xdr:row>0</xdr:row>
      <xdr:rowOff>416868</xdr:rowOff>
    </xdr:to>
    <xdr:sp macro="[0]!X_Localizar" textlink="">
      <xdr:nvSpPr>
        <xdr:cNvPr id="13" name="Retângulo Arredondado 12"/>
        <xdr:cNvSpPr/>
      </xdr:nvSpPr>
      <xdr:spPr>
        <a:xfrm>
          <a:off x="2912151" y="136068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 editAs="oneCell">
    <xdr:from>
      <xdr:col>2</xdr:col>
      <xdr:colOff>71442</xdr:colOff>
      <xdr:row>0</xdr:row>
      <xdr:rowOff>134946</xdr:rowOff>
    </xdr:from>
    <xdr:to>
      <xdr:col>2</xdr:col>
      <xdr:colOff>1043442</xdr:colOff>
      <xdr:row>0</xdr:row>
      <xdr:rowOff>415746</xdr:rowOff>
    </xdr:to>
    <xdr:sp macro="[0]!Select_Last" textlink="">
      <xdr:nvSpPr>
        <xdr:cNvPr id="14" name="Retângulo Arredondado 13"/>
        <xdr:cNvSpPr/>
      </xdr:nvSpPr>
      <xdr:spPr>
        <a:xfrm>
          <a:off x="1852617" y="134946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1130382</xdr:colOff>
      <xdr:row>0</xdr:row>
      <xdr:rowOff>134946</xdr:rowOff>
    </xdr:from>
    <xdr:to>
      <xdr:col>2</xdr:col>
      <xdr:colOff>2102382</xdr:colOff>
      <xdr:row>0</xdr:row>
      <xdr:rowOff>415746</xdr:rowOff>
    </xdr:to>
    <xdr:sp macro="[0]!X_Localizar" textlink="">
      <xdr:nvSpPr>
        <xdr:cNvPr id="15" name="Retângulo Arredondado 14"/>
        <xdr:cNvSpPr/>
      </xdr:nvSpPr>
      <xdr:spPr>
        <a:xfrm>
          <a:off x="2911557" y="134946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96864</xdr:colOff>
      <xdr:row>0</xdr:row>
      <xdr:rowOff>137224</xdr:rowOff>
    </xdr:from>
    <xdr:to>
      <xdr:col>2</xdr:col>
      <xdr:colOff>1068864</xdr:colOff>
      <xdr:row>0</xdr:row>
      <xdr:rowOff>418024</xdr:rowOff>
    </xdr:to>
    <xdr:sp macro="[0]!Select_Last" textlink="">
      <xdr:nvSpPr>
        <xdr:cNvPr id="6" name="Retângulo Arredondado 5"/>
        <xdr:cNvSpPr/>
      </xdr:nvSpPr>
      <xdr:spPr>
        <a:xfrm>
          <a:off x="1880783" y="137224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2</xdr:col>
      <xdr:colOff>1160100</xdr:colOff>
      <xdr:row>0</xdr:row>
      <xdr:rowOff>137224</xdr:rowOff>
    </xdr:from>
    <xdr:to>
      <xdr:col>2</xdr:col>
      <xdr:colOff>2132100</xdr:colOff>
      <xdr:row>0</xdr:row>
      <xdr:rowOff>418024</xdr:rowOff>
    </xdr:to>
    <xdr:sp macro="[0]!X_Localizar" textlink="">
      <xdr:nvSpPr>
        <xdr:cNvPr id="7" name="Retângulo Arredondado 6"/>
        <xdr:cNvSpPr/>
      </xdr:nvSpPr>
      <xdr:spPr>
        <a:xfrm>
          <a:off x="2944019" y="137224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80040</xdr:rowOff>
    </xdr:from>
    <xdr:to>
      <xdr:col>0</xdr:col>
      <xdr:colOff>1750040</xdr:colOff>
      <xdr:row>4</xdr:row>
      <xdr:rowOff>183231</xdr:rowOff>
    </xdr:to>
    <xdr:grpSp>
      <xdr:nvGrpSpPr>
        <xdr:cNvPr id="8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0" y="80040"/>
          <a:ext cx="1750040" cy="1293816"/>
          <a:chOff x="502582" y="764813"/>
          <a:chExt cx="2164732" cy="991777"/>
        </a:xfrm>
      </xdr:grpSpPr>
      <xdr:sp macro="" textlink="">
        <xdr:nvSpPr>
          <xdr:cNvPr id="9" name="Seta para a direita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912043" y="1061883"/>
            <a:ext cx="755271" cy="293324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>
                <a:latin typeface="Arial" panose="020B0604020202020204" pitchFamily="34" charset="0"/>
                <a:cs typeface="Arial" panose="020B0604020202020204" pitchFamily="34" charset="0"/>
              </a:rPr>
              <a:t>1 -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Copiar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do APURASUS  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a Partir  Do Texto</a:t>
            </a:r>
            <a:r>
              <a:rPr lang="pt-BR" sz="900" b="0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</a:t>
            </a:r>
            <a:r>
              <a:rPr lang="pt-BR" sz="900" b="1" i="1" u="sng">
                <a:latin typeface="Arial" panose="020B0604020202020204" pitchFamily="34" charset="0"/>
                <a:cs typeface="Arial" panose="020B0604020202020204" pitchFamily="34" charset="0"/>
              </a:rPr>
              <a:t>INSTITUIÇÃO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" </a:t>
            </a:r>
            <a:r>
              <a:rPr lang="pt-BR" sz="900" b="0" u="sng">
                <a:latin typeface="Arial" panose="020B0604020202020204" pitchFamily="34" charset="0"/>
                <a:cs typeface="Arial" panose="020B0604020202020204" pitchFamily="34" charset="0"/>
              </a:rPr>
              <a:t>até</a:t>
            </a:r>
            <a:r>
              <a:rPr lang="pt-BR" sz="900" b="0">
                <a:latin typeface="Arial" panose="020B0604020202020204" pitchFamily="34" charset="0"/>
                <a:cs typeface="Arial" panose="020B0604020202020204" pitchFamily="34" charset="0"/>
              </a:rPr>
              <a:t> a penúltima linha.</a:t>
            </a:r>
          </a:p>
          <a:p>
            <a:pPr algn="l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2</a:t>
            </a:r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 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do campo em cor amarela: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216114</xdr:colOff>
      <xdr:row>2</xdr:row>
      <xdr:rowOff>72039</xdr:rowOff>
    </xdr:from>
    <xdr:to>
      <xdr:col>0</xdr:col>
      <xdr:colOff>2833744</xdr:colOff>
      <xdr:row>4</xdr:row>
      <xdr:rowOff>80044</xdr:rowOff>
    </xdr:to>
    <xdr:grpSp>
      <xdr:nvGrpSpPr>
        <xdr:cNvPr id="2" name="Grupo 5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216114" y="951270"/>
          <a:ext cx="1560355" cy="698829"/>
          <a:chOff x="502582" y="764813"/>
          <a:chExt cx="2191538" cy="991777"/>
        </a:xfrm>
      </xdr:grpSpPr>
      <xdr:sp macro="" textlink="">
        <xdr:nvSpPr>
          <xdr:cNvPr id="3" name="Seta para a direita 6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1938849" y="811090"/>
            <a:ext cx="755271" cy="293323"/>
          </a:xfrm>
          <a:prstGeom prst="rightArrow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t"/>
          <a:lstStyle/>
          <a:p>
            <a:pPr algn="ctr"/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502582" y="764813"/>
            <a:ext cx="2025618" cy="991777"/>
          </a:xfrm>
          <a:prstGeom prst="rect">
            <a:avLst/>
          </a:prstGeom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900" b="1" u="none" baseline="0">
                <a:latin typeface="Arial" panose="020B0604020202020204" pitchFamily="34" charset="0"/>
                <a:cs typeface="Arial" panose="020B0604020202020204" pitchFamily="34" charset="0"/>
              </a:rPr>
              <a:t>- </a:t>
            </a:r>
            <a:r>
              <a:rPr lang="pt-BR" sz="900" b="1" u="sng">
                <a:latin typeface="Arial" panose="020B0604020202020204" pitchFamily="34" charset="0"/>
                <a:cs typeface="Arial" panose="020B0604020202020204" pitchFamily="34" charset="0"/>
              </a:rPr>
              <a:t>COLAR  ESPECIAL</a:t>
            </a:r>
            <a:r>
              <a:rPr lang="pt-BR" sz="900" b="1" u="none">
                <a:latin typeface="Arial" panose="020B0604020202020204" pitchFamily="34" charset="0"/>
                <a:cs typeface="Arial" panose="020B0604020202020204" pitchFamily="34" charset="0"/>
              </a:rPr>
              <a:t>  </a:t>
            </a:r>
            <a:r>
              <a:rPr lang="pt-BR" sz="900" b="0" u="none">
                <a:latin typeface="Arial" panose="020B0604020202020204" pitchFamily="34" charset="0"/>
                <a:cs typeface="Arial" panose="020B0604020202020204" pitchFamily="34" charset="0"/>
              </a:rPr>
              <a:t>Como "Texto Unicode" </a:t>
            </a:r>
            <a:r>
              <a:rPr lang="pt-BR" sz="105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a partir daqui.</a:t>
            </a:r>
            <a:endParaRPr lang="pt-BR" sz="9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64030</xdr:colOff>
      <xdr:row>0</xdr:row>
      <xdr:rowOff>136062</xdr:rowOff>
    </xdr:from>
    <xdr:to>
      <xdr:col>1</xdr:col>
      <xdr:colOff>1036030</xdr:colOff>
      <xdr:row>0</xdr:row>
      <xdr:rowOff>416862</xdr:rowOff>
    </xdr:to>
    <xdr:sp macro="[0]!Select_Last" textlink="">
      <xdr:nvSpPr>
        <xdr:cNvPr id="9" name="Retângulo Arredondado 8"/>
        <xdr:cNvSpPr/>
      </xdr:nvSpPr>
      <xdr:spPr>
        <a:xfrm>
          <a:off x="1848967" y="136062"/>
          <a:ext cx="972000" cy="28080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 editAs="oneCell">
    <xdr:from>
      <xdr:col>1</xdr:col>
      <xdr:colOff>1137743</xdr:colOff>
      <xdr:row>0</xdr:row>
      <xdr:rowOff>136062</xdr:rowOff>
    </xdr:from>
    <xdr:to>
      <xdr:col>1</xdr:col>
      <xdr:colOff>2109743</xdr:colOff>
      <xdr:row>0</xdr:row>
      <xdr:rowOff>416862</xdr:rowOff>
    </xdr:to>
    <xdr:sp macro="[0]!X_Localizar" textlink="">
      <xdr:nvSpPr>
        <xdr:cNvPr id="10" name="Retângulo Arredondado 9"/>
        <xdr:cNvSpPr/>
      </xdr:nvSpPr>
      <xdr:spPr>
        <a:xfrm>
          <a:off x="2922680" y="136062"/>
          <a:ext cx="972000" cy="280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 LOCALIZAR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437214</xdr:colOff>
      <xdr:row>86</xdr:row>
      <xdr:rowOff>281068</xdr:rowOff>
    </xdr:from>
    <xdr:to>
      <xdr:col>0</xdr:col>
      <xdr:colOff>1464272</xdr:colOff>
      <xdr:row>88</xdr:row>
      <xdr:rowOff>2730</xdr:rowOff>
    </xdr:to>
    <xdr:sp macro="" textlink="">
      <xdr:nvSpPr>
        <xdr:cNvPr id="64" name="Seta para a Direita 63"/>
        <xdr:cNvSpPr/>
      </xdr:nvSpPr>
      <xdr:spPr>
        <a:xfrm>
          <a:off x="437214" y="19206150"/>
          <a:ext cx="1027058" cy="291600"/>
        </a:xfrm>
        <a:prstGeom prst="rightArrow">
          <a:avLst/>
        </a:prstGeom>
        <a:solidFill>
          <a:schemeClr val="accent2">
            <a:lumMod val="40000"/>
            <a:lumOff val="6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5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24199</xdr:colOff>
      <xdr:row>0</xdr:row>
      <xdr:rowOff>12831</xdr:rowOff>
    </xdr:from>
    <xdr:to>
      <xdr:col>1</xdr:col>
      <xdr:colOff>486378</xdr:colOff>
      <xdr:row>2</xdr:row>
      <xdr:rowOff>178077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215" y="12831"/>
          <a:ext cx="462179" cy="540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11</xdr:row>
      <xdr:rowOff>15573</xdr:rowOff>
    </xdr:from>
    <xdr:to>
      <xdr:col>16</xdr:col>
      <xdr:colOff>757115</xdr:colOff>
      <xdr:row>19</xdr:row>
      <xdr:rowOff>204383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177582</xdr:colOff>
      <xdr:row>23</xdr:row>
      <xdr:rowOff>102539</xdr:rowOff>
    </xdr:from>
    <xdr:to>
      <xdr:col>0</xdr:col>
      <xdr:colOff>1473582</xdr:colOff>
      <xdr:row>37</xdr:row>
      <xdr:rowOff>172744</xdr:rowOff>
    </xdr:to>
    <xdr:sp macro="" textlink="">
      <xdr:nvSpPr>
        <xdr:cNvPr id="7" name="Texto explicativo em seta para a direita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77582" y="4763543"/>
          <a:ext cx="1296000" cy="3240000"/>
        </a:xfrm>
        <a:prstGeom prst="rightArrowCallout">
          <a:avLst/>
        </a:prstGeom>
        <a:solidFill>
          <a:schemeClr val="accent1">
            <a:lumMod val="20000"/>
            <a:lumOff val="8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ITENS  DE  CUSTO:</a:t>
          </a:r>
        </a:p>
        <a:p>
          <a:pPr algn="ctr"/>
          <a:endParaRPr lang="pt-BR" sz="950" b="1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Nomes na </a:t>
          </a:r>
          <a:r>
            <a:rPr lang="pt-BR" sz="950" b="1" u="sng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SEGUNDA COLUNA</a:t>
          </a:r>
          <a:r>
            <a:rPr lang="pt-BR" sz="950" b="1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</a:t>
          </a:r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Devem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Estar  Examente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IGUAIS</a:t>
          </a:r>
          <a:r>
            <a:rPr lang="pt-BR" sz="950" b="1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Áqueles  Contantes  nos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  APURASUS</a:t>
          </a:r>
          <a:endParaRPr lang="pt-BR" sz="950" b="1" u="sng">
            <a:solidFill>
              <a:srgbClr val="0000FF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19050</xdr:colOff>
      <xdr:row>96</xdr:row>
      <xdr:rowOff>0</xdr:rowOff>
    </xdr:from>
    <xdr:to>
      <xdr:col>16</xdr:col>
      <xdr:colOff>754200</xdr:colOff>
      <xdr:row>106</xdr:row>
      <xdr:rowOff>206999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</xdr:colOff>
      <xdr:row>109</xdr:row>
      <xdr:rowOff>0</xdr:rowOff>
    </xdr:from>
    <xdr:to>
      <xdr:col>16</xdr:col>
      <xdr:colOff>754200</xdr:colOff>
      <xdr:row>119</xdr:row>
      <xdr:rowOff>207000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144</xdr:row>
      <xdr:rowOff>0</xdr:rowOff>
    </xdr:from>
    <xdr:to>
      <xdr:col>16</xdr:col>
      <xdr:colOff>754200</xdr:colOff>
      <xdr:row>154</xdr:row>
      <xdr:rowOff>208800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19050</xdr:colOff>
      <xdr:row>158</xdr:row>
      <xdr:rowOff>0</xdr:rowOff>
    </xdr:from>
    <xdr:to>
      <xdr:col>16</xdr:col>
      <xdr:colOff>754200</xdr:colOff>
      <xdr:row>168</xdr:row>
      <xdr:rowOff>207000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101496</xdr:colOff>
      <xdr:row>0</xdr:row>
      <xdr:rowOff>124918</xdr:rowOff>
    </xdr:from>
    <xdr:to>
      <xdr:col>0</xdr:col>
      <xdr:colOff>1181496</xdr:colOff>
      <xdr:row>2</xdr:row>
      <xdr:rowOff>30311</xdr:rowOff>
    </xdr:to>
    <xdr:sp macro="[0]!Select_Last" textlink="">
      <xdr:nvSpPr>
        <xdr:cNvPr id="22" name="Retângulo Arredondado 21"/>
        <xdr:cNvSpPr/>
      </xdr:nvSpPr>
      <xdr:spPr>
        <a:xfrm>
          <a:off x="101496" y="124918"/>
          <a:ext cx="1080000" cy="280147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>
    <xdr:from>
      <xdr:col>0</xdr:col>
      <xdr:colOff>177582</xdr:colOff>
      <xdr:row>38</xdr:row>
      <xdr:rowOff>0</xdr:rowOff>
    </xdr:from>
    <xdr:to>
      <xdr:col>0</xdr:col>
      <xdr:colOff>1473582</xdr:colOff>
      <xdr:row>50</xdr:row>
      <xdr:rowOff>199033</xdr:rowOff>
    </xdr:to>
    <xdr:sp macro="" textlink="">
      <xdr:nvSpPr>
        <xdr:cNvPr id="23" name="Texto explicativo em seta para a direita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77582" y="8057213"/>
          <a:ext cx="1296000" cy="2916000"/>
        </a:xfrm>
        <a:prstGeom prst="rightArrowCallout">
          <a:avLst/>
        </a:prstGeom>
        <a:solidFill>
          <a:schemeClr val="accent1">
            <a:lumMod val="20000"/>
            <a:lumOff val="8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ITENS  DE  CUSTO:</a:t>
          </a:r>
        </a:p>
        <a:p>
          <a:pPr algn="ctr"/>
          <a:endParaRPr lang="pt-BR" sz="950" b="1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Nomes na </a:t>
          </a:r>
          <a:r>
            <a:rPr lang="pt-BR" sz="950" b="1" u="sng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SEGUNDA COILUNA</a:t>
          </a:r>
          <a:r>
            <a:rPr lang="pt-BR" sz="950" b="1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</a:t>
          </a:r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Devem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Estar  Examente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IGUAIS</a:t>
          </a:r>
          <a:r>
            <a:rPr lang="pt-BR" sz="950" b="1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Áqueles  Contantes  nos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  APURASUS</a:t>
          </a:r>
          <a:endParaRPr lang="pt-BR" sz="950" b="1" u="sng">
            <a:solidFill>
              <a:srgbClr val="0000FF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177582</xdr:colOff>
      <xdr:row>50</xdr:row>
      <xdr:rowOff>228599</xdr:rowOff>
    </xdr:from>
    <xdr:to>
      <xdr:col>0</xdr:col>
      <xdr:colOff>1473582</xdr:colOff>
      <xdr:row>70</xdr:row>
      <xdr:rowOff>228599</xdr:rowOff>
    </xdr:to>
    <xdr:sp macro="" textlink="">
      <xdr:nvSpPr>
        <xdr:cNvPr id="24" name="Texto explicativo em seta para a direita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77582" y="11106149"/>
          <a:ext cx="1296000" cy="4572000"/>
        </a:xfrm>
        <a:prstGeom prst="rightArrowCallout">
          <a:avLst/>
        </a:prstGeom>
        <a:solidFill>
          <a:schemeClr val="accent1">
            <a:lumMod val="20000"/>
            <a:lumOff val="8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ITENS  DE  CUSTO:</a:t>
          </a:r>
        </a:p>
        <a:p>
          <a:pPr algn="ctr"/>
          <a:endParaRPr lang="pt-BR" sz="950" b="1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Nomes na </a:t>
          </a:r>
          <a:r>
            <a:rPr lang="pt-BR" sz="950" b="1" u="sng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SEGUNDA COLUNA</a:t>
          </a:r>
          <a:r>
            <a:rPr lang="pt-BR" sz="950" b="1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</a:t>
          </a:r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Devem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Estar  Examente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IGUAIS</a:t>
          </a:r>
          <a:r>
            <a:rPr lang="pt-BR" sz="950" b="1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Áqueles  Contantes  nos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  APURASUS</a:t>
          </a:r>
          <a:endParaRPr lang="pt-BR" sz="950" b="1" u="sng">
            <a:solidFill>
              <a:srgbClr val="0000FF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19050</xdr:colOff>
      <xdr:row>72</xdr:row>
      <xdr:rowOff>114299</xdr:rowOff>
    </xdr:from>
    <xdr:to>
      <xdr:col>5</xdr:col>
      <xdr:colOff>711000</xdr:colOff>
      <xdr:row>82</xdr:row>
      <xdr:rowOff>204299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762000</xdr:colOff>
      <xdr:row>72</xdr:row>
      <xdr:rowOff>114299</xdr:rowOff>
    </xdr:from>
    <xdr:to>
      <xdr:col>11</xdr:col>
      <xdr:colOff>234750</xdr:colOff>
      <xdr:row>82</xdr:row>
      <xdr:rowOff>204299</xdr:rowOff>
    </xdr:to>
    <xdr:graphicFrame macro="">
      <xdr:nvGraphicFramePr>
        <xdr:cNvPr id="34" name="Gráfico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285750</xdr:colOff>
      <xdr:row>72</xdr:row>
      <xdr:rowOff>114299</xdr:rowOff>
    </xdr:from>
    <xdr:to>
      <xdr:col>16</xdr:col>
      <xdr:colOff>768150</xdr:colOff>
      <xdr:row>82</xdr:row>
      <xdr:rowOff>204299</xdr:rowOff>
    </xdr:to>
    <xdr:graphicFrame macro="">
      <xdr:nvGraphicFramePr>
        <xdr:cNvPr id="35" name="Gráfico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188424</xdr:colOff>
      <xdr:row>96</xdr:row>
      <xdr:rowOff>15648</xdr:rowOff>
    </xdr:from>
    <xdr:to>
      <xdr:col>0</xdr:col>
      <xdr:colOff>1448424</xdr:colOff>
      <xdr:row>107</xdr:row>
      <xdr:rowOff>292400</xdr:rowOff>
    </xdr:to>
    <xdr:grpSp>
      <xdr:nvGrpSpPr>
        <xdr:cNvPr id="8" name="Agrupar 7"/>
        <xdr:cNvGrpSpPr/>
      </xdr:nvGrpSpPr>
      <xdr:grpSpPr>
        <a:xfrm>
          <a:off x="188424" y="21845619"/>
          <a:ext cx="1260000" cy="2835211"/>
          <a:chOff x="62459" y="21759160"/>
          <a:chExt cx="1659315" cy="1769198"/>
        </a:xfrm>
      </xdr:grpSpPr>
      <xdr:sp macro="" textlink="">
        <xdr:nvSpPr>
          <xdr:cNvPr id="41" name="Seta para a Direita 40"/>
          <xdr:cNvSpPr/>
        </xdr:nvSpPr>
        <xdr:spPr>
          <a:xfrm>
            <a:off x="369224" y="23341932"/>
            <a:ext cx="1352550" cy="186426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5" name="Retângulo 4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950" b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nomes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dos CC's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APARECER TODOS</a:t>
            </a:r>
            <a:r>
              <a:rPr lang="pt-BR" sz="950" b="1" u="none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188424</xdr:colOff>
      <xdr:row>121</xdr:row>
      <xdr:rowOff>122488</xdr:rowOff>
    </xdr:from>
    <xdr:to>
      <xdr:col>0</xdr:col>
      <xdr:colOff>1448424</xdr:colOff>
      <xdr:row>130</xdr:row>
      <xdr:rowOff>100762</xdr:rowOff>
    </xdr:to>
    <xdr:grpSp>
      <xdr:nvGrpSpPr>
        <xdr:cNvPr id="36" name="Agrupar 35"/>
        <xdr:cNvGrpSpPr/>
      </xdr:nvGrpSpPr>
      <xdr:grpSpPr>
        <a:xfrm>
          <a:off x="188424" y="27944348"/>
          <a:ext cx="1260000" cy="2071559"/>
          <a:chOff x="62459" y="21699171"/>
          <a:chExt cx="1659315" cy="1785419"/>
        </a:xfrm>
      </xdr:grpSpPr>
      <xdr:sp macro="" textlink="">
        <xdr:nvSpPr>
          <xdr:cNvPr id="46" name="Seta para a Direita 45"/>
          <xdr:cNvSpPr/>
        </xdr:nvSpPr>
        <xdr:spPr>
          <a:xfrm>
            <a:off x="369224" y="21699171"/>
            <a:ext cx="1352550" cy="259057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48" name="Retângulo 47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Caso identifique </a:t>
            </a:r>
            <a:r>
              <a:rPr lang="pt-BR" sz="950" b="1" u="sng">
                <a:solidFill>
                  <a:srgbClr val="0000F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QUALQUER ANOMALIA </a:t>
            </a:r>
            <a:r>
              <a:rPr lang="pt-BR" sz="950" b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entre os indicadores </a:t>
            </a:r>
            <a:r>
              <a:rPr lang="pt-BR" sz="950" b="1" u="sng">
                <a:solidFill>
                  <a:srgbClr val="0000F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DEVE INFORMAR</a:t>
            </a:r>
            <a:r>
              <a:rPr lang="pt-BR" sz="95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 </a:t>
            </a:r>
          </a:p>
        </xdr:txBody>
      </xdr:sp>
    </xdr:grpSp>
    <xdr:clientData/>
  </xdr:twoCellAnchor>
  <xdr:twoCellAnchor>
    <xdr:from>
      <xdr:col>0</xdr:col>
      <xdr:colOff>188424</xdr:colOff>
      <xdr:row>73</xdr:row>
      <xdr:rowOff>15629</xdr:rowOff>
    </xdr:from>
    <xdr:to>
      <xdr:col>0</xdr:col>
      <xdr:colOff>1448424</xdr:colOff>
      <xdr:row>84</xdr:row>
      <xdr:rowOff>55346</xdr:rowOff>
    </xdr:to>
    <xdr:grpSp>
      <xdr:nvGrpSpPr>
        <xdr:cNvPr id="58" name="Agrupar 57"/>
        <xdr:cNvGrpSpPr/>
      </xdr:nvGrpSpPr>
      <xdr:grpSpPr>
        <a:xfrm>
          <a:off x="188424" y="16385338"/>
          <a:ext cx="1260000" cy="2598177"/>
          <a:chOff x="62459" y="21759160"/>
          <a:chExt cx="1659315" cy="1776445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59" name="Seta para a Direita 58"/>
          <xdr:cNvSpPr/>
        </xdr:nvSpPr>
        <xdr:spPr>
          <a:xfrm>
            <a:off x="369224" y="23330879"/>
            <a:ext cx="1352550" cy="204726"/>
          </a:xfrm>
          <a:prstGeom prst="rightArrow">
            <a:avLst/>
          </a:prstGeom>
          <a:grpFill/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60" name="Retângulo 59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grpFill/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 b="1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GRÁFICOS </a:t>
            </a:r>
          </a:p>
          <a:p>
            <a:pPr algn="ctr" eaLnBrk="1" fontAlgn="auto" latinLnBrk="0" hangingPunct="1"/>
            <a:r>
              <a:rPr lang="pt-BR" sz="950" b="1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2, 3 e 4:</a:t>
            </a:r>
          </a:p>
          <a:p>
            <a:pPr algn="ctr" eaLnBrk="1" fontAlgn="auto" latinLnBrk="0" hangingPunct="1"/>
            <a:endParaRPr lang="pt-BR" sz="950" b="1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 eaLnBrk="1" fontAlgn="auto" latinLnBrk="0" hangingPunct="1"/>
            <a:r>
              <a:rPr lang="pt-BR" sz="950" b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nomes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 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dos CC's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APARECER TODOS</a:t>
            </a:r>
            <a:r>
              <a:rPr lang="pt-BR" sz="950" b="1" u="none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204272</xdr:colOff>
      <xdr:row>86</xdr:row>
      <xdr:rowOff>343522</xdr:rowOff>
    </xdr:from>
    <xdr:to>
      <xdr:col>0</xdr:col>
      <xdr:colOff>1464272</xdr:colOff>
      <xdr:row>95</xdr:row>
      <xdr:rowOff>3718</xdr:rowOff>
    </xdr:to>
    <xdr:grpSp>
      <xdr:nvGrpSpPr>
        <xdr:cNvPr id="61" name="Agrupar 60"/>
        <xdr:cNvGrpSpPr/>
      </xdr:nvGrpSpPr>
      <xdr:grpSpPr>
        <a:xfrm>
          <a:off x="204272" y="19736865"/>
          <a:ext cx="1260000" cy="1864237"/>
          <a:chOff x="62459" y="21759160"/>
          <a:chExt cx="1659315" cy="1801851"/>
        </a:xfrm>
      </xdr:grpSpPr>
      <xdr:sp macro="" textlink="">
        <xdr:nvSpPr>
          <xdr:cNvPr id="62" name="Seta para a Direita 61"/>
          <xdr:cNvSpPr/>
        </xdr:nvSpPr>
        <xdr:spPr>
          <a:xfrm>
            <a:off x="369224" y="23271529"/>
            <a:ext cx="1352550" cy="289482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63" name="Retângulo 62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 b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nomes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dos CC's</a:t>
            </a:r>
            <a:endParaRPr lang="pt-BR" sz="950" b="1" baseline="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APARECER TODOS</a:t>
            </a:r>
            <a:r>
              <a:rPr lang="pt-BR" sz="950" b="1" u="none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188424</xdr:colOff>
      <xdr:row>109</xdr:row>
      <xdr:rowOff>33</xdr:rowOff>
    </xdr:from>
    <xdr:to>
      <xdr:col>0</xdr:col>
      <xdr:colOff>1448424</xdr:colOff>
      <xdr:row>120</xdr:row>
      <xdr:rowOff>276785</xdr:rowOff>
    </xdr:to>
    <xdr:grpSp>
      <xdr:nvGrpSpPr>
        <xdr:cNvPr id="65" name="Agrupar 64"/>
        <xdr:cNvGrpSpPr/>
      </xdr:nvGrpSpPr>
      <xdr:grpSpPr>
        <a:xfrm>
          <a:off x="188424" y="24942242"/>
          <a:ext cx="1260000" cy="2835212"/>
          <a:chOff x="62459" y="21759160"/>
          <a:chExt cx="1659315" cy="1769198"/>
        </a:xfrm>
      </xdr:grpSpPr>
      <xdr:sp macro="" textlink="">
        <xdr:nvSpPr>
          <xdr:cNvPr id="66" name="Seta para a Direita 65"/>
          <xdr:cNvSpPr/>
        </xdr:nvSpPr>
        <xdr:spPr>
          <a:xfrm>
            <a:off x="369224" y="23341932"/>
            <a:ext cx="1352550" cy="186426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67" name="Retângulo 66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 nomes dos CC's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APARECER TODOS</a:t>
            </a:r>
            <a:r>
              <a:rPr lang="pt-BR" sz="950" b="1" u="none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188424</xdr:colOff>
      <xdr:row>144</xdr:row>
      <xdr:rowOff>37</xdr:rowOff>
    </xdr:from>
    <xdr:to>
      <xdr:col>0</xdr:col>
      <xdr:colOff>1448424</xdr:colOff>
      <xdr:row>155</xdr:row>
      <xdr:rowOff>284596</xdr:rowOff>
    </xdr:to>
    <xdr:grpSp>
      <xdr:nvGrpSpPr>
        <xdr:cNvPr id="68" name="Agrupar 67"/>
        <xdr:cNvGrpSpPr/>
      </xdr:nvGrpSpPr>
      <xdr:grpSpPr>
        <a:xfrm>
          <a:off x="188424" y="33171403"/>
          <a:ext cx="1260000" cy="2843019"/>
          <a:chOff x="62459" y="21759160"/>
          <a:chExt cx="1659315" cy="1774189"/>
        </a:xfrm>
      </xdr:grpSpPr>
      <xdr:sp macro="" textlink="">
        <xdr:nvSpPr>
          <xdr:cNvPr id="69" name="Seta para a Direita 68"/>
          <xdr:cNvSpPr/>
        </xdr:nvSpPr>
        <xdr:spPr>
          <a:xfrm>
            <a:off x="369224" y="23346923"/>
            <a:ext cx="1352550" cy="186426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70" name="Retângulo 69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 nomes dos CC's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</a:t>
            </a:r>
            <a:r>
              <a:rPr lang="pt-BR" sz="950" b="1" u="sng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R TODOS</a:t>
            </a:r>
            <a:r>
              <a:rPr lang="pt-BR" sz="950" b="1" u="none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188424</xdr:colOff>
      <xdr:row>158</xdr:row>
      <xdr:rowOff>9</xdr:rowOff>
    </xdr:from>
    <xdr:to>
      <xdr:col>0</xdr:col>
      <xdr:colOff>1448424</xdr:colOff>
      <xdr:row>169</xdr:row>
      <xdr:rowOff>268953</xdr:rowOff>
    </xdr:to>
    <xdr:grpSp>
      <xdr:nvGrpSpPr>
        <xdr:cNvPr id="71" name="Agrupar 70"/>
        <xdr:cNvGrpSpPr/>
      </xdr:nvGrpSpPr>
      <xdr:grpSpPr>
        <a:xfrm>
          <a:off x="188424" y="36516201"/>
          <a:ext cx="1260000" cy="2827403"/>
          <a:chOff x="62459" y="21759160"/>
          <a:chExt cx="1659315" cy="1764208"/>
        </a:xfrm>
      </xdr:grpSpPr>
      <xdr:sp macro="" textlink="">
        <xdr:nvSpPr>
          <xdr:cNvPr id="72" name="Seta para a Direita 71"/>
          <xdr:cNvSpPr/>
        </xdr:nvSpPr>
        <xdr:spPr>
          <a:xfrm>
            <a:off x="369224" y="23336942"/>
            <a:ext cx="1352550" cy="186426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73" name="Retângulo 72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 b="0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Os nomes dos CC's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NÃO ESTÃO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</a:p>
          <a:p>
            <a:pPr algn="ctr" eaLnBrk="1" fontAlgn="auto" latinLnBrk="0" hangingPunct="1"/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EM ORDEM</a:t>
            </a:r>
            <a:r>
              <a:rPr lang="pt-BR" sz="950" b="1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ALFABÉTICA</a:t>
            </a:r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</a:p>
          <a:p>
            <a:pPr algn="ctr" eaLnBrk="1" fontAlgn="auto" latinLnBrk="0" hangingPunct="1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</a:t>
            </a:r>
            <a:endParaRPr lang="pt-BR" sz="950"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  <a:p>
            <a:pPr algn="ctr"/>
            <a:r>
              <a:rPr lang="pt-BR" sz="950" b="1" baseline="0">
                <a:solidFill>
                  <a:sysClr val="windowText" lastClr="000000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Procure com calma, na lista deve </a:t>
            </a:r>
            <a:r>
              <a:rPr lang="pt-BR" sz="950" b="1" u="sng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APARECER TODOS</a:t>
            </a:r>
            <a:r>
              <a:rPr lang="pt-BR" sz="950" b="1" u="none" baseline="0">
                <a:solidFill>
                  <a:srgbClr val="0000FF"/>
                </a:solidFill>
                <a:effectLst/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</a:t>
            </a:r>
            <a:endParaRPr lang="pt-BR" sz="95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0</xdr:col>
      <xdr:colOff>177582</xdr:colOff>
      <xdr:row>11</xdr:row>
      <xdr:rowOff>0</xdr:rowOff>
    </xdr:from>
    <xdr:to>
      <xdr:col>0</xdr:col>
      <xdr:colOff>1473582</xdr:colOff>
      <xdr:row>20</xdr:row>
      <xdr:rowOff>14275</xdr:rowOff>
    </xdr:to>
    <xdr:sp macro="" textlink="">
      <xdr:nvSpPr>
        <xdr:cNvPr id="74" name="Texto explicativo em seta para a direita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77582" y="1944037"/>
          <a:ext cx="1296000" cy="2052000"/>
        </a:xfrm>
        <a:prstGeom prst="rightArrowCallout">
          <a:avLst/>
        </a:prstGeom>
        <a:solidFill>
          <a:schemeClr val="accent1">
            <a:lumMod val="20000"/>
            <a:lumOff val="8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GRUPO  DE  CUSTOS:</a:t>
          </a:r>
        </a:p>
        <a:p>
          <a:pPr algn="ctr"/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Nomes na </a:t>
          </a:r>
          <a:r>
            <a:rPr lang="pt-BR" sz="950" b="1" u="sng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PRIMEIRA COLUNA</a:t>
          </a:r>
          <a:r>
            <a:rPr lang="pt-BR" sz="950" b="1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</a:t>
          </a:r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Devem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Estar  Examente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IGUAIS</a:t>
          </a:r>
          <a:r>
            <a:rPr lang="pt-BR" sz="950" b="1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</a:t>
          </a:r>
          <a:r>
            <a:rPr lang="pt-BR" sz="95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Áqueles  Contantes  nos  </a:t>
          </a:r>
          <a:r>
            <a:rPr lang="pt-BR" sz="950" b="1" u="sng" baseline="0">
              <a:solidFill>
                <a:srgbClr val="0000FF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RELATÓRIO  APURASUS</a:t>
          </a:r>
          <a:endParaRPr lang="pt-BR" sz="950" b="1" u="sng">
            <a:solidFill>
              <a:srgbClr val="0000FF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188424</xdr:colOff>
      <xdr:row>171</xdr:row>
      <xdr:rowOff>0</xdr:rowOff>
    </xdr:from>
    <xdr:to>
      <xdr:col>0</xdr:col>
      <xdr:colOff>1448424</xdr:colOff>
      <xdr:row>179</xdr:row>
      <xdr:rowOff>111000</xdr:rowOff>
    </xdr:to>
    <xdr:grpSp>
      <xdr:nvGrpSpPr>
        <xdr:cNvPr id="75" name="Agrupar 74"/>
        <xdr:cNvGrpSpPr/>
      </xdr:nvGrpSpPr>
      <xdr:grpSpPr>
        <a:xfrm>
          <a:off x="188424" y="39628430"/>
          <a:ext cx="1260000" cy="1971698"/>
          <a:chOff x="62459" y="21699171"/>
          <a:chExt cx="1659315" cy="1785419"/>
        </a:xfrm>
      </xdr:grpSpPr>
      <xdr:sp macro="" textlink="">
        <xdr:nvSpPr>
          <xdr:cNvPr id="76" name="Seta para a Direita 75"/>
          <xdr:cNvSpPr/>
        </xdr:nvSpPr>
        <xdr:spPr>
          <a:xfrm>
            <a:off x="369224" y="21699171"/>
            <a:ext cx="1352550" cy="259057"/>
          </a:xfrm>
          <a:prstGeom prst="rightArrow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77" name="Retângulo 76"/>
          <xdr:cNvSpPr/>
        </xdr:nvSpPr>
        <xdr:spPr>
          <a:xfrm>
            <a:off x="62459" y="21759160"/>
            <a:ext cx="1288217" cy="172543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eaLnBrk="1" fontAlgn="auto" latinLnBrk="0" hangingPunct="1"/>
            <a:r>
              <a:rPr lang="pt-BR" sz="95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Caso identifique </a:t>
            </a:r>
            <a:r>
              <a:rPr lang="pt-BR" sz="950" b="1" u="sng">
                <a:solidFill>
                  <a:srgbClr val="0000F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QUALQUER ANOMALIA </a:t>
            </a:r>
            <a:r>
              <a:rPr lang="pt-BR" sz="950" b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entre os indicadores </a:t>
            </a:r>
            <a:r>
              <a:rPr lang="pt-BR" sz="950" b="1" u="sng">
                <a:solidFill>
                  <a:srgbClr val="0000F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DEVE INFORMAR</a:t>
            </a:r>
            <a:r>
              <a:rPr lang="pt-BR" sz="950">
                <a:solidFill>
                  <a:srgbClr val="0000FF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. </a:t>
            </a:r>
          </a:p>
        </xdr:txBody>
      </xdr:sp>
    </xdr:grpSp>
    <xdr:clientData/>
  </xdr:twoCellAnchor>
  <xdr:twoCellAnchor>
    <xdr:from>
      <xdr:col>0</xdr:col>
      <xdr:colOff>77840</xdr:colOff>
      <xdr:row>229</xdr:row>
      <xdr:rowOff>117111</xdr:rowOff>
    </xdr:from>
    <xdr:to>
      <xdr:col>0</xdr:col>
      <xdr:colOff>1445840</xdr:colOff>
      <xdr:row>231</xdr:row>
      <xdr:rowOff>96283</xdr:rowOff>
    </xdr:to>
    <xdr:sp macro="" textlink="">
      <xdr:nvSpPr>
        <xdr:cNvPr id="78" name="Seta para a Direita 77"/>
        <xdr:cNvSpPr/>
      </xdr:nvSpPr>
      <xdr:spPr>
        <a:xfrm>
          <a:off x="77840" y="52004939"/>
          <a:ext cx="1368000" cy="432000"/>
        </a:xfrm>
        <a:prstGeom prst="rightArrow">
          <a:avLst/>
        </a:prstGeom>
        <a:solidFill>
          <a:srgbClr val="FFFF66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VERSÃO</a:t>
          </a:r>
          <a:r>
            <a:rPr lang="pt-BR" sz="95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(mês/ ano)</a:t>
          </a:r>
          <a:r>
            <a:rPr lang="pt-BR" sz="95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2280228</xdr:colOff>
      <xdr:row>18</xdr:row>
      <xdr:rowOff>149115</xdr:rowOff>
    </xdr:from>
    <xdr:to>
      <xdr:col>0</xdr:col>
      <xdr:colOff>4361028</xdr:colOff>
      <xdr:row>30</xdr:row>
      <xdr:rowOff>190281</xdr:rowOff>
    </xdr:to>
    <xdr:sp macro="" textlink="">
      <xdr:nvSpPr>
        <xdr:cNvPr id="8" name="Fluxograma: Process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2280228" y="4478660"/>
          <a:ext cx="2080800" cy="2869803"/>
        </a:xfrm>
        <a:prstGeom prst="flowChartProcess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ALTERA  AUTOMATICAMENTE. </a:t>
          </a:r>
          <a:r>
            <a:rPr lang="pt-BR" sz="1100" b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Conforme o Centro de Custo  selecionado.</a:t>
          </a:r>
          <a:endParaRPr lang="pt-BR" sz="1100" b="0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PrintsWithSheet="0"/>
  </xdr:twoCellAnchor>
  <xdr:twoCellAnchor editAs="oneCell">
    <xdr:from>
      <xdr:col>0</xdr:col>
      <xdr:colOff>2812474</xdr:colOff>
      <xdr:row>32</xdr:row>
      <xdr:rowOff>137463</xdr:rowOff>
    </xdr:from>
    <xdr:to>
      <xdr:col>0</xdr:col>
      <xdr:colOff>4025472</xdr:colOff>
      <xdr:row>35</xdr:row>
      <xdr:rowOff>71777</xdr:rowOff>
    </xdr:to>
    <xdr:sp macro="" textlink="">
      <xdr:nvSpPr>
        <xdr:cNvPr id="10" name="Seta para a direita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2812474" y="7833663"/>
          <a:ext cx="1212998" cy="762988"/>
        </a:xfrm>
        <a:prstGeom prst="rightArrow">
          <a:avLst/>
        </a:prstGeom>
        <a:solidFill>
          <a:srgbClr val="FFFF00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Livre  Para  Preencher.</a:t>
          </a:r>
        </a:p>
      </xdr:txBody>
    </xdr:sp>
    <xdr:clientData fPrintsWithSheet="0"/>
  </xdr:twoCellAnchor>
  <xdr:twoCellAnchor editAs="oneCell">
    <xdr:from>
      <xdr:col>1</xdr:col>
      <xdr:colOff>95250</xdr:colOff>
      <xdr:row>49</xdr:row>
      <xdr:rowOff>266700</xdr:rowOff>
    </xdr:from>
    <xdr:to>
      <xdr:col>8</xdr:col>
      <xdr:colOff>9525</xdr:colOff>
      <xdr:row>51</xdr:row>
      <xdr:rowOff>65425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3975" y="13439775"/>
          <a:ext cx="8877300" cy="346413"/>
        </a:xfrm>
        <a:prstGeom prst="rect">
          <a:avLst/>
        </a:prstGeom>
      </xdr:spPr>
    </xdr:pic>
    <xdr:clientData/>
  </xdr:twoCellAnchor>
  <xdr:twoCellAnchor editAs="oneCell">
    <xdr:from>
      <xdr:col>0</xdr:col>
      <xdr:colOff>2280228</xdr:colOff>
      <xdr:row>7</xdr:row>
      <xdr:rowOff>168089</xdr:rowOff>
    </xdr:from>
    <xdr:to>
      <xdr:col>0</xdr:col>
      <xdr:colOff>4361674</xdr:colOff>
      <xdr:row>15</xdr:row>
      <xdr:rowOff>117200</xdr:rowOff>
    </xdr:to>
    <xdr:grpSp>
      <xdr:nvGrpSpPr>
        <xdr:cNvPr id="21" name="Agrupar 20"/>
        <xdr:cNvGrpSpPr/>
      </xdr:nvGrpSpPr>
      <xdr:grpSpPr>
        <a:xfrm>
          <a:off x="2280228" y="1879828"/>
          <a:ext cx="2081446" cy="1909329"/>
          <a:chOff x="256428" y="1976626"/>
          <a:chExt cx="2096200" cy="1682398"/>
        </a:xfrm>
      </xdr:grpSpPr>
      <xdr:sp macro="" textlink="">
        <xdr:nvSpPr>
          <xdr:cNvPr id="22" name="Seta para a direita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1668628" y="1976626"/>
            <a:ext cx="684000" cy="341245"/>
          </a:xfrm>
          <a:prstGeom prst="rightArrow">
            <a:avLst/>
          </a:prstGeom>
          <a:ln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3" name="Seta para a direita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1668628" y="3317779"/>
            <a:ext cx="684000" cy="341245"/>
          </a:xfrm>
          <a:prstGeom prst="rightArrow">
            <a:avLst/>
          </a:prstGeom>
          <a:ln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4" name="Retângulo 23"/>
          <xdr:cNvSpPr/>
        </xdr:nvSpPr>
        <xdr:spPr>
          <a:xfrm>
            <a:off x="256428" y="2059213"/>
            <a:ext cx="1476216" cy="1526400"/>
          </a:xfrm>
          <a:prstGeom prst="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2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ÚLTIMO  MÊS  </a:t>
            </a:r>
            <a:r>
              <a:rPr lang="pt-BR" sz="12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REFERÊNCIA  DO  </a:t>
            </a:r>
            <a:r>
              <a:rPr lang="pt-BR" sz="12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QUADRIMESTRE.</a:t>
            </a:r>
            <a:endParaRPr lang="pt-BR" sz="1200" b="1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 fPrintsWithSheet="0"/>
  </xdr:twoCellAnchor>
  <xdr:twoCellAnchor editAs="oneCell">
    <xdr:from>
      <xdr:col>8</xdr:col>
      <xdr:colOff>77931</xdr:colOff>
      <xdr:row>7</xdr:row>
      <xdr:rowOff>168089</xdr:rowOff>
    </xdr:from>
    <xdr:to>
      <xdr:col>8</xdr:col>
      <xdr:colOff>1985931</xdr:colOff>
      <xdr:row>15</xdr:row>
      <xdr:rowOff>118549</xdr:rowOff>
    </xdr:to>
    <xdr:grpSp>
      <xdr:nvGrpSpPr>
        <xdr:cNvPr id="25" name="Agrupar 24"/>
        <xdr:cNvGrpSpPr/>
      </xdr:nvGrpSpPr>
      <xdr:grpSpPr>
        <a:xfrm>
          <a:off x="13550974" y="1879828"/>
          <a:ext cx="1908000" cy="1910678"/>
          <a:chOff x="1668628" y="1976626"/>
          <a:chExt cx="1823866" cy="1682398"/>
        </a:xfrm>
        <a:solidFill>
          <a:srgbClr val="FFFFCC"/>
        </a:solidFill>
      </xdr:grpSpPr>
      <xdr:sp macro="" textlink="">
        <xdr:nvSpPr>
          <xdr:cNvPr id="26" name="Seta para a direita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 rot="10800000">
            <a:off x="1668628" y="1976626"/>
            <a:ext cx="684000" cy="341245"/>
          </a:xfrm>
          <a:prstGeom prst="rightArrow">
            <a:avLst/>
          </a:prstGeom>
          <a:grpFill/>
          <a:ln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7" name="Seta para a direita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 rot="10800000">
            <a:off x="1668628" y="3317779"/>
            <a:ext cx="684000" cy="341245"/>
          </a:xfrm>
          <a:prstGeom prst="rightArrow">
            <a:avLst/>
          </a:prstGeom>
          <a:grpFill/>
          <a:ln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8" name="Retângulo 27"/>
          <xdr:cNvSpPr/>
        </xdr:nvSpPr>
        <xdr:spPr>
          <a:xfrm>
            <a:off x="2204351" y="2059213"/>
            <a:ext cx="1288143" cy="1526400"/>
          </a:xfrm>
          <a:prstGeom prst="rect">
            <a:avLst/>
          </a:prstGeom>
          <a:grpFill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2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VARIAÇÕES  A</a:t>
            </a:r>
            <a:r>
              <a:rPr lang="pt-BR" sz="1200" b="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SEREM  </a:t>
            </a:r>
            <a:r>
              <a:rPr lang="pt-BR" sz="12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EXIBIDAS </a:t>
            </a:r>
            <a:r>
              <a:rPr lang="pt-BR" sz="1200" b="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ABAIXO  DO  GRÁFICO  DO  </a:t>
            </a:r>
            <a:r>
              <a:rPr lang="pt-BR" sz="1200" b="1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RELATÓRIO.</a:t>
            </a:r>
            <a:endParaRPr lang="pt-BR" sz="12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 fPrintsWithSheet="0"/>
  </xdr:twoCellAnchor>
  <xdr:twoCellAnchor>
    <xdr:from>
      <xdr:col>1</xdr:col>
      <xdr:colOff>36802</xdr:colOff>
      <xdr:row>19</xdr:row>
      <xdr:rowOff>21431</xdr:rowOff>
    </xdr:from>
    <xdr:to>
      <xdr:col>4</xdr:col>
      <xdr:colOff>820784</xdr:colOff>
      <xdr:row>30</xdr:row>
      <xdr:rowOff>189772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869156</xdr:colOff>
      <xdr:row>19</xdr:row>
      <xdr:rowOff>21431</xdr:rowOff>
    </xdr:from>
    <xdr:to>
      <xdr:col>7</xdr:col>
      <xdr:colOff>977729</xdr:colOff>
      <xdr:row>30</xdr:row>
      <xdr:rowOff>189772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2298992</xdr:colOff>
      <xdr:row>0</xdr:row>
      <xdr:rowOff>133735</xdr:rowOff>
    </xdr:from>
    <xdr:to>
      <xdr:col>0</xdr:col>
      <xdr:colOff>3512342</xdr:colOff>
      <xdr:row>1</xdr:row>
      <xdr:rowOff>156707</xdr:rowOff>
    </xdr:to>
    <xdr:sp macro="[0]!Select_Last" textlink="">
      <xdr:nvSpPr>
        <xdr:cNvPr id="15" name="Retângulo Arredondado 14"/>
        <xdr:cNvSpPr/>
      </xdr:nvSpPr>
      <xdr:spPr>
        <a:xfrm>
          <a:off x="2298992" y="133735"/>
          <a:ext cx="1213350" cy="36933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 VOLTAR</a:t>
          </a:r>
        </a:p>
      </xdr:txBody>
    </xdr:sp>
    <xdr:clientData fPrintsWithSheet="0"/>
  </xdr:twoCellAnchor>
  <xdr:twoCellAnchor>
    <xdr:from>
      <xdr:col>8</xdr:col>
      <xdr:colOff>192424</xdr:colOff>
      <xdr:row>0</xdr:row>
      <xdr:rowOff>182800</xdr:rowOff>
    </xdr:from>
    <xdr:to>
      <xdr:col>8</xdr:col>
      <xdr:colOff>3530985</xdr:colOff>
      <xdr:row>4</xdr:row>
      <xdr:rowOff>113542</xdr:rowOff>
    </xdr:to>
    <xdr:sp macro="" textlink="">
      <xdr:nvSpPr>
        <xdr:cNvPr id="3" name="Seta para a Esquerda 2"/>
        <xdr:cNvSpPr/>
      </xdr:nvSpPr>
      <xdr:spPr>
        <a:xfrm>
          <a:off x="13652500" y="182800"/>
          <a:ext cx="3338561" cy="864000"/>
        </a:xfrm>
        <a:prstGeom prst="leftArrow">
          <a:avLst/>
        </a:prstGeom>
        <a:solidFill>
          <a:schemeClr val="accent2">
            <a:lumMod val="40000"/>
            <a:lumOff val="6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eaLnBrk="1" fontAlgn="auto" latinLnBrk="0" hangingPunct="1"/>
          <a:r>
            <a:rPr lang="pt-BR" sz="105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Os</a:t>
          </a:r>
          <a:r>
            <a:rPr lang="pt-BR" sz="105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nomes</a:t>
          </a:r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050" b="1" u="sng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NÃO ESTÃO</a:t>
          </a:r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05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em ordem</a:t>
          </a:r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050" b="1" u="sng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ALFABÉTICA</a:t>
          </a:r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 </a:t>
          </a:r>
          <a:endParaRPr lang="pt-BR" sz="1050">
            <a:solidFill>
              <a:sysClr val="windowText" lastClr="000000"/>
            </a:solidFill>
            <a:effectLst/>
          </a:endParaRPr>
        </a:p>
        <a:p>
          <a:pPr algn="l" eaLnBrk="1" fontAlgn="auto" latinLnBrk="0" hangingPunct="1"/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Procure com calma, na lista deve </a:t>
          </a:r>
          <a:r>
            <a:rPr lang="pt-BR" sz="1050" b="1" u="sng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APARECER TODOS</a:t>
          </a:r>
          <a:r>
            <a:rPr lang="pt-BR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pt-BR" sz="1050">
            <a:solidFill>
              <a:sysClr val="windowText" lastClr="000000"/>
            </a:solidFill>
            <a:effectLst/>
          </a:endParaRPr>
        </a:p>
        <a:p>
          <a:pPr algn="l"/>
          <a:endParaRPr lang="pt-BR" sz="105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123265</xdr:colOff>
      <xdr:row>0</xdr:row>
      <xdr:rowOff>100853</xdr:rowOff>
    </xdr:from>
    <xdr:to>
      <xdr:col>2</xdr:col>
      <xdr:colOff>414618</xdr:colOff>
      <xdr:row>2</xdr:row>
      <xdr:rowOff>22412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23265" y="100853"/>
          <a:ext cx="874059" cy="30255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304800</xdr:colOff>
      <xdr:row>7</xdr:row>
      <xdr:rowOff>114300</xdr:rowOff>
    </xdr:to>
    <xdr:sp macro="" textlink="">
      <xdr:nvSpPr>
        <xdr:cNvPr id="35841" name="AutoShape 1" descr="Vetores Validação: Desenho vetorial, imagens vetoriais Validação|  Depositphotos">
          <a:extLst>
            <a:ext uri="{FF2B5EF4-FFF2-40B4-BE49-F238E27FC236}">
              <a16:creationId xmlns:a16="http://schemas.microsoft.com/office/drawing/2014/main" id="{00000000-0008-0000-0B00-0000018C0000}"/>
            </a:ext>
          </a:extLst>
        </xdr:cNvPr>
        <xdr:cNvSpPr>
          <a:spLocks noChangeAspect="1" noChangeArrowheads="1"/>
        </xdr:cNvSpPr>
      </xdr:nvSpPr>
      <xdr:spPr bwMode="auto">
        <a:xfrm>
          <a:off x="5600700" y="361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392209</xdr:colOff>
      <xdr:row>0</xdr:row>
      <xdr:rowOff>145676</xdr:rowOff>
    </xdr:from>
    <xdr:to>
      <xdr:col>2</xdr:col>
      <xdr:colOff>1736913</xdr:colOff>
      <xdr:row>4</xdr:row>
      <xdr:rowOff>37746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4915" y="145676"/>
          <a:ext cx="1344704" cy="654070"/>
        </a:xfrm>
        <a:prstGeom prst="rect">
          <a:avLst/>
        </a:prstGeom>
      </xdr:spPr>
    </xdr:pic>
    <xdr:clientData/>
  </xdr:twoCellAnchor>
  <xdr:oneCellAnchor>
    <xdr:from>
      <xdr:col>0</xdr:col>
      <xdr:colOff>157574</xdr:colOff>
      <xdr:row>0</xdr:row>
      <xdr:rowOff>126065</xdr:rowOff>
    </xdr:from>
    <xdr:ext cx="17962338" cy="490257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57574" y="126065"/>
          <a:ext cx="17962338" cy="490257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200" b="0" cap="none" spc="0">
              <a:ln w="0"/>
              <a:solidFill>
                <a:srgbClr val="000099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CENTROS</a:t>
          </a:r>
          <a:r>
            <a:rPr lang="pt-BR" sz="3200" b="0" cap="none" spc="0" baseline="0">
              <a:ln w="0"/>
              <a:solidFill>
                <a:srgbClr val="000099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CUSTOS VALIDADOS NO QUADRIMESTRE</a:t>
          </a:r>
        </a:p>
      </xdr:txBody>
    </xdr:sp>
    <xdr:clientData/>
  </xdr:oneCellAnchor>
  <xdr:twoCellAnchor editAs="oneCell">
    <xdr:from>
      <xdr:col>0</xdr:col>
      <xdr:colOff>212912</xdr:colOff>
      <xdr:row>0</xdr:row>
      <xdr:rowOff>179294</xdr:rowOff>
    </xdr:from>
    <xdr:to>
      <xdr:col>2</xdr:col>
      <xdr:colOff>332157</xdr:colOff>
      <xdr:row>1</xdr:row>
      <xdr:rowOff>123561</xdr:rowOff>
    </xdr:to>
    <xdr:sp macro="[0]!Voltar" textlink="">
      <xdr:nvSpPr>
        <xdr:cNvPr id="5" name="Retângulo de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12912" y="179294"/>
          <a:ext cx="701951" cy="134767"/>
        </a:xfrm>
        <a:prstGeom prst="roundRect">
          <a:avLst/>
        </a:prstGeom>
        <a:ln>
          <a:solidFill>
            <a:schemeClr val="bg1">
              <a:lumMod val="85000"/>
            </a:schemeClr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 b="1"/>
            <a:t>INÍCIO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ngc.dirase.central@gmail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M54"/>
  <sheetViews>
    <sheetView showGridLines="0" zoomScale="85" zoomScaleNormal="85" workbookViewId="0">
      <pane xSplit="23" ySplit="46" topLeftCell="X71" activePane="bottomRight" state="frozen"/>
      <selection activeCell="W1" sqref="W1"/>
      <selection pane="topRight" activeCell="W1" sqref="W1"/>
      <selection pane="bottomLeft" activeCell="W1" sqref="W1"/>
      <selection pane="bottomRight" activeCell="A12" sqref="A12"/>
    </sheetView>
  </sheetViews>
  <sheetFormatPr defaultColWidth="8.88671875" defaultRowHeight="15" x14ac:dyDescent="0.25"/>
  <cols>
    <col min="1" max="1" width="8.88671875" style="43"/>
    <col min="2" max="2" width="9.21875" style="43" customWidth="1"/>
    <col min="3" max="3" width="9.109375" style="43" customWidth="1"/>
    <col min="4" max="10" width="8.88671875" style="43"/>
    <col min="11" max="11" width="25.77734375" style="43" customWidth="1"/>
    <col min="12" max="12" width="10" style="43" customWidth="1"/>
    <col min="13" max="20" width="8.88671875" style="43"/>
    <col min="21" max="21" width="17.88671875" style="43" customWidth="1"/>
    <col min="22" max="22" width="21" style="43" customWidth="1"/>
    <col min="23" max="16384" width="8.88671875" style="43"/>
  </cols>
  <sheetData>
    <row r="1" spans="2:13" ht="2.25" customHeight="1" x14ac:dyDescent="0.25"/>
    <row r="7" spans="2:13" x14ac:dyDescent="0.25">
      <c r="B7" s="42"/>
    </row>
    <row r="8" spans="2:13" x14ac:dyDescent="0.25">
      <c r="B8" s="42"/>
    </row>
    <row r="9" spans="2:13" x14ac:dyDescent="0.25">
      <c r="B9" s="42"/>
    </row>
    <row r="10" spans="2:13" x14ac:dyDescent="0.25">
      <c r="B10" s="42"/>
    </row>
    <row r="11" spans="2:13" x14ac:dyDescent="0.25">
      <c r="B11" s="42"/>
    </row>
    <row r="12" spans="2:13" x14ac:dyDescent="0.25">
      <c r="B12" s="42"/>
    </row>
    <row r="13" spans="2:13" x14ac:dyDescent="0.25">
      <c r="B13" s="42"/>
      <c r="K13" s="44"/>
    </row>
    <row r="14" spans="2:13" x14ac:dyDescent="0.25">
      <c r="B14" s="42"/>
      <c r="K14" s="44"/>
      <c r="M14" s="46" t="s">
        <v>107</v>
      </c>
    </row>
    <row r="15" spans="2:13" x14ac:dyDescent="0.25">
      <c r="B15" s="42"/>
      <c r="K15" s="45"/>
      <c r="M15" s="46" t="s">
        <v>122</v>
      </c>
    </row>
    <row r="16" spans="2:13" x14ac:dyDescent="0.25">
      <c r="B16" s="42"/>
      <c r="M16" s="43" t="s">
        <v>125</v>
      </c>
    </row>
    <row r="17" spans="2:13" x14ac:dyDescent="0.25">
      <c r="B17" s="42"/>
      <c r="M17" s="43" t="s">
        <v>123</v>
      </c>
    </row>
    <row r="18" spans="2:13" x14ac:dyDescent="0.25">
      <c r="M18" s="43" t="s">
        <v>124</v>
      </c>
    </row>
    <row r="19" spans="2:13" x14ac:dyDescent="0.25">
      <c r="M19" s="49" t="s">
        <v>135</v>
      </c>
    </row>
    <row r="20" spans="2:13" x14ac:dyDescent="0.25">
      <c r="M20" s="43" t="s">
        <v>126</v>
      </c>
    </row>
    <row r="21" spans="2:13" x14ac:dyDescent="0.25">
      <c r="C21" s="43" t="s">
        <v>128</v>
      </c>
    </row>
    <row r="22" spans="2:13" ht="15" customHeight="1" x14ac:dyDescent="0.25">
      <c r="C22" s="46" t="s">
        <v>108</v>
      </c>
      <c r="I22" s="47"/>
      <c r="J22" s="47"/>
      <c r="K22" s="47"/>
      <c r="L22" s="47"/>
      <c r="M22" s="46" t="s">
        <v>129</v>
      </c>
    </row>
    <row r="23" spans="2:13" x14ac:dyDescent="0.25">
      <c r="C23" s="43" t="s">
        <v>109</v>
      </c>
      <c r="M23" s="43" t="s">
        <v>123</v>
      </c>
    </row>
    <row r="24" spans="2:13" x14ac:dyDescent="0.25">
      <c r="C24" s="43" t="s">
        <v>110</v>
      </c>
    </row>
    <row r="25" spans="2:13" x14ac:dyDescent="0.25">
      <c r="C25" s="43" t="s">
        <v>111</v>
      </c>
      <c r="M25" s="46" t="s">
        <v>130</v>
      </c>
    </row>
    <row r="26" spans="2:13" x14ac:dyDescent="0.25">
      <c r="C26" s="43" t="s">
        <v>112</v>
      </c>
      <c r="M26" s="50" t="s">
        <v>136</v>
      </c>
    </row>
    <row r="27" spans="2:13" x14ac:dyDescent="0.25">
      <c r="C27" s="43" t="s">
        <v>113</v>
      </c>
      <c r="M27" s="43" t="s">
        <v>127</v>
      </c>
    </row>
    <row r="28" spans="2:13" x14ac:dyDescent="0.25">
      <c r="C28" s="43" t="s">
        <v>114</v>
      </c>
      <c r="M28" s="43" t="s">
        <v>124</v>
      </c>
    </row>
    <row r="29" spans="2:13" x14ac:dyDescent="0.25">
      <c r="C29" s="46" t="s">
        <v>115</v>
      </c>
    </row>
    <row r="30" spans="2:13" x14ac:dyDescent="0.25">
      <c r="C30" s="43" t="s">
        <v>116</v>
      </c>
      <c r="M30" s="46" t="s">
        <v>133</v>
      </c>
    </row>
    <row r="31" spans="2:13" x14ac:dyDescent="0.25">
      <c r="C31" s="43" t="s">
        <v>117</v>
      </c>
      <c r="M31" s="49" t="s">
        <v>134</v>
      </c>
    </row>
    <row r="32" spans="2:13" x14ac:dyDescent="0.25">
      <c r="C32" s="43" t="s">
        <v>118</v>
      </c>
      <c r="M32" s="43" t="s">
        <v>124</v>
      </c>
    </row>
    <row r="33" spans="3:3" x14ac:dyDescent="0.25">
      <c r="C33" s="43" t="s">
        <v>119</v>
      </c>
    </row>
    <row r="34" spans="3:3" x14ac:dyDescent="0.25">
      <c r="C34" s="43" t="s">
        <v>120</v>
      </c>
    </row>
    <row r="35" spans="3:3" x14ac:dyDescent="0.25">
      <c r="C35" s="43" t="s">
        <v>121</v>
      </c>
    </row>
    <row r="38" spans="3:3" ht="38.25" customHeight="1" x14ac:dyDescent="0.25"/>
    <row r="41" spans="3:3" ht="66" customHeight="1" x14ac:dyDescent="0.25"/>
    <row r="43" spans="3:3" ht="46.5" customHeight="1" x14ac:dyDescent="0.25"/>
    <row r="53" spans="3:3" ht="39.75" customHeight="1" x14ac:dyDescent="0.25">
      <c r="C53" s="48"/>
    </row>
    <row r="54" spans="3:3" x14ac:dyDescent="0.25">
      <c r="C54" s="49"/>
    </row>
  </sheetData>
  <sheetProtection algorithmName="SHA-512" hashValue="6opwbd9x9vPogEA7GdOySyH6UWoxcouePVPAHaAkb6s1YJNAZmGKwLvj8uZWBpLkehyhvt1V527dg0mUlH2yIA==" saltValue="mbc1dAhiFqhkPhLd65CyAQ==" spinCount="100000" sheet="1" objects="1" scenarios="1" selectLockedCells="1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FFFF00"/>
  </sheetPr>
  <dimension ref="A1:AB64"/>
  <sheetViews>
    <sheetView showGridLines="0" showRowColHeaders="0" zoomScale="83" zoomScaleNormal="83" zoomScaleSheetLayoutView="109" workbookViewId="0">
      <pane xSplit="15" ySplit="3" topLeftCell="P22" activePane="bottomRight" state="frozen"/>
      <selection pane="topRight" activeCell="P1" sqref="P1"/>
      <selection pane="bottomLeft" activeCell="A4" sqref="A4"/>
      <selection pane="bottomRight" activeCell="B26" sqref="B26:N26"/>
    </sheetView>
  </sheetViews>
  <sheetFormatPr defaultRowHeight="15" x14ac:dyDescent="0.2"/>
  <cols>
    <col min="1" max="1" width="30.77734375" customWidth="1"/>
    <col min="2" max="14" width="8.77734375" customWidth="1"/>
    <col min="15" max="15" width="30.77734375" customWidth="1"/>
    <col min="24" max="26" width="8.88671875" customWidth="1"/>
  </cols>
  <sheetData>
    <row r="1" spans="1:28" ht="29.25" customHeight="1" x14ac:dyDescent="0.2">
      <c r="A1" s="10"/>
      <c r="B1" s="412" t="s">
        <v>208</v>
      </c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387"/>
      <c r="P1" s="384"/>
      <c r="Q1" s="384"/>
      <c r="R1" s="384"/>
      <c r="S1" s="384"/>
      <c r="T1" s="384"/>
      <c r="U1" s="384"/>
      <c r="V1" s="384"/>
      <c r="W1" s="384"/>
      <c r="X1" s="384"/>
      <c r="Y1" s="384"/>
    </row>
    <row r="2" spans="1:28" ht="15" customHeight="1" x14ac:dyDescent="0.2">
      <c r="A2" s="385"/>
      <c r="B2" s="380"/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5"/>
      <c r="P2" s="380"/>
      <c r="Q2" s="380"/>
      <c r="R2" s="380"/>
      <c r="S2" s="380"/>
      <c r="T2" s="380"/>
      <c r="U2" s="380"/>
      <c r="V2" s="380"/>
      <c r="W2" s="380"/>
      <c r="X2" s="380"/>
      <c r="Y2" s="380"/>
    </row>
    <row r="3" spans="1:28" ht="26.1" customHeight="1" x14ac:dyDescent="0.2">
      <c r="A3" s="386"/>
      <c r="B3" s="413" t="s">
        <v>212</v>
      </c>
      <c r="C3" s="414"/>
      <c r="D3" s="414"/>
      <c r="E3" s="414"/>
      <c r="F3" s="414"/>
      <c r="G3" s="414"/>
      <c r="H3" s="414"/>
      <c r="I3" s="414"/>
      <c r="J3" s="414"/>
      <c r="K3" s="414"/>
      <c r="L3" s="414"/>
      <c r="M3" s="414"/>
      <c r="N3" s="415"/>
      <c r="O3" s="386"/>
      <c r="P3" s="381"/>
      <c r="Q3" s="381"/>
      <c r="R3" s="381"/>
      <c r="S3" s="381"/>
      <c r="T3" s="381"/>
      <c r="U3" s="381"/>
      <c r="V3" s="381"/>
      <c r="W3" s="381"/>
      <c r="X3" s="381"/>
      <c r="Y3" s="381"/>
    </row>
    <row r="4" spans="1:28" x14ac:dyDescent="0.2">
      <c r="A4" s="10"/>
      <c r="O4" s="10"/>
    </row>
    <row r="5" spans="1:28" ht="12.95" customHeight="1" x14ac:dyDescent="0.2">
      <c r="A5" s="10"/>
      <c r="B5" s="391" t="s">
        <v>252</v>
      </c>
      <c r="C5" s="392"/>
      <c r="D5" s="392"/>
      <c r="E5" s="392"/>
      <c r="F5" s="392"/>
      <c r="G5" s="392"/>
      <c r="H5" s="392"/>
      <c r="I5" s="392"/>
      <c r="J5" s="392"/>
      <c r="K5" s="392"/>
      <c r="L5" s="392"/>
      <c r="M5" s="392"/>
      <c r="N5" s="393"/>
      <c r="O5" s="10"/>
    </row>
    <row r="6" spans="1:28" ht="12.95" customHeight="1" x14ac:dyDescent="0.2">
      <c r="A6" s="10"/>
      <c r="B6" s="394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6"/>
      <c r="O6" s="10"/>
    </row>
    <row r="7" spans="1:28" ht="18" customHeight="1" x14ac:dyDescent="0.2">
      <c r="A7" s="10"/>
      <c r="B7" s="400" t="s">
        <v>219</v>
      </c>
      <c r="C7" s="401"/>
      <c r="D7" s="401"/>
      <c r="E7" s="401"/>
      <c r="F7" s="401"/>
      <c r="G7" s="401"/>
      <c r="H7" s="401"/>
      <c r="I7" s="401"/>
      <c r="J7" s="401"/>
      <c r="K7" s="401"/>
      <c r="L7" s="401"/>
      <c r="M7" s="401"/>
      <c r="N7" s="402"/>
      <c r="O7" s="10"/>
    </row>
    <row r="8" spans="1:28" ht="18" customHeight="1" x14ac:dyDescent="0.2">
      <c r="A8" s="10"/>
      <c r="B8" s="400" t="s">
        <v>220</v>
      </c>
      <c r="C8" s="401"/>
      <c r="D8" s="401"/>
      <c r="E8" s="401"/>
      <c r="F8" s="401"/>
      <c r="G8" s="401"/>
      <c r="H8" s="401"/>
      <c r="I8" s="401"/>
      <c r="J8" s="401"/>
      <c r="K8" s="401"/>
      <c r="L8" s="401"/>
      <c r="M8" s="401"/>
      <c r="N8" s="402"/>
      <c r="O8" s="10"/>
    </row>
    <row r="9" spans="1:28" ht="18" customHeight="1" x14ac:dyDescent="0.2">
      <c r="A9" s="10"/>
      <c r="B9" s="400" t="s">
        <v>221</v>
      </c>
      <c r="C9" s="401"/>
      <c r="D9" s="401"/>
      <c r="E9" s="401"/>
      <c r="F9" s="401"/>
      <c r="G9" s="401"/>
      <c r="H9" s="401"/>
      <c r="I9" s="401"/>
      <c r="J9" s="401"/>
      <c r="K9" s="401"/>
      <c r="L9" s="401"/>
      <c r="M9" s="401"/>
      <c r="N9" s="402"/>
      <c r="O9" s="10"/>
      <c r="P9" s="382"/>
      <c r="Q9" s="382"/>
      <c r="R9" s="382"/>
      <c r="S9" s="382"/>
      <c r="T9" s="382"/>
      <c r="U9" s="382"/>
      <c r="V9" s="382"/>
      <c r="W9" s="382"/>
      <c r="X9" s="382"/>
      <c r="Y9" s="382"/>
      <c r="Z9" s="382"/>
      <c r="AA9" s="382"/>
      <c r="AB9" s="382"/>
    </row>
    <row r="10" spans="1:28" ht="18" customHeight="1" x14ac:dyDescent="0.2">
      <c r="A10" s="10"/>
      <c r="B10" s="400" t="s">
        <v>222</v>
      </c>
      <c r="C10" s="401"/>
      <c r="D10" s="401"/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10"/>
      <c r="P10" s="382"/>
      <c r="Q10" s="382"/>
      <c r="R10" s="382"/>
      <c r="S10" s="382"/>
      <c r="T10" s="382"/>
      <c r="U10" s="382"/>
      <c r="V10" s="382"/>
      <c r="W10" s="382"/>
      <c r="X10" s="382"/>
      <c r="Y10" s="382"/>
      <c r="Z10" s="382"/>
      <c r="AA10" s="382"/>
      <c r="AB10" s="382"/>
    </row>
    <row r="11" spans="1:28" ht="18" customHeight="1" x14ac:dyDescent="0.2">
      <c r="A11" s="10"/>
      <c r="B11" s="400" t="s">
        <v>223</v>
      </c>
      <c r="C11" s="401"/>
      <c r="D11" s="401"/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10"/>
      <c r="P11" s="383"/>
      <c r="Q11" s="383"/>
      <c r="R11" s="383"/>
      <c r="S11" s="383"/>
      <c r="T11" s="383"/>
      <c r="U11" s="383"/>
      <c r="V11" s="383"/>
      <c r="W11" s="383"/>
      <c r="X11" s="383"/>
      <c r="Y11" s="383"/>
      <c r="Z11" s="383"/>
      <c r="AA11" s="383"/>
      <c r="AB11" s="383"/>
    </row>
    <row r="12" spans="1:28" ht="18" customHeight="1" x14ac:dyDescent="0.2">
      <c r="A12" s="10"/>
      <c r="B12" s="400" t="s">
        <v>224</v>
      </c>
      <c r="C12" s="401"/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10"/>
      <c r="P12" s="383"/>
      <c r="Q12" s="383"/>
      <c r="R12" s="383"/>
      <c r="S12" s="383"/>
      <c r="T12" s="383"/>
      <c r="U12" s="383"/>
      <c r="V12" s="383"/>
      <c r="W12" s="383"/>
      <c r="X12" s="383"/>
      <c r="Y12" s="383"/>
      <c r="Z12" s="383"/>
      <c r="AA12" s="383"/>
      <c r="AB12" s="383"/>
    </row>
    <row r="13" spans="1:28" ht="18" customHeight="1" x14ac:dyDescent="0.2">
      <c r="A13" s="10"/>
      <c r="B13" s="400" t="s">
        <v>225</v>
      </c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10"/>
      <c r="P13" s="383"/>
      <c r="Q13" s="383"/>
      <c r="R13" s="383"/>
      <c r="S13" s="383"/>
      <c r="T13" s="383"/>
      <c r="U13" s="383"/>
      <c r="V13" s="383"/>
      <c r="W13" s="383"/>
      <c r="X13" s="383"/>
      <c r="Y13" s="383"/>
      <c r="Z13" s="383"/>
      <c r="AA13" s="383"/>
      <c r="AB13" s="383"/>
    </row>
    <row r="14" spans="1:28" ht="18" customHeight="1" x14ac:dyDescent="0.2">
      <c r="A14" s="10"/>
      <c r="B14" s="400" t="s">
        <v>226</v>
      </c>
      <c r="C14" s="401"/>
      <c r="D14" s="401"/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10"/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</row>
    <row r="15" spans="1:28" ht="18" customHeight="1" x14ac:dyDescent="0.2">
      <c r="A15" s="10"/>
      <c r="B15" s="400" t="s">
        <v>227</v>
      </c>
      <c r="C15" s="401"/>
      <c r="D15" s="401"/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10"/>
      <c r="P15" s="383"/>
      <c r="Q15" s="383"/>
      <c r="R15" s="383"/>
      <c r="S15" s="383"/>
      <c r="T15" s="383"/>
      <c r="U15" s="383"/>
      <c r="V15" s="383"/>
      <c r="W15" s="383"/>
      <c r="X15" s="383"/>
      <c r="Y15" s="383"/>
      <c r="Z15" s="383"/>
      <c r="AA15" s="383"/>
      <c r="AB15" s="383"/>
    </row>
    <row r="16" spans="1:28" ht="18" customHeight="1" x14ac:dyDescent="0.2">
      <c r="A16" s="10"/>
      <c r="B16" s="400" t="s">
        <v>211</v>
      </c>
      <c r="C16" s="401"/>
      <c r="D16" s="401"/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10"/>
      <c r="P16" s="383"/>
      <c r="Q16" s="383"/>
      <c r="R16" s="383"/>
      <c r="S16" s="383"/>
      <c r="T16" s="383"/>
      <c r="U16" s="383"/>
      <c r="V16" s="383"/>
      <c r="W16" s="383"/>
      <c r="X16" s="383"/>
      <c r="Y16" s="383"/>
      <c r="Z16" s="383"/>
      <c r="AA16" s="383"/>
      <c r="AB16" s="383"/>
    </row>
    <row r="17" spans="1:28" ht="18" customHeight="1" x14ac:dyDescent="0.2">
      <c r="A17" s="10"/>
      <c r="B17" s="400" t="s">
        <v>250</v>
      </c>
      <c r="C17" s="401"/>
      <c r="D17" s="401"/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10"/>
      <c r="P17" s="383"/>
      <c r="Q17" s="383"/>
      <c r="R17" s="383"/>
      <c r="S17" s="383"/>
      <c r="T17" s="383"/>
      <c r="U17" s="383"/>
      <c r="V17" s="383"/>
      <c r="W17" s="383"/>
      <c r="X17" s="383"/>
      <c r="Y17" s="383"/>
      <c r="Z17" s="383"/>
      <c r="AA17" s="383"/>
      <c r="AB17" s="383"/>
    </row>
    <row r="18" spans="1:28" ht="16.5" customHeight="1" x14ac:dyDescent="0.2">
      <c r="A18" s="10"/>
      <c r="B18" s="403"/>
      <c r="C18" s="404"/>
      <c r="D18" s="404"/>
      <c r="E18" s="404"/>
      <c r="F18" s="404"/>
      <c r="G18" s="404"/>
      <c r="H18" s="404"/>
      <c r="I18" s="404"/>
      <c r="J18" s="404"/>
      <c r="K18" s="404"/>
      <c r="L18" s="404"/>
      <c r="M18" s="404"/>
      <c r="N18" s="405"/>
      <c r="O18" s="10"/>
      <c r="P18" s="383"/>
      <c r="Q18" s="383"/>
      <c r="R18" s="383"/>
      <c r="S18" s="383"/>
      <c r="T18" s="383"/>
      <c r="U18" s="383"/>
      <c r="V18" s="383"/>
      <c r="W18" s="383"/>
      <c r="X18" s="383"/>
      <c r="Y18" s="383"/>
      <c r="Z18" s="383"/>
      <c r="AA18" s="383"/>
      <c r="AB18" s="383"/>
    </row>
    <row r="19" spans="1:28" ht="18" customHeight="1" x14ac:dyDescent="0.2">
      <c r="A19" s="10"/>
      <c r="O19" s="10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</row>
    <row r="20" spans="1:28" ht="12.95" customHeight="1" x14ac:dyDescent="0.2">
      <c r="A20" s="10"/>
      <c r="B20" s="391" t="s">
        <v>251</v>
      </c>
      <c r="C20" s="392"/>
      <c r="D20" s="392"/>
      <c r="E20" s="392"/>
      <c r="F20" s="392"/>
      <c r="G20" s="392"/>
      <c r="H20" s="392"/>
      <c r="I20" s="392"/>
      <c r="J20" s="392"/>
      <c r="K20" s="392"/>
      <c r="L20" s="392"/>
      <c r="M20" s="392"/>
      <c r="N20" s="393"/>
      <c r="O20" s="10"/>
      <c r="P20" s="383"/>
      <c r="Q20" s="383"/>
      <c r="R20" s="383"/>
      <c r="S20" s="383"/>
      <c r="T20" s="383"/>
      <c r="U20" s="383"/>
      <c r="V20" s="383"/>
      <c r="W20" s="383"/>
      <c r="X20" s="383"/>
      <c r="Y20" s="383"/>
      <c r="Z20" s="383"/>
      <c r="AA20" s="383"/>
      <c r="AB20" s="383"/>
    </row>
    <row r="21" spans="1:28" ht="12.95" customHeight="1" x14ac:dyDescent="0.2">
      <c r="A21" s="10"/>
      <c r="B21" s="394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6"/>
      <c r="O21" s="10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</row>
    <row r="22" spans="1:28" ht="18" customHeight="1" x14ac:dyDescent="0.2">
      <c r="A22" s="10"/>
      <c r="B22" s="400" t="s">
        <v>219</v>
      </c>
      <c r="C22" s="401"/>
      <c r="D22" s="401"/>
      <c r="E22" s="401"/>
      <c r="F22" s="401"/>
      <c r="G22" s="401"/>
      <c r="H22" s="401"/>
      <c r="I22" s="401"/>
      <c r="J22" s="401"/>
      <c r="K22" s="401"/>
      <c r="L22" s="401"/>
      <c r="M22" s="401"/>
      <c r="N22" s="402"/>
      <c r="O22" s="10"/>
      <c r="P22" s="383"/>
      <c r="Q22" s="383"/>
      <c r="R22" s="383"/>
      <c r="S22" s="383"/>
      <c r="T22" s="383"/>
      <c r="U22" s="383"/>
      <c r="V22" s="383"/>
      <c r="W22" s="383"/>
      <c r="X22" s="383"/>
      <c r="Y22" s="383"/>
      <c r="Z22" s="383"/>
      <c r="AA22" s="383"/>
      <c r="AB22" s="383"/>
    </row>
    <row r="23" spans="1:28" ht="18" customHeight="1" x14ac:dyDescent="0.2">
      <c r="A23" s="10"/>
      <c r="B23" s="400" t="s">
        <v>228</v>
      </c>
      <c r="C23" s="401"/>
      <c r="D23" s="401"/>
      <c r="E23" s="401"/>
      <c r="F23" s="401"/>
      <c r="G23" s="401"/>
      <c r="H23" s="401"/>
      <c r="I23" s="401"/>
      <c r="J23" s="401"/>
      <c r="K23" s="401"/>
      <c r="L23" s="401"/>
      <c r="M23" s="401"/>
      <c r="N23" s="402"/>
      <c r="O23" s="10"/>
      <c r="P23" s="383"/>
      <c r="Q23" s="383"/>
      <c r="R23" s="383"/>
      <c r="S23" s="383"/>
      <c r="T23" s="383"/>
      <c r="U23" s="383"/>
      <c r="V23" s="383"/>
      <c r="W23" s="383"/>
      <c r="X23" s="383"/>
      <c r="Y23" s="383"/>
      <c r="Z23" s="383"/>
      <c r="AA23" s="383"/>
      <c r="AB23" s="383"/>
    </row>
    <row r="24" spans="1:28" ht="18" customHeight="1" x14ac:dyDescent="0.2">
      <c r="A24" s="10"/>
      <c r="B24" s="400" t="s">
        <v>229</v>
      </c>
      <c r="C24" s="401"/>
      <c r="D24" s="401"/>
      <c r="E24" s="401"/>
      <c r="F24" s="401"/>
      <c r="G24" s="401"/>
      <c r="H24" s="401"/>
      <c r="I24" s="401"/>
      <c r="J24" s="401"/>
      <c r="K24" s="401"/>
      <c r="L24" s="401"/>
      <c r="M24" s="401"/>
      <c r="N24" s="402"/>
      <c r="O24" s="10"/>
      <c r="P24" s="383"/>
      <c r="Q24" s="383"/>
      <c r="R24" s="383"/>
      <c r="S24" s="383"/>
      <c r="T24" s="383"/>
      <c r="U24" s="383"/>
      <c r="V24" s="383"/>
      <c r="W24" s="383"/>
      <c r="X24" s="383"/>
      <c r="Y24" s="383"/>
      <c r="Z24" s="383"/>
      <c r="AA24" s="383"/>
      <c r="AB24" s="383"/>
    </row>
    <row r="25" spans="1:28" ht="18" customHeight="1" x14ac:dyDescent="0.2">
      <c r="A25" s="10"/>
      <c r="B25" s="400" t="s">
        <v>223</v>
      </c>
      <c r="C25" s="401"/>
      <c r="D25" s="401"/>
      <c r="E25" s="401"/>
      <c r="F25" s="401"/>
      <c r="G25" s="401"/>
      <c r="H25" s="401"/>
      <c r="I25" s="401"/>
      <c r="J25" s="401"/>
      <c r="K25" s="401"/>
      <c r="L25" s="401"/>
      <c r="M25" s="401"/>
      <c r="N25" s="402"/>
      <c r="O25" s="10"/>
      <c r="P25" s="383"/>
      <c r="Q25" s="383"/>
      <c r="R25" s="383"/>
      <c r="S25" s="383"/>
      <c r="T25" s="383"/>
      <c r="U25" s="383"/>
      <c r="V25" s="383"/>
      <c r="W25" s="383"/>
      <c r="X25" s="383"/>
      <c r="Y25" s="383"/>
      <c r="Z25" s="383"/>
      <c r="AA25" s="383"/>
      <c r="AB25" s="383"/>
    </row>
    <row r="26" spans="1:28" ht="18" customHeight="1" x14ac:dyDescent="0.2">
      <c r="A26" s="10"/>
      <c r="B26" s="400" t="s">
        <v>224</v>
      </c>
      <c r="C26" s="401"/>
      <c r="D26" s="401"/>
      <c r="E26" s="401"/>
      <c r="F26" s="401"/>
      <c r="G26" s="401"/>
      <c r="H26" s="401"/>
      <c r="I26" s="401"/>
      <c r="J26" s="401"/>
      <c r="K26" s="401"/>
      <c r="L26" s="401"/>
      <c r="M26" s="401"/>
      <c r="N26" s="402"/>
      <c r="O26" s="10"/>
      <c r="P26" s="383"/>
      <c r="Q26" s="383"/>
      <c r="R26" s="383"/>
      <c r="S26" s="383"/>
      <c r="T26" s="383"/>
      <c r="U26" s="383"/>
      <c r="V26" s="383"/>
      <c r="W26" s="383"/>
      <c r="X26" s="383"/>
      <c r="Y26" s="383"/>
      <c r="Z26" s="383"/>
      <c r="AA26" s="383"/>
      <c r="AB26" s="383"/>
    </row>
    <row r="27" spans="1:28" ht="18" customHeight="1" x14ac:dyDescent="0.2">
      <c r="A27" s="10"/>
      <c r="B27" s="400" t="s">
        <v>225</v>
      </c>
      <c r="C27" s="401"/>
      <c r="D27" s="401"/>
      <c r="E27" s="401"/>
      <c r="F27" s="401"/>
      <c r="G27" s="401"/>
      <c r="H27" s="401"/>
      <c r="I27" s="401"/>
      <c r="J27" s="401"/>
      <c r="K27" s="401"/>
      <c r="L27" s="401"/>
      <c r="M27" s="401"/>
      <c r="N27" s="402"/>
      <c r="O27" s="10"/>
      <c r="P27" s="383"/>
      <c r="Q27" s="383"/>
      <c r="R27" s="383"/>
      <c r="S27" s="383"/>
      <c r="T27" s="383"/>
      <c r="U27" s="383"/>
      <c r="V27" s="383"/>
      <c r="W27" s="383"/>
      <c r="X27" s="383"/>
      <c r="Y27" s="383"/>
      <c r="Z27" s="383"/>
      <c r="AA27" s="383"/>
      <c r="AB27" s="383"/>
    </row>
    <row r="28" spans="1:28" ht="18" customHeight="1" x14ac:dyDescent="0.2">
      <c r="A28" s="10"/>
      <c r="B28" s="400" t="s">
        <v>230</v>
      </c>
      <c r="C28" s="401"/>
      <c r="D28" s="401"/>
      <c r="E28" s="401"/>
      <c r="F28" s="401"/>
      <c r="G28" s="401"/>
      <c r="H28" s="401"/>
      <c r="I28" s="401"/>
      <c r="J28" s="401"/>
      <c r="K28" s="401"/>
      <c r="L28" s="401"/>
      <c r="M28" s="401"/>
      <c r="N28" s="402"/>
      <c r="O28" s="10"/>
      <c r="P28" s="383"/>
      <c r="Q28" s="383"/>
      <c r="R28" s="383"/>
      <c r="S28" s="383"/>
      <c r="T28" s="383"/>
      <c r="U28" s="383"/>
      <c r="V28" s="383"/>
      <c r="W28" s="383"/>
      <c r="X28" s="383"/>
      <c r="Y28" s="383"/>
      <c r="Z28" s="383"/>
      <c r="AA28" s="383"/>
      <c r="AB28" s="383"/>
    </row>
    <row r="29" spans="1:28" ht="18" customHeight="1" x14ac:dyDescent="0.2">
      <c r="A29" s="10"/>
      <c r="B29" s="400" t="s">
        <v>227</v>
      </c>
      <c r="C29" s="401"/>
      <c r="D29" s="401"/>
      <c r="E29" s="401"/>
      <c r="F29" s="401"/>
      <c r="G29" s="401"/>
      <c r="H29" s="401"/>
      <c r="I29" s="401"/>
      <c r="J29" s="401"/>
      <c r="K29" s="401"/>
      <c r="L29" s="401"/>
      <c r="M29" s="401"/>
      <c r="N29" s="402"/>
      <c r="O29" s="10"/>
      <c r="P29" s="383"/>
      <c r="Q29" s="383"/>
      <c r="R29" s="383"/>
      <c r="S29" s="383"/>
      <c r="T29" s="383"/>
      <c r="U29" s="383"/>
      <c r="V29" s="383"/>
      <c r="W29" s="383"/>
      <c r="X29" s="383"/>
      <c r="Y29" s="383"/>
      <c r="Z29" s="383"/>
      <c r="AA29" s="383"/>
      <c r="AB29" s="383"/>
    </row>
    <row r="30" spans="1:28" ht="18" customHeight="1" x14ac:dyDescent="0.2">
      <c r="A30" s="10"/>
      <c r="B30" s="400" t="s">
        <v>211</v>
      </c>
      <c r="C30" s="401"/>
      <c r="D30" s="401"/>
      <c r="E30" s="401"/>
      <c r="F30" s="401"/>
      <c r="G30" s="401"/>
      <c r="H30" s="401"/>
      <c r="I30" s="401"/>
      <c r="J30" s="401"/>
      <c r="K30" s="401"/>
      <c r="L30" s="401"/>
      <c r="M30" s="401"/>
      <c r="N30" s="402"/>
      <c r="O30" s="10"/>
      <c r="P30" s="383"/>
      <c r="Q30" s="383"/>
      <c r="R30" s="383"/>
      <c r="S30" s="383"/>
      <c r="T30" s="383"/>
      <c r="U30" s="383"/>
      <c r="V30" s="383"/>
      <c r="W30" s="383"/>
      <c r="X30" s="383"/>
      <c r="Y30" s="383"/>
      <c r="Z30" s="383"/>
      <c r="AA30" s="383"/>
      <c r="AB30" s="383"/>
    </row>
    <row r="31" spans="1:28" ht="18" customHeight="1" x14ac:dyDescent="0.2">
      <c r="A31" s="10"/>
      <c r="B31" s="400" t="s">
        <v>249</v>
      </c>
      <c r="C31" s="401"/>
      <c r="D31" s="401"/>
      <c r="E31" s="401"/>
      <c r="F31" s="401"/>
      <c r="G31" s="401"/>
      <c r="H31" s="401"/>
      <c r="I31" s="401"/>
      <c r="J31" s="401"/>
      <c r="K31" s="401"/>
      <c r="L31" s="401"/>
      <c r="M31" s="401"/>
      <c r="N31" s="402"/>
      <c r="O31" s="10"/>
      <c r="P31" s="383"/>
      <c r="Q31" s="383"/>
      <c r="R31" s="383"/>
      <c r="S31" s="383"/>
      <c r="T31" s="383"/>
      <c r="U31" s="383"/>
      <c r="V31" s="383"/>
      <c r="W31" s="383"/>
      <c r="X31" s="383"/>
      <c r="Y31" s="383"/>
      <c r="Z31" s="383"/>
      <c r="AA31" s="383"/>
      <c r="AB31" s="383"/>
    </row>
    <row r="32" spans="1:28" ht="16.5" customHeight="1" x14ac:dyDescent="0.2">
      <c r="A32" s="10"/>
      <c r="B32" s="409"/>
      <c r="C32" s="410"/>
      <c r="D32" s="410"/>
      <c r="E32" s="410"/>
      <c r="F32" s="410"/>
      <c r="G32" s="410"/>
      <c r="H32" s="410"/>
      <c r="I32" s="410"/>
      <c r="J32" s="410"/>
      <c r="K32" s="410"/>
      <c r="L32" s="410"/>
      <c r="M32" s="410"/>
      <c r="N32" s="411"/>
      <c r="O32" s="10"/>
      <c r="P32" s="383"/>
      <c r="Q32" s="383"/>
      <c r="R32" s="383"/>
      <c r="S32" s="383"/>
      <c r="T32" s="383"/>
      <c r="U32" s="383"/>
      <c r="V32" s="383"/>
      <c r="W32" s="383"/>
      <c r="X32" s="383"/>
      <c r="Y32" s="383"/>
      <c r="Z32" s="383"/>
      <c r="AA32" s="383"/>
      <c r="AB32" s="383"/>
    </row>
    <row r="33" spans="1:28" ht="18" customHeight="1" x14ac:dyDescent="0.2">
      <c r="A33" s="10"/>
      <c r="O33" s="10"/>
      <c r="P33" s="383"/>
      <c r="Q33" s="383"/>
      <c r="R33" s="383"/>
      <c r="S33" s="383"/>
      <c r="T33" s="383"/>
      <c r="U33" s="383"/>
      <c r="V33" s="383"/>
      <c r="W33" s="383"/>
      <c r="X33" s="383"/>
      <c r="Y33" s="383"/>
      <c r="Z33" s="383"/>
      <c r="AA33" s="383"/>
      <c r="AB33" s="383"/>
    </row>
    <row r="34" spans="1:28" ht="12.95" customHeight="1" x14ac:dyDescent="0.2">
      <c r="A34" s="10"/>
      <c r="B34" s="391" t="s">
        <v>253</v>
      </c>
      <c r="C34" s="392"/>
      <c r="D34" s="392"/>
      <c r="E34" s="392"/>
      <c r="F34" s="392"/>
      <c r="G34" s="392"/>
      <c r="H34" s="392"/>
      <c r="I34" s="392"/>
      <c r="J34" s="392"/>
      <c r="K34" s="392"/>
      <c r="L34" s="392"/>
      <c r="M34" s="392"/>
      <c r="N34" s="393"/>
      <c r="O34" s="10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</row>
    <row r="35" spans="1:28" ht="12.95" customHeight="1" x14ac:dyDescent="0.2">
      <c r="A35" s="10"/>
      <c r="B35" s="394"/>
      <c r="C35" s="395"/>
      <c r="D35" s="395"/>
      <c r="E35" s="395"/>
      <c r="F35" s="395"/>
      <c r="G35" s="395"/>
      <c r="H35" s="395"/>
      <c r="I35" s="395"/>
      <c r="J35" s="395"/>
      <c r="K35" s="395"/>
      <c r="L35" s="395"/>
      <c r="M35" s="395"/>
      <c r="N35" s="396"/>
      <c r="O35" s="10"/>
      <c r="P35" s="383"/>
      <c r="Q35" s="383"/>
      <c r="R35" s="383"/>
      <c r="S35" s="383"/>
      <c r="T35" s="383"/>
      <c r="U35" s="383"/>
      <c r="V35" s="383"/>
      <c r="W35" s="383"/>
      <c r="X35" s="383"/>
      <c r="Y35" s="383"/>
      <c r="Z35" s="383"/>
      <c r="AA35" s="383"/>
      <c r="AB35" s="383"/>
    </row>
    <row r="36" spans="1:28" ht="18" customHeight="1" x14ac:dyDescent="0.2">
      <c r="A36" s="10"/>
      <c r="B36" s="400" t="s">
        <v>231</v>
      </c>
      <c r="C36" s="401"/>
      <c r="D36" s="401"/>
      <c r="E36" s="401"/>
      <c r="F36" s="401"/>
      <c r="G36" s="401"/>
      <c r="H36" s="401"/>
      <c r="I36" s="401"/>
      <c r="J36" s="401"/>
      <c r="K36" s="401"/>
      <c r="L36" s="401"/>
      <c r="M36" s="401"/>
      <c r="N36" s="402"/>
      <c r="O36" s="10"/>
      <c r="P36" s="383"/>
      <c r="Q36" s="383"/>
      <c r="R36" s="383"/>
      <c r="S36" s="383"/>
      <c r="T36" s="383"/>
      <c r="U36" s="383"/>
      <c r="V36" s="383"/>
      <c r="W36" s="383"/>
      <c r="X36" s="383"/>
      <c r="Y36" s="383"/>
      <c r="Z36" s="383"/>
      <c r="AA36" s="383"/>
      <c r="AB36" s="383"/>
    </row>
    <row r="37" spans="1:28" ht="18" customHeight="1" x14ac:dyDescent="0.2">
      <c r="A37" s="10"/>
      <c r="B37" s="400" t="s">
        <v>232</v>
      </c>
      <c r="C37" s="401"/>
      <c r="D37" s="401"/>
      <c r="E37" s="401"/>
      <c r="F37" s="401"/>
      <c r="G37" s="401"/>
      <c r="H37" s="401"/>
      <c r="I37" s="401"/>
      <c r="J37" s="401"/>
      <c r="K37" s="401"/>
      <c r="L37" s="401"/>
      <c r="M37" s="401"/>
      <c r="N37" s="402"/>
      <c r="O37" s="10"/>
      <c r="P37" s="383"/>
      <c r="Q37" s="383"/>
      <c r="R37" s="383"/>
      <c r="S37" s="383"/>
      <c r="T37" s="383"/>
      <c r="U37" s="383"/>
      <c r="V37" s="383"/>
      <c r="W37" s="383"/>
      <c r="X37" s="383"/>
      <c r="Y37" s="383"/>
      <c r="Z37" s="383"/>
      <c r="AA37" s="383"/>
      <c r="AB37" s="383"/>
    </row>
    <row r="38" spans="1:28" ht="18" customHeight="1" x14ac:dyDescent="0.2">
      <c r="A38" s="10"/>
      <c r="B38" s="400" t="s">
        <v>233</v>
      </c>
      <c r="C38" s="401"/>
      <c r="D38" s="401"/>
      <c r="E38" s="401"/>
      <c r="F38" s="401"/>
      <c r="G38" s="401"/>
      <c r="H38" s="401"/>
      <c r="I38" s="401"/>
      <c r="J38" s="401"/>
      <c r="K38" s="401"/>
      <c r="L38" s="401"/>
      <c r="M38" s="401"/>
      <c r="N38" s="402"/>
      <c r="O38" s="10"/>
      <c r="P38" s="383"/>
      <c r="Q38" s="383"/>
      <c r="R38" s="383"/>
      <c r="S38" s="383"/>
      <c r="T38" s="383"/>
      <c r="U38" s="383"/>
      <c r="V38" s="383"/>
      <c r="W38" s="383"/>
      <c r="X38" s="383"/>
      <c r="Y38" s="383"/>
      <c r="Z38" s="383"/>
      <c r="AA38" s="383"/>
      <c r="AB38" s="383"/>
    </row>
    <row r="39" spans="1:28" ht="18" customHeight="1" x14ac:dyDescent="0.2">
      <c r="A39" s="10"/>
      <c r="B39" s="400" t="s">
        <v>234</v>
      </c>
      <c r="C39" s="401"/>
      <c r="D39" s="401"/>
      <c r="E39" s="401"/>
      <c r="F39" s="401"/>
      <c r="G39" s="401"/>
      <c r="H39" s="401"/>
      <c r="I39" s="401"/>
      <c r="J39" s="401"/>
      <c r="K39" s="401"/>
      <c r="L39" s="401"/>
      <c r="M39" s="401"/>
      <c r="N39" s="402"/>
      <c r="O39" s="10"/>
      <c r="P39" s="383"/>
      <c r="Q39" s="383"/>
      <c r="R39" s="383"/>
      <c r="S39" s="383"/>
      <c r="T39" s="383"/>
      <c r="U39" s="383"/>
      <c r="V39" s="383"/>
      <c r="W39" s="383"/>
      <c r="X39" s="383"/>
      <c r="Y39" s="383"/>
      <c r="Z39" s="383"/>
      <c r="AA39" s="383"/>
      <c r="AB39" s="383"/>
    </row>
    <row r="40" spans="1:28" ht="18" customHeight="1" x14ac:dyDescent="0.2">
      <c r="A40" s="10"/>
      <c r="B40" s="400" t="s">
        <v>235</v>
      </c>
      <c r="C40" s="401"/>
      <c r="D40" s="401"/>
      <c r="E40" s="401"/>
      <c r="F40" s="401"/>
      <c r="G40" s="401"/>
      <c r="H40" s="401"/>
      <c r="I40" s="401"/>
      <c r="J40" s="401"/>
      <c r="K40" s="401"/>
      <c r="L40" s="401"/>
      <c r="M40" s="401"/>
      <c r="N40" s="402"/>
      <c r="O40" s="10"/>
      <c r="P40" s="383"/>
      <c r="Q40" s="383"/>
      <c r="R40" s="383"/>
      <c r="S40" s="383"/>
      <c r="T40" s="383"/>
      <c r="U40" s="383"/>
      <c r="V40" s="383"/>
      <c r="W40" s="383"/>
      <c r="X40" s="383"/>
      <c r="Y40" s="383"/>
      <c r="Z40" s="383"/>
      <c r="AA40" s="383"/>
      <c r="AB40" s="383"/>
    </row>
    <row r="41" spans="1:28" ht="18" customHeight="1" x14ac:dyDescent="0.2">
      <c r="A41" s="10"/>
      <c r="B41" s="400" t="s">
        <v>236</v>
      </c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2"/>
      <c r="O41" s="10"/>
      <c r="P41" s="383"/>
      <c r="Q41" s="383"/>
      <c r="R41" s="383"/>
      <c r="S41" s="383"/>
      <c r="T41" s="383"/>
      <c r="U41" s="383"/>
      <c r="V41" s="383"/>
      <c r="W41" s="383"/>
      <c r="X41" s="383"/>
      <c r="Y41" s="383"/>
      <c r="Z41" s="383"/>
      <c r="AA41" s="383"/>
      <c r="AB41" s="383"/>
    </row>
    <row r="42" spans="1:28" ht="18" customHeight="1" x14ac:dyDescent="0.2">
      <c r="A42" s="10"/>
      <c r="B42" s="400" t="s">
        <v>237</v>
      </c>
      <c r="C42" s="401"/>
      <c r="D42" s="401"/>
      <c r="E42" s="401"/>
      <c r="F42" s="401"/>
      <c r="G42" s="401"/>
      <c r="H42" s="401"/>
      <c r="I42" s="401"/>
      <c r="J42" s="401"/>
      <c r="K42" s="401"/>
      <c r="L42" s="401"/>
      <c r="M42" s="401"/>
      <c r="N42" s="402"/>
      <c r="O42" s="10"/>
      <c r="P42" s="383"/>
      <c r="Q42" s="383"/>
      <c r="R42" s="383"/>
      <c r="S42" s="383"/>
      <c r="T42" s="383"/>
      <c r="U42" s="383"/>
      <c r="V42" s="383"/>
      <c r="W42" s="383"/>
      <c r="X42" s="383"/>
      <c r="Y42" s="383"/>
      <c r="Z42" s="383"/>
      <c r="AA42" s="383"/>
      <c r="AB42" s="383"/>
    </row>
    <row r="43" spans="1:28" ht="18" customHeight="1" x14ac:dyDescent="0.2">
      <c r="A43" s="10"/>
      <c r="B43" s="400" t="s">
        <v>238</v>
      </c>
      <c r="C43" s="401"/>
      <c r="D43" s="401"/>
      <c r="E43" s="401"/>
      <c r="F43" s="401"/>
      <c r="G43" s="401"/>
      <c r="H43" s="401"/>
      <c r="I43" s="401"/>
      <c r="J43" s="401"/>
      <c r="K43" s="401"/>
      <c r="L43" s="401"/>
      <c r="M43" s="401"/>
      <c r="N43" s="402"/>
      <c r="O43" s="10"/>
      <c r="P43" s="383"/>
      <c r="Q43" s="383"/>
      <c r="R43" s="383"/>
      <c r="S43" s="383"/>
      <c r="T43" s="383"/>
      <c r="U43" s="383"/>
      <c r="V43" s="383"/>
      <c r="W43" s="383"/>
      <c r="X43" s="383"/>
      <c r="Y43" s="383"/>
      <c r="Z43" s="383"/>
      <c r="AA43" s="383"/>
      <c r="AB43" s="383"/>
    </row>
    <row r="44" spans="1:28" ht="18" customHeight="1" x14ac:dyDescent="0.2">
      <c r="A44" s="10"/>
      <c r="B44" s="400" t="s">
        <v>239</v>
      </c>
      <c r="C44" s="401"/>
      <c r="D44" s="401"/>
      <c r="E44" s="401"/>
      <c r="F44" s="401"/>
      <c r="G44" s="401"/>
      <c r="H44" s="401"/>
      <c r="I44" s="401"/>
      <c r="J44" s="401"/>
      <c r="K44" s="401"/>
      <c r="L44" s="401"/>
      <c r="M44" s="401"/>
      <c r="N44" s="402"/>
      <c r="O44" s="10"/>
      <c r="P44" s="383"/>
      <c r="Q44" s="383"/>
      <c r="R44" s="383"/>
      <c r="S44" s="383"/>
      <c r="T44" s="383"/>
      <c r="U44" s="383"/>
      <c r="V44" s="383"/>
      <c r="W44" s="383"/>
      <c r="X44" s="383"/>
      <c r="Y44" s="383"/>
      <c r="Z44" s="383"/>
      <c r="AA44" s="383"/>
      <c r="AB44" s="383"/>
    </row>
    <row r="45" spans="1:28" ht="18" customHeight="1" x14ac:dyDescent="0.2">
      <c r="A45" s="10"/>
      <c r="B45" s="400" t="s">
        <v>240</v>
      </c>
      <c r="C45" s="401"/>
      <c r="D45" s="401"/>
      <c r="E45" s="401"/>
      <c r="F45" s="401"/>
      <c r="G45" s="401"/>
      <c r="H45" s="401"/>
      <c r="I45" s="401"/>
      <c r="J45" s="401"/>
      <c r="K45" s="401"/>
      <c r="L45" s="401"/>
      <c r="M45" s="401"/>
      <c r="N45" s="402"/>
      <c r="O45" s="10"/>
      <c r="P45" s="383"/>
      <c r="Q45" s="383"/>
      <c r="R45" s="383"/>
      <c r="S45" s="383"/>
      <c r="T45" s="383"/>
      <c r="U45" s="383"/>
      <c r="V45" s="383"/>
      <c r="W45" s="383"/>
      <c r="X45" s="383"/>
      <c r="Y45" s="383"/>
      <c r="Z45" s="383"/>
      <c r="AA45" s="383"/>
      <c r="AB45" s="383"/>
    </row>
    <row r="46" spans="1:28" ht="18" customHeight="1" x14ac:dyDescent="0.2">
      <c r="A46" s="10"/>
      <c r="B46" s="400" t="s">
        <v>209</v>
      </c>
      <c r="C46" s="401"/>
      <c r="D46" s="401"/>
      <c r="E46" s="401"/>
      <c r="F46" s="401"/>
      <c r="G46" s="401"/>
      <c r="H46" s="401"/>
      <c r="I46" s="401"/>
      <c r="J46" s="401"/>
      <c r="K46" s="401"/>
      <c r="L46" s="401"/>
      <c r="M46" s="401"/>
      <c r="N46" s="402"/>
      <c r="O46" s="10"/>
      <c r="P46" s="383"/>
      <c r="Q46" s="383"/>
      <c r="R46" s="383"/>
      <c r="S46" s="383"/>
      <c r="T46" s="383"/>
      <c r="U46" s="383"/>
      <c r="V46" s="383"/>
      <c r="W46" s="383"/>
      <c r="X46" s="383"/>
      <c r="Y46" s="383"/>
      <c r="Z46" s="383"/>
      <c r="AA46" s="383"/>
      <c r="AB46" s="383"/>
    </row>
    <row r="47" spans="1:28" ht="18" customHeight="1" x14ac:dyDescent="0.2">
      <c r="A47" s="10"/>
      <c r="B47" s="400" t="s">
        <v>241</v>
      </c>
      <c r="C47" s="401"/>
      <c r="D47" s="401"/>
      <c r="E47" s="401"/>
      <c r="F47" s="401"/>
      <c r="G47" s="401"/>
      <c r="H47" s="401"/>
      <c r="I47" s="401"/>
      <c r="J47" s="401"/>
      <c r="K47" s="401"/>
      <c r="L47" s="401"/>
      <c r="M47" s="401"/>
      <c r="N47" s="402"/>
      <c r="O47" s="10"/>
      <c r="P47" s="383"/>
      <c r="Q47" s="383"/>
      <c r="R47" s="383"/>
      <c r="S47" s="383"/>
      <c r="T47" s="383"/>
      <c r="U47" s="383"/>
      <c r="V47" s="383"/>
      <c r="W47" s="383"/>
      <c r="X47" s="383"/>
      <c r="Y47" s="383"/>
      <c r="Z47" s="383"/>
      <c r="AA47" s="383"/>
      <c r="AB47" s="383"/>
    </row>
    <row r="48" spans="1:28" ht="16.5" customHeight="1" x14ac:dyDescent="0.2">
      <c r="A48" s="10"/>
      <c r="B48" s="409"/>
      <c r="C48" s="410"/>
      <c r="D48" s="410"/>
      <c r="E48" s="410"/>
      <c r="F48" s="410"/>
      <c r="G48" s="410"/>
      <c r="H48" s="410"/>
      <c r="I48" s="410"/>
      <c r="J48" s="410"/>
      <c r="K48" s="410"/>
      <c r="L48" s="410"/>
      <c r="M48" s="410"/>
      <c r="N48" s="411"/>
      <c r="O48" s="10"/>
      <c r="P48" s="383"/>
      <c r="Q48" s="383"/>
      <c r="R48" s="383"/>
      <c r="S48" s="383"/>
      <c r="T48" s="383"/>
      <c r="U48" s="383"/>
      <c r="V48" s="383"/>
      <c r="W48" s="383"/>
      <c r="X48" s="383"/>
      <c r="Y48" s="383"/>
      <c r="Z48" s="383"/>
      <c r="AA48" s="383"/>
      <c r="AB48" s="383"/>
    </row>
    <row r="49" spans="1:28" x14ac:dyDescent="0.2">
      <c r="A49" s="10"/>
      <c r="O49" s="10"/>
      <c r="P49" s="383"/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  <c r="AB49" s="383"/>
    </row>
    <row r="50" spans="1:28" ht="12.95" customHeight="1" x14ac:dyDescent="0.2">
      <c r="A50" s="10"/>
      <c r="B50" s="391" t="s">
        <v>210</v>
      </c>
      <c r="C50" s="392"/>
      <c r="D50" s="392"/>
      <c r="E50" s="392"/>
      <c r="F50" s="392"/>
      <c r="G50" s="392"/>
      <c r="H50" s="392"/>
      <c r="I50" s="392"/>
      <c r="J50" s="392"/>
      <c r="K50" s="392"/>
      <c r="L50" s="392"/>
      <c r="M50" s="392"/>
      <c r="N50" s="393"/>
      <c r="O50" s="10"/>
      <c r="P50" s="383"/>
      <c r="Q50" s="383"/>
      <c r="R50" s="383"/>
      <c r="S50" s="383"/>
      <c r="T50" s="383"/>
      <c r="U50" s="383"/>
      <c r="V50" s="383"/>
      <c r="W50" s="383"/>
      <c r="X50" s="383"/>
      <c r="Y50" s="383"/>
      <c r="Z50" s="383"/>
      <c r="AA50" s="383"/>
      <c r="AB50" s="383"/>
    </row>
    <row r="51" spans="1:28" ht="12.95" customHeight="1" x14ac:dyDescent="0.2">
      <c r="A51" s="10"/>
      <c r="B51" s="394"/>
      <c r="C51" s="395"/>
      <c r="D51" s="395"/>
      <c r="E51" s="395"/>
      <c r="F51" s="395"/>
      <c r="G51" s="395"/>
      <c r="H51" s="395"/>
      <c r="I51" s="395"/>
      <c r="J51" s="395"/>
      <c r="K51" s="395"/>
      <c r="L51" s="395"/>
      <c r="M51" s="395"/>
      <c r="N51" s="396"/>
      <c r="O51" s="10"/>
      <c r="P51" s="383"/>
      <c r="Q51" s="383"/>
      <c r="R51" s="383"/>
      <c r="S51" s="383"/>
      <c r="T51" s="383"/>
      <c r="U51" s="383"/>
      <c r="V51" s="383"/>
      <c r="W51" s="383"/>
      <c r="X51" s="383"/>
      <c r="Y51" s="383"/>
      <c r="Z51" s="383"/>
      <c r="AA51" s="383"/>
      <c r="AB51" s="383"/>
    </row>
    <row r="52" spans="1:28" ht="18" customHeight="1" x14ac:dyDescent="0.2">
      <c r="A52" s="10"/>
      <c r="B52" s="400" t="s">
        <v>242</v>
      </c>
      <c r="C52" s="401"/>
      <c r="D52" s="401"/>
      <c r="E52" s="401"/>
      <c r="F52" s="401"/>
      <c r="G52" s="401"/>
      <c r="H52" s="401"/>
      <c r="I52" s="401"/>
      <c r="J52" s="401"/>
      <c r="K52" s="401"/>
      <c r="L52" s="401"/>
      <c r="M52" s="401"/>
      <c r="N52" s="402"/>
      <c r="O52" s="10"/>
      <c r="P52" s="383"/>
      <c r="Q52" s="383"/>
      <c r="R52" s="383"/>
      <c r="S52" s="383"/>
      <c r="T52" s="383"/>
      <c r="U52" s="383"/>
      <c r="V52" s="383"/>
      <c r="W52" s="383"/>
      <c r="X52" s="383"/>
      <c r="Y52" s="383"/>
      <c r="Z52" s="383"/>
      <c r="AA52" s="383"/>
      <c r="AB52" s="383"/>
    </row>
    <row r="53" spans="1:28" ht="18" customHeight="1" x14ac:dyDescent="0.2">
      <c r="A53" s="10"/>
      <c r="B53" s="400" t="s">
        <v>243</v>
      </c>
      <c r="C53" s="401"/>
      <c r="D53" s="401"/>
      <c r="E53" s="401"/>
      <c r="F53" s="401"/>
      <c r="G53" s="401"/>
      <c r="H53" s="401"/>
      <c r="I53" s="401"/>
      <c r="J53" s="401"/>
      <c r="K53" s="401"/>
      <c r="L53" s="401"/>
      <c r="M53" s="401"/>
      <c r="N53" s="402"/>
      <c r="O53" s="10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</row>
    <row r="54" spans="1:28" ht="18" customHeight="1" x14ac:dyDescent="0.2">
      <c r="A54" s="10"/>
      <c r="B54" s="400" t="s">
        <v>244</v>
      </c>
      <c r="C54" s="401"/>
      <c r="D54" s="401"/>
      <c r="E54" s="401"/>
      <c r="F54" s="401"/>
      <c r="G54" s="401"/>
      <c r="H54" s="401"/>
      <c r="I54" s="401"/>
      <c r="J54" s="401"/>
      <c r="K54" s="401"/>
      <c r="L54" s="401"/>
      <c r="M54" s="401"/>
      <c r="N54" s="402"/>
      <c r="O54" s="10"/>
      <c r="P54" s="383"/>
      <c r="Q54" s="383"/>
      <c r="R54" s="383"/>
      <c r="S54" s="383"/>
      <c r="T54" s="383"/>
      <c r="U54" s="383"/>
      <c r="V54" s="383"/>
      <c r="W54" s="383"/>
      <c r="X54" s="383"/>
      <c r="Y54" s="383"/>
      <c r="Z54" s="383"/>
      <c r="AA54" s="383"/>
      <c r="AB54" s="383"/>
    </row>
    <row r="55" spans="1:28" ht="18" customHeight="1" x14ac:dyDescent="0.2">
      <c r="A55" s="10"/>
      <c r="B55" s="400" t="s">
        <v>245</v>
      </c>
      <c r="C55" s="401"/>
      <c r="D55" s="401"/>
      <c r="E55" s="401"/>
      <c r="F55" s="401"/>
      <c r="G55" s="401"/>
      <c r="H55" s="401"/>
      <c r="I55" s="401"/>
      <c r="J55" s="401"/>
      <c r="K55" s="401"/>
      <c r="L55" s="401"/>
      <c r="M55" s="401"/>
      <c r="N55" s="402"/>
      <c r="O55" s="10"/>
      <c r="P55" s="383"/>
      <c r="Q55" s="383"/>
      <c r="R55" s="383"/>
      <c r="S55" s="383"/>
      <c r="T55" s="383"/>
      <c r="U55" s="383"/>
      <c r="V55" s="383"/>
      <c r="W55" s="383"/>
      <c r="X55" s="383"/>
      <c r="Y55" s="383"/>
      <c r="Z55" s="383"/>
      <c r="AA55" s="383"/>
      <c r="AB55" s="383"/>
    </row>
    <row r="56" spans="1:28" ht="16.5" customHeight="1" x14ac:dyDescent="0.2">
      <c r="A56" s="10"/>
      <c r="B56" s="406"/>
      <c r="C56" s="407"/>
      <c r="D56" s="407"/>
      <c r="E56" s="407"/>
      <c r="F56" s="407"/>
      <c r="G56" s="407"/>
      <c r="H56" s="407"/>
      <c r="I56" s="407"/>
      <c r="J56" s="407"/>
      <c r="K56" s="407"/>
      <c r="L56" s="407"/>
      <c r="M56" s="407"/>
      <c r="N56" s="408"/>
      <c r="O56" s="10"/>
      <c r="P56" s="383"/>
      <c r="Q56" s="383"/>
      <c r="R56" s="383"/>
      <c r="S56" s="383"/>
      <c r="T56" s="383"/>
      <c r="U56" s="383"/>
      <c r="V56" s="383"/>
      <c r="W56" s="383"/>
      <c r="X56" s="383"/>
      <c r="Y56" s="383"/>
      <c r="Z56" s="383"/>
      <c r="AA56" s="383"/>
      <c r="AB56" s="383"/>
    </row>
    <row r="57" spans="1:28" x14ac:dyDescent="0.2">
      <c r="A57" s="10"/>
      <c r="O57" s="10"/>
      <c r="P57" s="383"/>
      <c r="Q57" s="383"/>
      <c r="R57" s="383"/>
      <c r="S57" s="383"/>
      <c r="T57" s="383"/>
      <c r="U57" s="383"/>
      <c r="V57" s="383"/>
      <c r="W57" s="383"/>
      <c r="X57" s="383"/>
      <c r="Y57" s="383"/>
      <c r="Z57" s="383"/>
      <c r="AA57" s="383"/>
      <c r="AB57" s="383"/>
    </row>
    <row r="58" spans="1:28" ht="12.95" customHeight="1" x14ac:dyDescent="0.2">
      <c r="A58" s="10"/>
      <c r="B58" s="391" t="s">
        <v>213</v>
      </c>
      <c r="C58" s="392"/>
      <c r="D58" s="392"/>
      <c r="E58" s="392"/>
      <c r="F58" s="392"/>
      <c r="G58" s="392"/>
      <c r="H58" s="392"/>
      <c r="I58" s="392"/>
      <c r="J58" s="392"/>
      <c r="K58" s="392"/>
      <c r="L58" s="392"/>
      <c r="M58" s="392"/>
      <c r="N58" s="393"/>
      <c r="O58" s="10"/>
      <c r="P58" s="383"/>
      <c r="Q58" s="383"/>
      <c r="R58" s="383"/>
      <c r="S58" s="383"/>
      <c r="T58" s="383"/>
      <c r="U58" s="383"/>
      <c r="V58" s="383"/>
      <c r="W58" s="383"/>
      <c r="X58" s="383"/>
      <c r="Y58" s="383"/>
      <c r="Z58" s="383"/>
      <c r="AA58" s="383"/>
      <c r="AB58" s="383"/>
    </row>
    <row r="59" spans="1:28" ht="12.95" customHeight="1" x14ac:dyDescent="0.2">
      <c r="A59" s="10"/>
      <c r="B59" s="394"/>
      <c r="C59" s="395"/>
      <c r="D59" s="395"/>
      <c r="E59" s="395"/>
      <c r="F59" s="395"/>
      <c r="G59" s="395"/>
      <c r="H59" s="395"/>
      <c r="I59" s="395"/>
      <c r="J59" s="395"/>
      <c r="K59" s="395"/>
      <c r="L59" s="395"/>
      <c r="M59" s="395"/>
      <c r="N59" s="396"/>
      <c r="O59" s="10"/>
      <c r="P59" s="383"/>
      <c r="Q59" s="383"/>
      <c r="R59" s="383"/>
      <c r="S59" s="383"/>
      <c r="T59" s="383"/>
      <c r="U59" s="383"/>
      <c r="V59" s="383"/>
      <c r="W59" s="383"/>
      <c r="X59" s="383"/>
      <c r="Y59" s="383"/>
      <c r="Z59" s="383"/>
      <c r="AA59" s="383"/>
      <c r="AB59" s="383"/>
    </row>
    <row r="60" spans="1:28" ht="18" customHeight="1" x14ac:dyDescent="0.2">
      <c r="A60" s="10"/>
      <c r="B60" s="397" t="s">
        <v>246</v>
      </c>
      <c r="C60" s="398"/>
      <c r="D60" s="398"/>
      <c r="E60" s="398"/>
      <c r="F60" s="398"/>
      <c r="G60" s="398"/>
      <c r="H60" s="398"/>
      <c r="I60" s="398"/>
      <c r="J60" s="398"/>
      <c r="K60" s="398"/>
      <c r="L60" s="398"/>
      <c r="M60" s="398"/>
      <c r="N60" s="399"/>
      <c r="O60" s="10"/>
      <c r="P60" s="383"/>
      <c r="Q60" s="383"/>
      <c r="R60" s="383"/>
      <c r="S60" s="383"/>
      <c r="T60" s="383"/>
      <c r="U60" s="383"/>
      <c r="V60" s="383"/>
      <c r="W60" s="383"/>
      <c r="X60" s="383"/>
      <c r="Y60" s="383"/>
      <c r="Z60" s="383"/>
      <c r="AA60" s="383"/>
      <c r="AB60" s="383"/>
    </row>
    <row r="61" spans="1:28" ht="18" customHeight="1" x14ac:dyDescent="0.2">
      <c r="A61" s="10"/>
      <c r="B61" s="397" t="s">
        <v>248</v>
      </c>
      <c r="C61" s="398"/>
      <c r="D61" s="398"/>
      <c r="E61" s="398"/>
      <c r="F61" s="398"/>
      <c r="G61" s="398"/>
      <c r="H61" s="398"/>
      <c r="I61" s="398"/>
      <c r="J61" s="398"/>
      <c r="K61" s="398"/>
      <c r="L61" s="398"/>
      <c r="M61" s="398"/>
      <c r="N61" s="399"/>
      <c r="O61" s="10"/>
      <c r="P61" s="383"/>
      <c r="Q61" s="383"/>
      <c r="R61" s="383"/>
      <c r="S61" s="383"/>
      <c r="T61" s="383"/>
      <c r="U61" s="383"/>
      <c r="V61" s="383"/>
      <c r="W61" s="383"/>
      <c r="X61" s="383"/>
      <c r="Y61" s="383"/>
      <c r="Z61" s="383"/>
      <c r="AA61" s="383"/>
      <c r="AB61" s="383"/>
    </row>
    <row r="62" spans="1:28" ht="18" customHeight="1" x14ac:dyDescent="0.2">
      <c r="A62" s="10"/>
      <c r="B62" s="400" t="s">
        <v>247</v>
      </c>
      <c r="C62" s="401"/>
      <c r="D62" s="401"/>
      <c r="E62" s="401"/>
      <c r="F62" s="401"/>
      <c r="G62" s="401"/>
      <c r="H62" s="401"/>
      <c r="I62" s="401"/>
      <c r="J62" s="401"/>
      <c r="K62" s="401"/>
      <c r="L62" s="401"/>
      <c r="M62" s="401"/>
      <c r="N62" s="402"/>
      <c r="O62" s="10"/>
      <c r="P62" s="383"/>
      <c r="Q62" s="383"/>
      <c r="R62" s="383"/>
      <c r="S62" s="383"/>
      <c r="T62" s="383"/>
      <c r="U62" s="383"/>
      <c r="V62" s="383"/>
      <c r="W62" s="383"/>
      <c r="X62" s="383"/>
      <c r="Y62" s="383"/>
      <c r="Z62" s="383"/>
      <c r="AA62" s="383"/>
      <c r="AB62" s="383"/>
    </row>
    <row r="63" spans="1:28" ht="16.5" customHeight="1" x14ac:dyDescent="0.2">
      <c r="A63" s="10"/>
      <c r="B63" s="406"/>
      <c r="C63" s="407"/>
      <c r="D63" s="407"/>
      <c r="E63" s="407"/>
      <c r="F63" s="407"/>
      <c r="G63" s="407"/>
      <c r="H63" s="407"/>
      <c r="I63" s="407"/>
      <c r="J63" s="407"/>
      <c r="K63" s="407"/>
      <c r="L63" s="407"/>
      <c r="M63" s="407"/>
      <c r="N63" s="408"/>
      <c r="O63" s="10"/>
      <c r="P63" s="383"/>
      <c r="Q63" s="383"/>
      <c r="R63" s="383"/>
      <c r="S63" s="383"/>
      <c r="T63" s="383"/>
      <c r="U63" s="383"/>
      <c r="V63" s="383"/>
      <c r="W63" s="383"/>
      <c r="X63" s="383"/>
      <c r="Y63" s="383"/>
      <c r="Z63" s="383"/>
      <c r="AA63" s="383"/>
      <c r="AB63" s="383"/>
    </row>
    <row r="64" spans="1:28" x14ac:dyDescent="0.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</row>
  </sheetData>
  <mergeCells count="52">
    <mergeCell ref="B1:N1"/>
    <mergeCell ref="B45:N45"/>
    <mergeCell ref="B46:N46"/>
    <mergeCell ref="B47:N47"/>
    <mergeCell ref="B48:N48"/>
    <mergeCell ref="B42:N42"/>
    <mergeCell ref="B43:N43"/>
    <mergeCell ref="B44:N44"/>
    <mergeCell ref="B40:N40"/>
    <mergeCell ref="B12:N12"/>
    <mergeCell ref="B7:N7"/>
    <mergeCell ref="B8:N8"/>
    <mergeCell ref="B9:N9"/>
    <mergeCell ref="B10:N10"/>
    <mergeCell ref="B11:N11"/>
    <mergeCell ref="B3:N3"/>
    <mergeCell ref="B63:N63"/>
    <mergeCell ref="B56:N56"/>
    <mergeCell ref="B20:N21"/>
    <mergeCell ref="B58:N59"/>
    <mergeCell ref="B27:N27"/>
    <mergeCell ref="B28:N28"/>
    <mergeCell ref="B29:N29"/>
    <mergeCell ref="B30:N30"/>
    <mergeCell ref="B31:N31"/>
    <mergeCell ref="B32:N32"/>
    <mergeCell ref="B41:N41"/>
    <mergeCell ref="B39:N39"/>
    <mergeCell ref="B52:N52"/>
    <mergeCell ref="B36:N36"/>
    <mergeCell ref="B37:N37"/>
    <mergeCell ref="B38:N38"/>
    <mergeCell ref="B5:N6"/>
    <mergeCell ref="B34:N35"/>
    <mergeCell ref="B14:N14"/>
    <mergeCell ref="B13:N13"/>
    <mergeCell ref="B26:N26"/>
    <mergeCell ref="B16:N16"/>
    <mergeCell ref="B17:N17"/>
    <mergeCell ref="B18:N18"/>
    <mergeCell ref="B15:N15"/>
    <mergeCell ref="B22:N22"/>
    <mergeCell ref="B23:N23"/>
    <mergeCell ref="B24:N24"/>
    <mergeCell ref="B25:N25"/>
    <mergeCell ref="B50:N51"/>
    <mergeCell ref="B60:N60"/>
    <mergeCell ref="B61:N61"/>
    <mergeCell ref="B62:N62"/>
    <mergeCell ref="B53:N53"/>
    <mergeCell ref="B54:N54"/>
    <mergeCell ref="B55:N55"/>
  </mergeCells>
  <printOptions horizontalCentered="1"/>
  <pageMargins left="0.70866141732283472" right="0.39370078740157483" top="0.39370078740157483" bottom="0.39370078740157483" header="0.31496062992125984" footer="0.31496062992125984"/>
  <pageSetup scale="67" orientation="portrait" r:id="rId1"/>
  <colBreaks count="1" manualBreakCount="1">
    <brk id="14" max="63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32"/>
  <sheetViews>
    <sheetView showGridLines="0" showRowColHeaders="0" zoomScale="132" zoomScaleNormal="132" zoomScaleSheetLayoutView="143" workbookViewId="0">
      <pane xSplit="3" ySplit="32" topLeftCell="D36" activePane="bottomRight" state="frozen"/>
      <selection activeCell="B1" sqref="B1"/>
      <selection pane="topRight" activeCell="B1" sqref="B1"/>
      <selection pane="bottomLeft" activeCell="B1" sqref="B1"/>
      <selection pane="bottomRight" activeCell="B1" sqref="B1"/>
    </sheetView>
  </sheetViews>
  <sheetFormatPr defaultRowHeight="15" x14ac:dyDescent="0.2"/>
  <cols>
    <col min="1" max="1" width="17.77734375" customWidth="1"/>
    <col min="2" max="2" width="138.33203125" style="3" customWidth="1"/>
    <col min="3" max="3" width="28.33203125" customWidth="1"/>
  </cols>
  <sheetData>
    <row r="1" spans="1:3" ht="18" customHeight="1" x14ac:dyDescent="0.2">
      <c r="A1" s="10"/>
      <c r="B1" s="9" t="s">
        <v>1</v>
      </c>
      <c r="C1" s="10"/>
    </row>
    <row r="2" spans="1:3" ht="15" customHeight="1" x14ac:dyDescent="0.2">
      <c r="A2" s="10"/>
      <c r="B2" s="12" t="s">
        <v>28</v>
      </c>
      <c r="C2" s="10"/>
    </row>
    <row r="3" spans="1:3" ht="15" customHeight="1" x14ac:dyDescent="0.2">
      <c r="A3" s="10"/>
      <c r="B3" s="13" t="s">
        <v>32</v>
      </c>
      <c r="C3" s="10"/>
    </row>
    <row r="4" spans="1:3" ht="15" customHeight="1" x14ac:dyDescent="0.2">
      <c r="A4" s="10"/>
      <c r="B4" s="13" t="s">
        <v>26</v>
      </c>
      <c r="C4" s="10"/>
    </row>
    <row r="5" spans="1:3" ht="15" customHeight="1" x14ac:dyDescent="0.2">
      <c r="A5" s="10"/>
      <c r="B5" s="13" t="s">
        <v>33</v>
      </c>
      <c r="C5" s="10"/>
    </row>
    <row r="6" spans="1:3" ht="15" customHeight="1" x14ac:dyDescent="0.2">
      <c r="A6" s="10"/>
      <c r="B6" s="13" t="s">
        <v>34</v>
      </c>
      <c r="C6" s="10"/>
    </row>
    <row r="7" spans="1:3" ht="15" customHeight="1" x14ac:dyDescent="0.2">
      <c r="A7" s="10"/>
      <c r="B7" s="13" t="s">
        <v>35</v>
      </c>
      <c r="C7" s="10"/>
    </row>
    <row r="8" spans="1:3" ht="15" customHeight="1" x14ac:dyDescent="0.2">
      <c r="A8" s="10"/>
      <c r="B8" s="13" t="s">
        <v>36</v>
      </c>
      <c r="C8" s="10"/>
    </row>
    <row r="9" spans="1:3" ht="15" customHeight="1" x14ac:dyDescent="0.2">
      <c r="A9" s="10"/>
      <c r="B9" s="13" t="s">
        <v>37</v>
      </c>
      <c r="C9" s="10"/>
    </row>
    <row r="10" spans="1:3" ht="15" customHeight="1" x14ac:dyDescent="0.2">
      <c r="A10" s="10"/>
      <c r="B10" s="13" t="s">
        <v>38</v>
      </c>
      <c r="C10" s="10"/>
    </row>
    <row r="11" spans="1:3" ht="6" customHeight="1" x14ac:dyDescent="0.2">
      <c r="A11" s="10"/>
      <c r="B11" s="14"/>
      <c r="C11" s="10"/>
    </row>
    <row r="12" spans="1:3" ht="15" customHeight="1" x14ac:dyDescent="0.2">
      <c r="A12" s="10"/>
      <c r="B12" s="15" t="s">
        <v>29</v>
      </c>
      <c r="C12" s="10"/>
    </row>
    <row r="13" spans="1:3" ht="15" customHeight="1" x14ac:dyDescent="0.2">
      <c r="A13" s="10"/>
      <c r="B13" s="13" t="s">
        <v>32</v>
      </c>
      <c r="C13" s="10"/>
    </row>
    <row r="14" spans="1:3" ht="15" customHeight="1" x14ac:dyDescent="0.2">
      <c r="A14" s="10"/>
      <c r="B14" s="13" t="s">
        <v>26</v>
      </c>
      <c r="C14" s="10"/>
    </row>
    <row r="15" spans="1:3" ht="15" customHeight="1" x14ac:dyDescent="0.2">
      <c r="A15" s="10"/>
      <c r="B15" s="13" t="s">
        <v>39</v>
      </c>
      <c r="C15" s="10"/>
    </row>
    <row r="16" spans="1:3" ht="15" customHeight="1" x14ac:dyDescent="0.2">
      <c r="A16" s="10"/>
      <c r="B16" s="13" t="s">
        <v>40</v>
      </c>
      <c r="C16" s="10"/>
    </row>
    <row r="17" spans="1:3" ht="6" customHeight="1" x14ac:dyDescent="0.2">
      <c r="A17" s="10"/>
      <c r="B17" s="13"/>
      <c r="C17" s="10"/>
    </row>
    <row r="18" spans="1:3" ht="15" customHeight="1" x14ac:dyDescent="0.2">
      <c r="A18" s="10"/>
      <c r="B18" s="21" t="s">
        <v>102</v>
      </c>
      <c r="C18" s="10"/>
    </row>
    <row r="19" spans="1:3" ht="15" customHeight="1" x14ac:dyDescent="0.2">
      <c r="A19" s="10"/>
      <c r="B19" s="13" t="s">
        <v>32</v>
      </c>
      <c r="C19" s="10"/>
    </row>
    <row r="20" spans="1:3" ht="15" customHeight="1" x14ac:dyDescent="0.2">
      <c r="A20" s="10"/>
      <c r="B20" s="13" t="s">
        <v>26</v>
      </c>
      <c r="C20" s="10"/>
    </row>
    <row r="21" spans="1:3" ht="15" customHeight="1" x14ac:dyDescent="0.2">
      <c r="A21" s="10"/>
      <c r="B21" s="13" t="s">
        <v>39</v>
      </c>
      <c r="C21" s="10"/>
    </row>
    <row r="22" spans="1:3" ht="15" customHeight="1" x14ac:dyDescent="0.2">
      <c r="A22" s="10"/>
      <c r="B22" s="13" t="s">
        <v>106</v>
      </c>
      <c r="C22" s="10"/>
    </row>
    <row r="23" spans="1:3" ht="15" customHeight="1" x14ac:dyDescent="0.2">
      <c r="A23" s="10"/>
      <c r="B23" s="13" t="s">
        <v>103</v>
      </c>
      <c r="C23" s="10"/>
    </row>
    <row r="24" spans="1:3" ht="6" customHeight="1" x14ac:dyDescent="0.2">
      <c r="A24" s="10"/>
      <c r="B24" s="13"/>
      <c r="C24" s="10"/>
    </row>
    <row r="25" spans="1:3" ht="15" customHeight="1" x14ac:dyDescent="0.2">
      <c r="A25" s="10"/>
      <c r="B25" s="16" t="s">
        <v>104</v>
      </c>
      <c r="C25" s="10"/>
    </row>
    <row r="26" spans="1:3" ht="15" customHeight="1" x14ac:dyDescent="0.2">
      <c r="A26" s="10"/>
      <c r="B26" s="13" t="s">
        <v>41</v>
      </c>
      <c r="C26" s="10"/>
    </row>
    <row r="27" spans="1:3" ht="15" customHeight="1" x14ac:dyDescent="0.2">
      <c r="A27" s="10"/>
      <c r="B27" s="13" t="s">
        <v>42</v>
      </c>
      <c r="C27" s="10"/>
    </row>
    <row r="28" spans="1:3" ht="15" customHeight="1" x14ac:dyDescent="0.2">
      <c r="A28" s="10"/>
      <c r="B28" s="13" t="s">
        <v>27</v>
      </c>
      <c r="C28" s="10"/>
    </row>
    <row r="29" spans="1:3" ht="15" customHeight="1" x14ac:dyDescent="0.2">
      <c r="A29" s="10"/>
      <c r="B29" s="17"/>
      <c r="C29" s="10"/>
    </row>
    <row r="30" spans="1:3" ht="15" customHeight="1" x14ac:dyDescent="0.2">
      <c r="A30" s="10"/>
      <c r="B30" s="18" t="s">
        <v>105</v>
      </c>
      <c r="C30" s="10"/>
    </row>
    <row r="31" spans="1:3" ht="15" customHeight="1" x14ac:dyDescent="0.2">
      <c r="A31" s="10"/>
      <c r="B31" s="4"/>
      <c r="C31" s="10"/>
    </row>
    <row r="32" spans="1:3" ht="75" customHeight="1" x14ac:dyDescent="0.2">
      <c r="A32" s="10"/>
      <c r="B32" s="11"/>
      <c r="C32" s="10"/>
    </row>
  </sheetData>
  <sheetProtection algorithmName="SHA-512" hashValue="ChRtRjV35EMP9bn+qWoNBxHW9VSWHSRMSsZrGp+McyC7yd0gxbusDEXJQFLUrMXCnjr+8hKG1ShoICQKkTvO/w==" saltValue="4Fgv4KhbS2EcRAiwimz36Q==" spinCount="100000" sheet="1" objects="1" scenarios="1"/>
  <pageMargins left="0.511811024" right="0.511811024" top="0.78740157499999996" bottom="0.78740157499999996" header="0.31496062000000002" footer="0.31496062000000002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>
    <tabColor theme="9" tint="0.59999389629810485"/>
  </sheetPr>
  <dimension ref="A1:N96"/>
  <sheetViews>
    <sheetView showGridLines="0" showRowColHeaders="0" zoomScale="83" zoomScaleNormal="83" zoomScaleSheetLayoutView="120" workbookViewId="0">
      <pane xSplit="7" ySplit="5" topLeftCell="H6" activePane="bottomRight" state="frozen"/>
      <selection activeCell="C5" sqref="C5"/>
      <selection pane="topRight" activeCell="C5" sqref="C5"/>
      <selection pane="bottomLeft" activeCell="C5" sqref="C5"/>
      <selection pane="bottomRight" activeCell="B2" sqref="B2"/>
    </sheetView>
  </sheetViews>
  <sheetFormatPr defaultColWidth="8.88671875" defaultRowHeight="15" x14ac:dyDescent="0.2"/>
  <cols>
    <col min="1" max="1" width="20.77734375" customWidth="1"/>
    <col min="2" max="2" width="59.77734375" customWidth="1"/>
    <col min="3" max="6" width="18.33203125" customWidth="1"/>
    <col min="7" max="7" width="20.77734375" customWidth="1"/>
    <col min="8" max="9" width="6.109375" style="356" hidden="1" customWidth="1"/>
    <col min="10" max="10" width="13.21875" style="356" hidden="1" customWidth="1"/>
    <col min="11" max="11" width="38.109375" hidden="1" customWidth="1"/>
    <col min="12" max="12" width="8.88671875" hidden="1" customWidth="1"/>
    <col min="13" max="13" width="24.77734375" customWidth="1"/>
    <col min="14" max="14" width="19.44140625" customWidth="1"/>
    <col min="15" max="15" width="11.88671875" customWidth="1"/>
    <col min="16" max="25" width="8.88671875" customWidth="1"/>
    <col min="26" max="26" width="9.6640625" customWidth="1"/>
  </cols>
  <sheetData>
    <row r="1" spans="1:14" ht="45.95" customHeight="1" thickBot="1" x14ac:dyDescent="0.3">
      <c r="A1" s="33"/>
      <c r="B1" s="416" t="s">
        <v>190</v>
      </c>
      <c r="C1" s="416"/>
      <c r="D1" s="416"/>
      <c r="E1" s="417" t="str">
        <f xml:space="preserve"> IF( B2="", "QUAD./ ANO", CONCATENATE( J1, "/", I1))</f>
        <v>1º  QUAD./2025</v>
      </c>
      <c r="F1" s="417"/>
      <c r="G1" s="2"/>
      <c r="H1" s="310">
        <f xml:space="preserve"> IF( C5="", "-", MONTH( C5))</f>
        <v>1</v>
      </c>
      <c r="I1" s="320">
        <f xml:space="preserve"> IF( C5="", "-", YEAR( C5))</f>
        <v>2025</v>
      </c>
      <c r="J1" s="311" t="str">
        <f xml:space="preserve">
IF( OR( H1 =2, H1=3, H1=4, H1=6, H1=7, H1=8,H1=10, H1=11, H1=12), "-",
IF( H1="-","-",
IF( H1=1,"1º  QUAD.",
IF( H1=5,"2º  QUAD.",
IF( H1=9,"3º  QUAD.")))))</f>
        <v>1º  QUAD.</v>
      </c>
      <c r="K1" s="6" t="s">
        <v>23</v>
      </c>
    </row>
    <row r="2" spans="1:14" ht="15.75" customHeight="1" x14ac:dyDescent="0.25">
      <c r="A2" s="33"/>
      <c r="B2" s="23" t="s">
        <v>323</v>
      </c>
      <c r="C2" s="36"/>
      <c r="D2" s="36"/>
      <c r="E2" s="36"/>
      <c r="F2" s="36"/>
      <c r="G2" s="2"/>
      <c r="K2" s="7" t="str">
        <f>MID(B3,13,50)</f>
        <v>1/2025a04/2025</v>
      </c>
    </row>
    <row r="3" spans="1:14" ht="15.75" customHeight="1" x14ac:dyDescent="0.25">
      <c r="A3" s="33"/>
      <c r="B3" s="288" t="s">
        <v>324</v>
      </c>
      <c r="C3" s="37"/>
      <c r="D3" s="37"/>
      <c r="E3" s="37"/>
      <c r="F3" s="37"/>
      <c r="G3" s="2"/>
      <c r="K3" s="7"/>
    </row>
    <row r="4" spans="1:14" ht="15.95" customHeight="1" thickBot="1" x14ac:dyDescent="0.3">
      <c r="A4" s="33"/>
      <c r="B4" s="288"/>
      <c r="C4" s="37"/>
      <c r="D4" s="37"/>
      <c r="E4" s="37"/>
      <c r="F4" s="37"/>
      <c r="G4" s="2"/>
      <c r="K4" s="8"/>
    </row>
    <row r="5" spans="1:14" ht="27" customHeight="1" x14ac:dyDescent="0.2">
      <c r="A5" s="38"/>
      <c r="B5" s="39" t="s">
        <v>325</v>
      </c>
      <c r="C5" s="321">
        <v>45658</v>
      </c>
      <c r="D5" s="321">
        <v>45689</v>
      </c>
      <c r="E5" s="321">
        <v>45717</v>
      </c>
      <c r="F5" s="321">
        <v>45748</v>
      </c>
      <c r="G5" s="2"/>
      <c r="K5" s="20" t="s">
        <v>94</v>
      </c>
    </row>
    <row r="6" spans="1:14" ht="27" customHeight="1" x14ac:dyDescent="0.25">
      <c r="A6" s="33"/>
      <c r="B6" s="322" t="s">
        <v>326</v>
      </c>
      <c r="C6" s="323">
        <v>1880276.19</v>
      </c>
      <c r="D6" s="323">
        <v>1830161.99</v>
      </c>
      <c r="E6" s="323">
        <v>1849518.26</v>
      </c>
      <c r="F6" s="323">
        <v>1828423.03</v>
      </c>
      <c r="G6" s="2"/>
      <c r="K6" s="1"/>
      <c r="N6" s="5"/>
    </row>
    <row r="7" spans="1:14" ht="27" hidden="1" customHeight="1" x14ac:dyDescent="0.2">
      <c r="A7" s="40" t="s">
        <v>18</v>
      </c>
      <c r="B7" s="26" t="s">
        <v>327</v>
      </c>
      <c r="C7" s="41">
        <v>7388379.4699999997</v>
      </c>
      <c r="D7" s="41"/>
      <c r="E7" s="41"/>
      <c r="F7" s="41"/>
      <c r="G7" s="2"/>
      <c r="K7" s="1"/>
      <c r="N7" s="5"/>
    </row>
    <row r="8" spans="1:14" ht="27" customHeight="1" x14ac:dyDescent="0.25">
      <c r="A8" s="33"/>
      <c r="B8" s="25" t="s">
        <v>200</v>
      </c>
      <c r="C8" s="75">
        <v>1748881.79</v>
      </c>
      <c r="D8" s="75">
        <v>1702634.46</v>
      </c>
      <c r="E8" s="75">
        <v>1687127.68</v>
      </c>
      <c r="F8" s="75">
        <v>1686991.5</v>
      </c>
      <c r="G8" s="2"/>
      <c r="K8" s="1" t="str">
        <f>IF(OR(
B8="PESSOAL",
B8="MATERIAL DE CONSUMO",
B8="SERVIÇOS DE TERCEIROS",
B8="DESPESAS GERAIS",B8="DEPRECIAÇÃO"),"GRUPO","-")</f>
        <v>GRUPO</v>
      </c>
      <c r="L8" t="e">
        <f>VLOOKUP(B8,RELATÓRIO!$E$24:$E$69,OR(1,2),FALSE)</f>
        <v>#N/A</v>
      </c>
      <c r="N8" s="5"/>
    </row>
    <row r="9" spans="1:14" ht="27" customHeight="1" x14ac:dyDescent="0.25">
      <c r="A9" s="33"/>
      <c r="B9" s="25" t="s">
        <v>90</v>
      </c>
      <c r="C9" s="75">
        <v>33024.81</v>
      </c>
      <c r="D9" s="75">
        <v>31675.29</v>
      </c>
      <c r="E9" s="75">
        <v>31986.67</v>
      </c>
      <c r="F9" s="75">
        <v>31619.13</v>
      </c>
      <c r="G9" s="2"/>
      <c r="K9" s="1" t="str">
        <f>IF(OR(
B9="PESSOAL",
B9="MATERIAL DE CONSUMO",
B9="SERVIÇOS DE TERCEIROS",
B9="DESPESAS GERAIS",B9="DEPRECIAÇÃO"),"GRUPO","-")</f>
        <v>-</v>
      </c>
      <c r="L9" t="str">
        <f>VLOOKUP(B9,RELATÓRIO!$E$24:$E$69,OR(1,2),FALSE)</f>
        <v>Provisão de Férias</v>
      </c>
      <c r="N9" s="5"/>
    </row>
    <row r="10" spans="1:14" ht="27" customHeight="1" x14ac:dyDescent="0.25">
      <c r="A10" s="33"/>
      <c r="B10" s="25" t="s">
        <v>91</v>
      </c>
      <c r="C10" s="75">
        <v>97862.67</v>
      </c>
      <c r="D10" s="75">
        <v>94306.84</v>
      </c>
      <c r="E10" s="75">
        <v>95246.14</v>
      </c>
      <c r="F10" s="75">
        <v>94127.76</v>
      </c>
      <c r="G10" s="2"/>
      <c r="K10" s="1" t="str">
        <f t="shared" ref="K10:K45" si="0">IF(OR(
B10="PESSOAL",
B10="MATERIAL DE CONSUMO",
B10="SERVIÇOS DE TERCEIROS",
B10="DESPESAS GERAIS",B10="DEPRECIAÇÃO"),"GRUPO","-")</f>
        <v>-</v>
      </c>
      <c r="L10" t="str">
        <f>VLOOKUP(B10,RELATÓRIO!$E$24:$E$69,OR(1,2),FALSE)</f>
        <v>Provisão de Gratificação Natalina (13º)</v>
      </c>
    </row>
    <row r="11" spans="1:14" ht="27" customHeight="1" x14ac:dyDescent="0.25">
      <c r="A11" s="33"/>
      <c r="B11" s="25" t="s">
        <v>92</v>
      </c>
      <c r="C11" s="75">
        <v>314348.64</v>
      </c>
      <c r="D11" s="75">
        <v>305157.45</v>
      </c>
      <c r="E11" s="75">
        <v>301495.84999999998</v>
      </c>
      <c r="F11" s="75">
        <v>303794.96000000002</v>
      </c>
      <c r="G11" s="2"/>
      <c r="K11" s="1" t="str">
        <f t="shared" si="0"/>
        <v>-</v>
      </c>
      <c r="L11" t="str">
        <f>VLOOKUP(B11,RELATÓRIO!$E$24:$E$69,OR(1,2),FALSE)</f>
        <v>Provisão de Patronal</v>
      </c>
    </row>
    <row r="12" spans="1:14" ht="27" customHeight="1" x14ac:dyDescent="0.25">
      <c r="A12" s="33"/>
      <c r="B12" s="25" t="s">
        <v>175</v>
      </c>
      <c r="C12" s="75">
        <v>1247234.8700000001</v>
      </c>
      <c r="D12" s="75">
        <v>1207439.96</v>
      </c>
      <c r="E12" s="75">
        <v>1219203.98</v>
      </c>
      <c r="F12" s="75">
        <v>1205392.06</v>
      </c>
      <c r="G12" s="2"/>
      <c r="K12" s="1" t="str">
        <f t="shared" si="0"/>
        <v>-</v>
      </c>
      <c r="L12" t="str">
        <f>VLOOKUP(B12,RELATÓRIO!$E$24:$E$69,OR(1,2),FALSE)</f>
        <v>Remuneração a Pessoal - Estatutário</v>
      </c>
    </row>
    <row r="13" spans="1:14" ht="27" customHeight="1" x14ac:dyDescent="0.25">
      <c r="A13" s="33"/>
      <c r="B13" s="25" t="s">
        <v>97</v>
      </c>
      <c r="C13" s="75">
        <v>56410.8</v>
      </c>
      <c r="D13" s="75">
        <v>64054.92</v>
      </c>
      <c r="E13" s="75">
        <v>39195.040000000001</v>
      </c>
      <c r="F13" s="75">
        <v>52057.59</v>
      </c>
      <c r="G13" s="2"/>
      <c r="K13" s="1" t="str">
        <f t="shared" si="0"/>
        <v>-</v>
      </c>
      <c r="L13" t="str">
        <f>VLOOKUP(B13,RELATÓRIO!$E$24:$E$69,OR(1,2),FALSE)</f>
        <v>Remuneração a Pessoal - Residente</v>
      </c>
    </row>
    <row r="14" spans="1:14" ht="27" customHeight="1" x14ac:dyDescent="0.25">
      <c r="A14" s="33"/>
      <c r="B14" s="25" t="s">
        <v>328</v>
      </c>
      <c r="C14" s="75">
        <v>48206.54</v>
      </c>
      <c r="D14" s="75">
        <v>52293.16</v>
      </c>
      <c r="E14" s="75">
        <v>80914.3</v>
      </c>
      <c r="F14" s="75">
        <v>60652.51</v>
      </c>
      <c r="G14" s="2"/>
      <c r="K14" s="1" t="str">
        <f t="shared" si="0"/>
        <v>GRUPO</v>
      </c>
      <c r="L14" t="e">
        <f>VLOOKUP(B14,RELATÓRIO!$E$24:$E$69,OR(1,2),FALSE)</f>
        <v>#N/A</v>
      </c>
    </row>
    <row r="15" spans="1:14" ht="27" customHeight="1" x14ac:dyDescent="0.25">
      <c r="A15" s="33"/>
      <c r="B15" s="25" t="s">
        <v>46</v>
      </c>
      <c r="C15" s="75">
        <v>298.48</v>
      </c>
      <c r="D15" s="75">
        <v>733.94</v>
      </c>
      <c r="E15" s="75">
        <v>394.18</v>
      </c>
      <c r="F15" s="75">
        <v>922.81</v>
      </c>
      <c r="G15" s="2"/>
      <c r="K15" s="1" t="str">
        <f t="shared" si="0"/>
        <v>-</v>
      </c>
      <c r="L15" t="str">
        <f>VLOOKUP(B15,RELATÓRIO!$E$24:$E$69,OR(1,2),FALSE)</f>
        <v>Material de Expediente</v>
      </c>
    </row>
    <row r="16" spans="1:14" ht="27" customHeight="1" x14ac:dyDescent="0.25">
      <c r="A16" s="33"/>
      <c r="B16" s="25" t="s">
        <v>47</v>
      </c>
      <c r="C16" s="75">
        <v>53.45</v>
      </c>
      <c r="D16" s="75">
        <v>56.65</v>
      </c>
      <c r="E16" s="75"/>
      <c r="F16" s="75"/>
      <c r="G16" s="2"/>
      <c r="K16" s="1" t="str">
        <f t="shared" si="0"/>
        <v>-</v>
      </c>
      <c r="L16" t="str">
        <f>VLOOKUP(B16,RELATÓRIO!$E$24:$E$69,OR(1,2),FALSE)</f>
        <v>Material Laboratorial</v>
      </c>
    </row>
    <row r="17" spans="1:12" ht="27" customHeight="1" x14ac:dyDescent="0.25">
      <c r="A17" s="33"/>
      <c r="B17" s="25" t="s">
        <v>48</v>
      </c>
      <c r="C17" s="75">
        <v>28086.65</v>
      </c>
      <c r="D17" s="75">
        <v>32114.66</v>
      </c>
      <c r="E17" s="75">
        <v>31998.04</v>
      </c>
      <c r="F17" s="75">
        <v>27792.17</v>
      </c>
      <c r="G17" s="2"/>
      <c r="K17" s="1" t="str">
        <f t="shared" si="0"/>
        <v>-</v>
      </c>
      <c r="L17" t="str">
        <f>VLOOKUP(B17,RELATÓRIO!$E$24:$E$69,OR(1,2),FALSE)</f>
        <v>Material Médico-Hospitalar</v>
      </c>
    </row>
    <row r="18" spans="1:12" ht="27" customHeight="1" x14ac:dyDescent="0.25">
      <c r="A18" s="33"/>
      <c r="B18" s="25" t="s">
        <v>98</v>
      </c>
      <c r="C18" s="75">
        <v>17330.23</v>
      </c>
      <c r="D18" s="75">
        <v>18039.669999999998</v>
      </c>
      <c r="E18" s="75">
        <v>13901.03</v>
      </c>
      <c r="F18" s="75">
        <v>29132.83</v>
      </c>
      <c r="G18" s="2"/>
      <c r="K18" s="1" t="str">
        <f t="shared" si="0"/>
        <v>-</v>
      </c>
      <c r="L18" t="str">
        <f>VLOOKUP(B18,RELATÓRIO!$E$24:$E$69,OR(1,2),FALSE)</f>
        <v>Material para Reabilitação (Órteses, próteses e materiais especiais - OPME)</v>
      </c>
    </row>
    <row r="19" spans="1:12" ht="27" customHeight="1" x14ac:dyDescent="0.25">
      <c r="A19" s="33"/>
      <c r="B19" s="25" t="s">
        <v>50</v>
      </c>
      <c r="C19" s="75">
        <v>2388.56</v>
      </c>
      <c r="D19" s="75">
        <v>1151.23</v>
      </c>
      <c r="E19" s="75">
        <v>34494.22</v>
      </c>
      <c r="F19" s="75">
        <v>2687.49</v>
      </c>
      <c r="G19" s="2"/>
      <c r="K19" s="1" t="str">
        <f t="shared" si="0"/>
        <v>-</v>
      </c>
      <c r="L19" t="str">
        <f>VLOOKUP(B19,RELATÓRIO!$E$24:$E$69,OR(1,2),FALSE)</f>
        <v>Medicamentos</v>
      </c>
    </row>
    <row r="20" spans="1:12" ht="27" customHeight="1" x14ac:dyDescent="0.25">
      <c r="A20" s="33"/>
      <c r="B20" s="25" t="s">
        <v>51</v>
      </c>
      <c r="C20" s="75">
        <v>49.17</v>
      </c>
      <c r="D20" s="75">
        <v>197.01</v>
      </c>
      <c r="E20" s="75">
        <v>126.83</v>
      </c>
      <c r="F20" s="75">
        <v>117.21</v>
      </c>
      <c r="G20" s="2"/>
      <c r="K20" s="1" t="str">
        <f t="shared" si="0"/>
        <v>-</v>
      </c>
      <c r="L20" t="str">
        <f>VLOOKUP(B20,RELATÓRIO!$E$24:$E$69,OR(1,2),FALSE)</f>
        <v>Outros Materiais de Consumo</v>
      </c>
    </row>
    <row r="21" spans="1:12" ht="27" customHeight="1" x14ac:dyDescent="0.25">
      <c r="A21" s="33"/>
      <c r="B21" s="25" t="s">
        <v>329</v>
      </c>
      <c r="C21" s="75">
        <v>65840.25</v>
      </c>
      <c r="D21" s="75">
        <v>57459.35</v>
      </c>
      <c r="E21" s="75">
        <v>66193.67</v>
      </c>
      <c r="F21" s="75">
        <v>65437.45</v>
      </c>
      <c r="G21" s="2"/>
      <c r="K21" s="1" t="str">
        <f t="shared" si="0"/>
        <v>GRUPO</v>
      </c>
      <c r="L21" t="e">
        <f>VLOOKUP(B21,RELATÓRIO!$E$24:$E$69,OR(1,2),FALSE)</f>
        <v>#N/A</v>
      </c>
    </row>
    <row r="22" spans="1:12" ht="27" customHeight="1" x14ac:dyDescent="0.25">
      <c r="A22" s="33"/>
      <c r="B22" s="25" t="s">
        <v>53</v>
      </c>
      <c r="C22" s="75">
        <v>717.85</v>
      </c>
      <c r="D22" s="75">
        <v>879.2</v>
      </c>
      <c r="E22" s="75">
        <v>927.61</v>
      </c>
      <c r="F22" s="75">
        <v>1048.05</v>
      </c>
      <c r="G22" s="2"/>
      <c r="K22" s="1" t="str">
        <f t="shared" si="0"/>
        <v>-</v>
      </c>
      <c r="L22" t="str">
        <f>VLOOKUP(B22,RELATÓRIO!$E$24:$E$69,OR(1,2),FALSE)</f>
        <v>Serviço de Coleta de Resíduos de Serviços de Saúde</v>
      </c>
    </row>
    <row r="23" spans="1:12" ht="27" customHeight="1" x14ac:dyDescent="0.25">
      <c r="A23" s="33"/>
      <c r="B23" s="25" t="s">
        <v>330</v>
      </c>
      <c r="C23" s="75">
        <v>806.67</v>
      </c>
      <c r="D23" s="75"/>
      <c r="E23" s="75"/>
      <c r="F23" s="75"/>
      <c r="G23" s="2"/>
      <c r="K23" s="1" t="str">
        <f t="shared" si="0"/>
        <v>-</v>
      </c>
      <c r="L23" t="e">
        <f>VLOOKUP(B23,RELATÓRIO!$E$24:$E$69,OR(1,2),FALSE)</f>
        <v>#N/A</v>
      </c>
    </row>
    <row r="24" spans="1:12" ht="27" customHeight="1" x14ac:dyDescent="0.25">
      <c r="A24" s="33"/>
      <c r="B24" s="25" t="s">
        <v>56</v>
      </c>
      <c r="C24" s="75">
        <v>1558.33</v>
      </c>
      <c r="D24" s="75">
        <v>1558.33</v>
      </c>
      <c r="E24" s="75">
        <v>2283.33</v>
      </c>
      <c r="F24" s="75">
        <v>1712.33</v>
      </c>
      <c r="G24" s="2"/>
      <c r="K24" s="1" t="str">
        <f t="shared" si="0"/>
        <v>-</v>
      </c>
      <c r="L24" t="str">
        <f>VLOOKUP(B24,RELATÓRIO!$E$24:$E$69,OR(1,2),FALSE)</f>
        <v>Serviço de Manutenção e Conservação de Máquinas e Equipamentos</v>
      </c>
    </row>
    <row r="25" spans="1:12" ht="27" customHeight="1" x14ac:dyDescent="0.25">
      <c r="A25" s="33"/>
      <c r="B25" s="25" t="s">
        <v>331</v>
      </c>
      <c r="C25" s="75">
        <v>7045.42</v>
      </c>
      <c r="D25" s="75">
        <v>7045.42</v>
      </c>
      <c r="E25" s="75">
        <v>7237.57</v>
      </c>
      <c r="F25" s="75">
        <v>7045.42</v>
      </c>
      <c r="G25" s="2"/>
      <c r="K25" s="1" t="str">
        <f t="shared" si="0"/>
        <v>-</v>
      </c>
      <c r="L25" t="e">
        <f>VLOOKUP(B25,RELATÓRIO!$E$24:$E$69,OR(1,2),FALSE)</f>
        <v>#N/A</v>
      </c>
    </row>
    <row r="26" spans="1:12" ht="27" customHeight="1" x14ac:dyDescent="0.25">
      <c r="A26" s="33"/>
      <c r="B26" s="25" t="s">
        <v>57</v>
      </c>
      <c r="C26" s="75">
        <v>1645.11</v>
      </c>
      <c r="D26" s="75">
        <v>1652.49</v>
      </c>
      <c r="E26" s="75">
        <v>1678.29</v>
      </c>
      <c r="F26" s="75">
        <v>1564.78</v>
      </c>
      <c r="G26" s="2"/>
      <c r="K26" s="1" t="str">
        <f t="shared" si="0"/>
        <v>-</v>
      </c>
      <c r="L26" t="str">
        <f>VLOOKUP(B26,RELATÓRIO!$E$24:$E$69,OR(1,2),FALSE)</f>
        <v>Serviços de Cópias e Reprodução de Documentos</v>
      </c>
    </row>
    <row r="27" spans="1:12" ht="27" customHeight="1" x14ac:dyDescent="0.25">
      <c r="A27" s="33"/>
      <c r="B27" s="25" t="s">
        <v>81</v>
      </c>
      <c r="C27" s="75">
        <v>30837.99</v>
      </c>
      <c r="D27" s="75">
        <v>30837.99</v>
      </c>
      <c r="E27" s="75">
        <v>30837.99</v>
      </c>
      <c r="F27" s="75">
        <v>30837.99</v>
      </c>
      <c r="G27" s="2"/>
      <c r="K27" s="1" t="str">
        <f t="shared" si="0"/>
        <v>-</v>
      </c>
      <c r="L27" t="str">
        <f>VLOOKUP(B27,RELATÓRIO!$E$24:$E$69,OR(1,2),FALSE)</f>
        <v>Serviços de Limpeza e Conservação</v>
      </c>
    </row>
    <row r="28" spans="1:12" ht="27" customHeight="1" x14ac:dyDescent="0.25">
      <c r="A28" s="33"/>
      <c r="B28" s="25" t="s">
        <v>59</v>
      </c>
      <c r="C28" s="75">
        <v>23228.880000000001</v>
      </c>
      <c r="D28" s="75">
        <v>15485.92</v>
      </c>
      <c r="E28" s="75">
        <v>23228.880000000001</v>
      </c>
      <c r="F28" s="75">
        <v>23228.880000000001</v>
      </c>
      <c r="G28" s="2"/>
      <c r="K28" s="1" t="str">
        <f t="shared" si="0"/>
        <v>-</v>
      </c>
      <c r="L28" t="str">
        <f>VLOOKUP(B28,RELATÓRIO!$E$24:$E$69,OR(1,2),FALSE)</f>
        <v>Serviços de Vigilância e/ou Segurança</v>
      </c>
    </row>
    <row r="29" spans="1:12" ht="27" customHeight="1" x14ac:dyDescent="0.25">
      <c r="A29" s="33"/>
      <c r="B29" s="25" t="s">
        <v>332</v>
      </c>
      <c r="C29" s="75">
        <v>17347.61</v>
      </c>
      <c r="D29" s="75">
        <v>17775.02</v>
      </c>
      <c r="E29" s="75">
        <v>15282.61</v>
      </c>
      <c r="F29" s="75">
        <v>15341.57</v>
      </c>
      <c r="G29" s="2"/>
      <c r="K29" s="1" t="str">
        <f t="shared" si="0"/>
        <v>GRUPO</v>
      </c>
      <c r="L29" t="e">
        <f>VLOOKUP(B29,RELATÓRIO!$E$24:$E$69,OR(1,2),FALSE)</f>
        <v>#N/A</v>
      </c>
    </row>
    <row r="30" spans="1:12" ht="27" customHeight="1" x14ac:dyDescent="0.25">
      <c r="A30" s="33"/>
      <c r="B30" s="25" t="s">
        <v>60</v>
      </c>
      <c r="C30" s="75">
        <v>6604.73</v>
      </c>
      <c r="D30" s="75">
        <v>6376.11</v>
      </c>
      <c r="E30" s="75">
        <v>5408.12</v>
      </c>
      <c r="F30" s="75">
        <v>4815.49</v>
      </c>
      <c r="G30" s="2"/>
      <c r="K30" s="1" t="str">
        <f t="shared" si="0"/>
        <v>-</v>
      </c>
      <c r="L30" t="str">
        <f>VLOOKUP(B30,RELATÓRIO!$E$24:$E$69,OR(1,2),FALSE)</f>
        <v>Serviço de Água e Esgoto</v>
      </c>
    </row>
    <row r="31" spans="1:12" ht="27" customHeight="1" x14ac:dyDescent="0.25">
      <c r="A31" s="33"/>
      <c r="B31" s="25" t="s">
        <v>61</v>
      </c>
      <c r="C31" s="75">
        <v>10483.879999999999</v>
      </c>
      <c r="D31" s="75">
        <v>11139.91</v>
      </c>
      <c r="E31" s="75">
        <v>9615.49</v>
      </c>
      <c r="F31" s="75">
        <v>10267.08</v>
      </c>
      <c r="G31" s="2"/>
      <c r="K31" s="1" t="str">
        <f t="shared" si="0"/>
        <v>-</v>
      </c>
      <c r="L31" t="str">
        <f>VLOOKUP(B31,RELATÓRIO!$E$24:$E$69,OR(1,2),FALSE)</f>
        <v>Serviços de Energia Elétrica</v>
      </c>
    </row>
    <row r="32" spans="1:12" ht="27" customHeight="1" x14ac:dyDescent="0.25">
      <c r="A32" s="33"/>
      <c r="B32" s="25" t="s">
        <v>62</v>
      </c>
      <c r="C32" s="75">
        <v>259</v>
      </c>
      <c r="D32" s="75">
        <v>259</v>
      </c>
      <c r="E32" s="75">
        <v>259</v>
      </c>
      <c r="F32" s="75">
        <v>259</v>
      </c>
      <c r="G32" s="2"/>
      <c r="K32" s="1" t="str">
        <f t="shared" si="0"/>
        <v>-</v>
      </c>
      <c r="L32" t="str">
        <f>VLOOKUP(B32,RELATÓRIO!$E$24:$E$69,OR(1,2),FALSE)</f>
        <v>Serviços de Telecomunicações - (Telefonia Fixa - Ramais)</v>
      </c>
    </row>
    <row r="33" spans="1:12" ht="27" customHeight="1" x14ac:dyDescent="0.25">
      <c r="A33" s="33"/>
      <c r="B33" s="25"/>
      <c r="C33" s="75"/>
      <c r="D33" s="75"/>
      <c r="E33" s="75"/>
      <c r="F33" s="75"/>
      <c r="G33" s="2"/>
      <c r="K33" s="1" t="str">
        <f t="shared" si="0"/>
        <v>-</v>
      </c>
      <c r="L33" t="e">
        <f>VLOOKUP(B33,RELATÓRIO!$E$24:$E$69,OR(1,2),FALSE)</f>
        <v>#N/A</v>
      </c>
    </row>
    <row r="34" spans="1:12" ht="27" customHeight="1" x14ac:dyDescent="0.25">
      <c r="A34" s="33"/>
      <c r="B34" s="25"/>
      <c r="C34" s="75"/>
      <c r="D34" s="75"/>
      <c r="E34" s="75"/>
      <c r="F34" s="75"/>
      <c r="G34" s="2"/>
      <c r="K34" s="1" t="str">
        <f t="shared" si="0"/>
        <v>-</v>
      </c>
      <c r="L34" t="e">
        <f>VLOOKUP(B34,RELATÓRIO!$E$24:$E$69,OR(1,2),FALSE)</f>
        <v>#N/A</v>
      </c>
    </row>
    <row r="35" spans="1:12" ht="27" customHeight="1" x14ac:dyDescent="0.25">
      <c r="A35" s="33"/>
      <c r="B35" s="25"/>
      <c r="C35" s="75"/>
      <c r="D35" s="75"/>
      <c r="E35" s="75"/>
      <c r="F35" s="75"/>
      <c r="G35" s="2"/>
      <c r="K35" s="1" t="str">
        <f t="shared" si="0"/>
        <v>-</v>
      </c>
      <c r="L35" t="e">
        <f>VLOOKUP(B35,RELATÓRIO!$E$24:$E$69,OR(1,2),FALSE)</f>
        <v>#N/A</v>
      </c>
    </row>
    <row r="36" spans="1:12" ht="27" customHeight="1" x14ac:dyDescent="0.25">
      <c r="A36" s="33"/>
      <c r="B36" s="25"/>
      <c r="C36" s="75"/>
      <c r="D36" s="75"/>
      <c r="E36" s="75"/>
      <c r="F36" s="75"/>
      <c r="G36" s="2"/>
      <c r="K36" s="1" t="str">
        <f t="shared" si="0"/>
        <v>-</v>
      </c>
      <c r="L36" t="e">
        <f>VLOOKUP(B36,RELATÓRIO!$E$24:$E$69,OR(1,2),FALSE)</f>
        <v>#N/A</v>
      </c>
    </row>
    <row r="37" spans="1:12" ht="27" customHeight="1" x14ac:dyDescent="0.25">
      <c r="A37" s="33"/>
      <c r="B37" s="25"/>
      <c r="C37" s="75"/>
      <c r="D37" s="75"/>
      <c r="E37" s="75"/>
      <c r="F37" s="75"/>
      <c r="G37" s="2"/>
      <c r="K37" s="1" t="str">
        <f t="shared" si="0"/>
        <v>-</v>
      </c>
      <c r="L37" t="e">
        <f>VLOOKUP(B37,RELATÓRIO!$E$24:$E$69,OR(1,2),FALSE)</f>
        <v>#N/A</v>
      </c>
    </row>
    <row r="38" spans="1:12" ht="27" customHeight="1" x14ac:dyDescent="0.25">
      <c r="A38" s="33"/>
      <c r="B38" s="25"/>
      <c r="C38" s="75"/>
      <c r="D38" s="75"/>
      <c r="E38" s="75"/>
      <c r="F38" s="75"/>
      <c r="G38" s="2"/>
      <c r="K38" s="1" t="str">
        <f t="shared" si="0"/>
        <v>-</v>
      </c>
      <c r="L38" t="e">
        <f>VLOOKUP(B38,RELATÓRIO!$E$24:$E$69,OR(1,2),FALSE)</f>
        <v>#N/A</v>
      </c>
    </row>
    <row r="39" spans="1:12" ht="27" customHeight="1" x14ac:dyDescent="0.25">
      <c r="A39" s="33"/>
      <c r="B39" s="25"/>
      <c r="C39" s="75"/>
      <c r="D39" s="75"/>
      <c r="E39" s="75"/>
      <c r="F39" s="75"/>
      <c r="G39" s="2"/>
      <c r="K39" s="1" t="str">
        <f t="shared" si="0"/>
        <v>-</v>
      </c>
      <c r="L39" t="e">
        <f>VLOOKUP(B39,RELATÓRIO!$E$24:$E$69,OR(1,2),FALSE)</f>
        <v>#N/A</v>
      </c>
    </row>
    <row r="40" spans="1:12" ht="27" customHeight="1" x14ac:dyDescent="0.25">
      <c r="A40" s="33"/>
      <c r="B40" s="25"/>
      <c r="C40" s="75"/>
      <c r="D40" s="75"/>
      <c r="E40" s="75"/>
      <c r="F40" s="75"/>
      <c r="G40" s="2"/>
      <c r="K40" s="1" t="str">
        <f t="shared" si="0"/>
        <v>-</v>
      </c>
      <c r="L40" t="e">
        <f>VLOOKUP(B40,RELATÓRIO!$E$24:$E$69,OR(1,2),FALSE)</f>
        <v>#N/A</v>
      </c>
    </row>
    <row r="41" spans="1:12" ht="33" customHeight="1" x14ac:dyDescent="0.25">
      <c r="A41" s="33"/>
      <c r="B41" s="25"/>
      <c r="C41" s="75"/>
      <c r="D41" s="75"/>
      <c r="E41" s="75"/>
      <c r="F41" s="75"/>
      <c r="G41" s="2"/>
      <c r="K41" s="1" t="str">
        <f t="shared" si="0"/>
        <v>-</v>
      </c>
      <c r="L41" t="e">
        <f>VLOOKUP(B41,RELATÓRIO!$E$24:$E$69,OR(1,2),FALSE)</f>
        <v>#N/A</v>
      </c>
    </row>
    <row r="42" spans="1:12" ht="33" customHeight="1" x14ac:dyDescent="0.25">
      <c r="A42" s="33"/>
      <c r="B42" s="25"/>
      <c r="C42" s="75"/>
      <c r="D42" s="75"/>
      <c r="E42" s="75"/>
      <c r="F42" s="75"/>
      <c r="G42" s="2"/>
      <c r="K42" s="1" t="str">
        <f t="shared" si="0"/>
        <v>-</v>
      </c>
      <c r="L42" t="e">
        <f>VLOOKUP(B42,RELATÓRIO!$E$24:$E$69,OR(1,2),FALSE)</f>
        <v>#N/A</v>
      </c>
    </row>
    <row r="43" spans="1:12" ht="33" customHeight="1" x14ac:dyDescent="0.2">
      <c r="A43" s="2"/>
      <c r="B43" s="25"/>
      <c r="C43" s="75"/>
      <c r="D43" s="75"/>
      <c r="E43" s="75"/>
      <c r="F43" s="75"/>
      <c r="G43" s="2"/>
      <c r="K43" s="1" t="str">
        <f t="shared" si="0"/>
        <v>-</v>
      </c>
      <c r="L43" t="e">
        <f>VLOOKUP(B43,RELATÓRIO!$E$24:$E$69,OR(1,2),FALSE)</f>
        <v>#N/A</v>
      </c>
    </row>
    <row r="44" spans="1:12" ht="33" customHeight="1" x14ac:dyDescent="0.2">
      <c r="A44" s="2"/>
      <c r="B44" s="25"/>
      <c r="C44" s="75"/>
      <c r="D44" s="75"/>
      <c r="E44" s="75"/>
      <c r="F44" s="75"/>
      <c r="G44" s="2"/>
      <c r="K44" s="1" t="str">
        <f t="shared" si="0"/>
        <v>-</v>
      </c>
      <c r="L44" t="e">
        <f>VLOOKUP(B44,RELATÓRIO!$E$24:$E$69,OR(1,2),FALSE)</f>
        <v>#N/A</v>
      </c>
    </row>
    <row r="45" spans="1:12" ht="33" customHeight="1" x14ac:dyDescent="0.2">
      <c r="A45" s="2"/>
      <c r="B45" s="25"/>
      <c r="C45" s="75"/>
      <c r="D45" s="75"/>
      <c r="E45" s="75"/>
      <c r="F45" s="75"/>
      <c r="G45" s="2"/>
      <c r="K45" s="1" t="str">
        <f t="shared" si="0"/>
        <v>-</v>
      </c>
      <c r="L45" t="e">
        <f>VLOOKUP(B45,RELATÓRIO!$E$24:$E$69,OR(1,2),FALSE)</f>
        <v>#N/A</v>
      </c>
    </row>
    <row r="46" spans="1:12" ht="33" customHeight="1" x14ac:dyDescent="0.2">
      <c r="A46" s="2"/>
      <c r="B46" s="25"/>
      <c r="C46" s="75"/>
      <c r="D46" s="75"/>
      <c r="E46" s="75"/>
      <c r="F46" s="75"/>
      <c r="G46" s="2"/>
      <c r="K46" s="1" t="str">
        <f>IF(OR(
B46="PESSOAL",
B46="MATERIAL DE CONSUMO",
B46="SERVIÇOS DE TERCEIROS",
B46="DESPESAS GERAIS",B46="DEPRECIAÇÃO"),"GRUPO","-")</f>
        <v>-</v>
      </c>
      <c r="L46" t="e">
        <f>VLOOKUP(B46,RELATÓRIO!$E$24:$E$69,OR(1,2),FALSE)</f>
        <v>#N/A</v>
      </c>
    </row>
    <row r="47" spans="1:12" ht="33" customHeight="1" x14ac:dyDescent="0.2">
      <c r="A47" s="2"/>
      <c r="B47" s="25"/>
      <c r="C47" s="75"/>
      <c r="D47" s="75"/>
      <c r="E47" s="75"/>
      <c r="F47" s="75"/>
      <c r="G47" s="2"/>
      <c r="K47" s="1" t="str">
        <f t="shared" ref="K47:K60" si="1">IF(OR(
B47="PESSOAL",
B47="MATERIAL DE CONSUMO",
B47="SERVIÇOS DE TERCEIROS",
B47="DESPESAS GERAIS",B47="DEPRECIAÇÃO"),"GRUPO","-")</f>
        <v>-</v>
      </c>
      <c r="L47" t="e">
        <f>VLOOKUP(B47,RELATÓRIO!$E$24:$E$69,OR(1,2),FALSE)</f>
        <v>#N/A</v>
      </c>
    </row>
    <row r="48" spans="1:12" ht="33" customHeight="1" x14ac:dyDescent="0.2">
      <c r="A48" s="2"/>
      <c r="B48" s="25"/>
      <c r="C48" s="75"/>
      <c r="D48" s="75"/>
      <c r="E48" s="75"/>
      <c r="F48" s="75"/>
      <c r="G48" s="2"/>
      <c r="K48" s="1" t="str">
        <f t="shared" si="1"/>
        <v>-</v>
      </c>
      <c r="L48" t="e">
        <f>VLOOKUP(B48,RELATÓRIO!$E$24:$E$69,OR(1,2),FALSE)</f>
        <v>#N/A</v>
      </c>
    </row>
    <row r="49" spans="1:12" ht="33" customHeight="1" x14ac:dyDescent="0.2">
      <c r="A49" s="2"/>
      <c r="B49" s="25"/>
      <c r="C49" s="75"/>
      <c r="D49" s="75"/>
      <c r="E49" s="75"/>
      <c r="F49" s="75"/>
      <c r="G49" s="2"/>
      <c r="K49" s="1" t="str">
        <f t="shared" si="1"/>
        <v>-</v>
      </c>
      <c r="L49" t="e">
        <f>VLOOKUP(B49,RELATÓRIO!$E$24:$E$69,OR(1,2),FALSE)</f>
        <v>#N/A</v>
      </c>
    </row>
    <row r="50" spans="1:12" ht="33" customHeight="1" x14ac:dyDescent="0.2">
      <c r="A50" s="2"/>
      <c r="B50" s="25"/>
      <c r="C50" s="75"/>
      <c r="D50" s="75"/>
      <c r="E50" s="75"/>
      <c r="F50" s="75"/>
      <c r="G50" s="2"/>
      <c r="K50" s="1" t="str">
        <f t="shared" si="1"/>
        <v>-</v>
      </c>
      <c r="L50" t="e">
        <f>VLOOKUP(B50,RELATÓRIO!$E$24:$E$69,OR(1,2),FALSE)</f>
        <v>#N/A</v>
      </c>
    </row>
    <row r="51" spans="1:12" ht="33" customHeight="1" x14ac:dyDescent="0.2">
      <c r="A51" s="2"/>
      <c r="B51" s="25"/>
      <c r="C51" s="75"/>
      <c r="D51" s="75"/>
      <c r="E51" s="75"/>
      <c r="F51" s="75"/>
      <c r="G51" s="2"/>
      <c r="K51" s="1" t="str">
        <f t="shared" si="1"/>
        <v>-</v>
      </c>
      <c r="L51" t="e">
        <f>VLOOKUP(B51,RELATÓRIO!$E$24:$E$69,OR(1,2),FALSE)</f>
        <v>#N/A</v>
      </c>
    </row>
    <row r="52" spans="1:12" ht="33" customHeight="1" x14ac:dyDescent="0.2">
      <c r="A52" s="2"/>
      <c r="B52" s="25"/>
      <c r="C52" s="75"/>
      <c r="D52" s="75"/>
      <c r="E52" s="75"/>
      <c r="F52" s="75"/>
      <c r="G52" s="2"/>
      <c r="K52" s="1" t="str">
        <f t="shared" si="1"/>
        <v>-</v>
      </c>
      <c r="L52" t="e">
        <f>VLOOKUP(B52,RELATÓRIO!$E$24:$E$69,OR(1,2),FALSE)</f>
        <v>#N/A</v>
      </c>
    </row>
    <row r="53" spans="1:12" ht="33" customHeight="1" x14ac:dyDescent="0.2">
      <c r="A53" s="2"/>
      <c r="B53" s="25"/>
      <c r="C53" s="75"/>
      <c r="D53" s="75"/>
      <c r="E53" s="75"/>
      <c r="F53" s="75"/>
      <c r="G53" s="2"/>
      <c r="K53" s="1" t="str">
        <f t="shared" si="1"/>
        <v>-</v>
      </c>
      <c r="L53" t="e">
        <f>VLOOKUP(B53,RELATÓRIO!$E$24:$E$69,OR(1,2),FALSE)</f>
        <v>#N/A</v>
      </c>
    </row>
    <row r="54" spans="1:12" ht="33" customHeight="1" x14ac:dyDescent="0.2">
      <c r="A54" s="2"/>
      <c r="B54" s="25"/>
      <c r="C54" s="75"/>
      <c r="D54" s="75"/>
      <c r="E54" s="75"/>
      <c r="F54" s="75"/>
      <c r="G54" s="2"/>
      <c r="K54" s="1" t="str">
        <f t="shared" si="1"/>
        <v>-</v>
      </c>
      <c r="L54" t="e">
        <f>VLOOKUP(B54,RELATÓRIO!$E$24:$E$69,OR(1,2),FALSE)</f>
        <v>#N/A</v>
      </c>
    </row>
    <row r="55" spans="1:12" ht="15.75" x14ac:dyDescent="0.2">
      <c r="A55" s="2"/>
      <c r="B55" s="25"/>
      <c r="C55" s="75"/>
      <c r="D55" s="75"/>
      <c r="E55" s="75"/>
      <c r="F55" s="75"/>
      <c r="G55" s="2"/>
      <c r="K55" s="1" t="str">
        <f t="shared" si="1"/>
        <v>-</v>
      </c>
      <c r="L55" t="e">
        <f>VLOOKUP(B55,RELATÓRIO!$E$24:$E$69,OR(1,2),FALSE)</f>
        <v>#N/A</v>
      </c>
    </row>
    <row r="56" spans="1:12" ht="15.75" x14ac:dyDescent="0.2">
      <c r="A56" s="2"/>
      <c r="B56" s="25"/>
      <c r="C56" s="75"/>
      <c r="D56" s="75"/>
      <c r="E56" s="75"/>
      <c r="F56" s="75"/>
      <c r="G56" s="2"/>
      <c r="K56" s="1" t="str">
        <f t="shared" si="1"/>
        <v>-</v>
      </c>
      <c r="L56" t="e">
        <f>VLOOKUP(B56,RELATÓRIO!$E$24:$E$69,OR(1,2),FALSE)</f>
        <v>#N/A</v>
      </c>
    </row>
    <row r="57" spans="1:12" ht="15.75" x14ac:dyDescent="0.2">
      <c r="A57" s="2"/>
      <c r="B57" s="25"/>
      <c r="C57" s="75"/>
      <c r="D57" s="75"/>
      <c r="E57" s="75"/>
      <c r="F57" s="75"/>
      <c r="G57" s="2"/>
      <c r="K57" s="1" t="str">
        <f t="shared" si="1"/>
        <v>-</v>
      </c>
      <c r="L57" t="e">
        <f>VLOOKUP(B57,RELATÓRIO!$E$24:$E$69,OR(1,2),FALSE)</f>
        <v>#N/A</v>
      </c>
    </row>
    <row r="58" spans="1:12" ht="15.75" x14ac:dyDescent="0.2">
      <c r="A58" s="2"/>
      <c r="B58" s="25"/>
      <c r="C58" s="25"/>
      <c r="D58" s="25"/>
      <c r="E58" s="25"/>
      <c r="F58" s="25"/>
      <c r="G58" s="2"/>
      <c r="K58" s="1" t="str">
        <f t="shared" si="1"/>
        <v>-</v>
      </c>
      <c r="L58" t="e">
        <f>VLOOKUP(B58,RELATÓRIO!$E$24:$E$69,OR(1,2),FALSE)</f>
        <v>#N/A</v>
      </c>
    </row>
    <row r="59" spans="1:12" ht="15.75" x14ac:dyDescent="0.2">
      <c r="A59" s="2"/>
      <c r="B59" s="25"/>
      <c r="C59" s="25"/>
      <c r="D59" s="25"/>
      <c r="E59" s="25"/>
      <c r="F59" s="25"/>
      <c r="G59" s="2"/>
      <c r="K59" s="1" t="str">
        <f t="shared" si="1"/>
        <v>-</v>
      </c>
      <c r="L59" t="e">
        <f>VLOOKUP(B59,RELATÓRIO!$E$24:$E$69,OR(1,2),FALSE)</f>
        <v>#N/A</v>
      </c>
    </row>
    <row r="60" spans="1:12" ht="15.75" x14ac:dyDescent="0.2">
      <c r="A60" s="2"/>
      <c r="B60" s="25"/>
      <c r="C60" s="25"/>
      <c r="D60" s="25"/>
      <c r="E60" s="25"/>
      <c r="F60" s="25"/>
      <c r="G60" s="2"/>
      <c r="K60" s="1" t="str">
        <f t="shared" si="1"/>
        <v>-</v>
      </c>
      <c r="L60" t="e">
        <f>VLOOKUP(B60,RELATÓRIO!$E$24:$E$69,OR(1,2),FALSE)</f>
        <v>#N/A</v>
      </c>
    </row>
    <row r="61" spans="1:12" ht="98.25" customHeight="1" x14ac:dyDescent="0.2">
      <c r="A61" s="2"/>
      <c r="B61" s="2"/>
      <c r="C61" s="2"/>
      <c r="D61" s="2"/>
      <c r="E61" s="2"/>
      <c r="F61" s="2"/>
      <c r="G61" s="2"/>
    </row>
    <row r="62" spans="1:12" x14ac:dyDescent="0.2">
      <c r="A62" s="356"/>
      <c r="B62" s="356"/>
      <c r="C62" s="356"/>
      <c r="D62" s="356"/>
      <c r="E62" s="356"/>
      <c r="F62" s="356"/>
      <c r="G62" s="356"/>
    </row>
    <row r="63" spans="1:12" x14ac:dyDescent="0.2">
      <c r="A63" s="356"/>
      <c r="B63" s="356"/>
      <c r="C63" s="356"/>
      <c r="D63" s="356"/>
      <c r="E63" s="356"/>
      <c r="F63" s="356"/>
      <c r="G63" s="356"/>
    </row>
    <row r="64" spans="1:12" x14ac:dyDescent="0.2">
      <c r="A64" s="356"/>
      <c r="B64" s="356"/>
      <c r="C64" s="356"/>
      <c r="D64" s="356"/>
      <c r="E64" s="356"/>
      <c r="F64" s="356"/>
      <c r="G64" s="356"/>
    </row>
    <row r="65" spans="1:7" x14ac:dyDescent="0.2">
      <c r="A65" s="356"/>
      <c r="B65" s="356"/>
      <c r="C65" s="356"/>
      <c r="D65" s="356"/>
      <c r="E65" s="356"/>
      <c r="F65" s="356"/>
      <c r="G65" s="356"/>
    </row>
    <row r="66" spans="1:7" x14ac:dyDescent="0.2">
      <c r="A66" s="356"/>
      <c r="B66" s="356"/>
      <c r="C66" s="356"/>
      <c r="D66" s="356"/>
      <c r="E66" s="356"/>
      <c r="F66" s="356"/>
      <c r="G66" s="356"/>
    </row>
    <row r="67" spans="1:7" x14ac:dyDescent="0.2">
      <c r="A67" s="356"/>
      <c r="B67" s="356"/>
      <c r="C67" s="356"/>
      <c r="D67" s="356"/>
      <c r="E67" s="356"/>
      <c r="F67" s="356"/>
      <c r="G67" s="356"/>
    </row>
    <row r="68" spans="1:7" x14ac:dyDescent="0.2">
      <c r="A68" s="356"/>
      <c r="B68" s="356"/>
      <c r="C68" s="356"/>
      <c r="D68" s="356"/>
      <c r="E68" s="356"/>
      <c r="F68" s="356"/>
      <c r="G68" s="356"/>
    </row>
    <row r="69" spans="1:7" x14ac:dyDescent="0.2">
      <c r="A69" s="356"/>
      <c r="B69" s="356"/>
      <c r="C69" s="356"/>
      <c r="D69" s="356"/>
      <c r="E69" s="356"/>
      <c r="F69" s="356"/>
      <c r="G69" s="356"/>
    </row>
    <row r="70" spans="1:7" x14ac:dyDescent="0.2">
      <c r="A70" s="356"/>
      <c r="B70" s="356"/>
      <c r="C70" s="356"/>
      <c r="D70" s="356"/>
      <c r="E70" s="356"/>
      <c r="F70" s="356"/>
      <c r="G70" s="356"/>
    </row>
    <row r="71" spans="1:7" x14ac:dyDescent="0.2">
      <c r="A71" s="356"/>
      <c r="B71" s="356"/>
      <c r="C71" s="356"/>
      <c r="D71" s="356"/>
      <c r="E71" s="356"/>
      <c r="F71" s="356"/>
      <c r="G71" s="356"/>
    </row>
    <row r="72" spans="1:7" x14ac:dyDescent="0.2">
      <c r="A72" s="356"/>
      <c r="B72" s="356"/>
      <c r="C72" s="356"/>
      <c r="D72" s="356"/>
      <c r="E72" s="356"/>
      <c r="F72" s="356"/>
      <c r="G72" s="356"/>
    </row>
    <row r="73" spans="1:7" x14ac:dyDescent="0.2">
      <c r="A73" s="356"/>
      <c r="B73" s="356"/>
      <c r="C73" s="356"/>
      <c r="D73" s="356"/>
      <c r="E73" s="356"/>
      <c r="F73" s="356"/>
      <c r="G73" s="356"/>
    </row>
    <row r="74" spans="1:7" x14ac:dyDescent="0.2">
      <c r="A74" s="356"/>
      <c r="B74" s="356"/>
      <c r="C74" s="356"/>
      <c r="D74" s="356"/>
      <c r="E74" s="356"/>
      <c r="F74" s="356"/>
      <c r="G74" s="356"/>
    </row>
    <row r="75" spans="1:7" x14ac:dyDescent="0.2">
      <c r="A75" s="356"/>
      <c r="B75" s="356"/>
      <c r="C75" s="356"/>
      <c r="D75" s="356"/>
      <c r="E75" s="356"/>
      <c r="F75" s="356"/>
      <c r="G75" s="356"/>
    </row>
    <row r="76" spans="1:7" x14ac:dyDescent="0.2">
      <c r="A76" s="356"/>
      <c r="B76" s="356"/>
      <c r="C76" s="356"/>
      <c r="D76" s="356"/>
      <c r="E76" s="356"/>
      <c r="F76" s="356"/>
      <c r="G76" s="356"/>
    </row>
    <row r="77" spans="1:7" x14ac:dyDescent="0.2">
      <c r="A77" s="356"/>
      <c r="B77" s="356"/>
      <c r="C77" s="356"/>
      <c r="D77" s="356"/>
      <c r="E77" s="356"/>
      <c r="F77" s="356"/>
      <c r="G77" s="356"/>
    </row>
    <row r="78" spans="1:7" x14ac:dyDescent="0.2">
      <c r="A78" s="356"/>
      <c r="B78" s="356"/>
      <c r="C78" s="356"/>
      <c r="D78" s="356"/>
      <c r="E78" s="356"/>
      <c r="F78" s="356"/>
      <c r="G78" s="356"/>
    </row>
    <row r="79" spans="1:7" x14ac:dyDescent="0.2">
      <c r="A79" s="356"/>
      <c r="B79" s="356"/>
      <c r="C79" s="356"/>
      <c r="D79" s="356"/>
      <c r="E79" s="356"/>
      <c r="F79" s="356"/>
      <c r="G79" s="356"/>
    </row>
    <row r="80" spans="1:7" x14ac:dyDescent="0.2">
      <c r="A80" s="356"/>
      <c r="B80" s="356"/>
      <c r="C80" s="356"/>
      <c r="D80" s="356"/>
      <c r="E80" s="356"/>
      <c r="F80" s="356"/>
      <c r="G80" s="356"/>
    </row>
    <row r="81" spans="1:7" x14ac:dyDescent="0.2">
      <c r="A81" s="356"/>
      <c r="B81" s="356"/>
      <c r="C81" s="356"/>
      <c r="D81" s="356"/>
      <c r="E81" s="356"/>
      <c r="F81" s="356"/>
      <c r="G81" s="356"/>
    </row>
    <row r="82" spans="1:7" x14ac:dyDescent="0.2">
      <c r="A82" s="356"/>
      <c r="B82" s="356"/>
      <c r="C82" s="356"/>
      <c r="D82" s="356"/>
      <c r="E82" s="356"/>
      <c r="F82" s="356"/>
      <c r="G82" s="356"/>
    </row>
    <row r="83" spans="1:7" x14ac:dyDescent="0.2">
      <c r="A83" s="356"/>
      <c r="B83" s="356"/>
      <c r="C83" s="356"/>
      <c r="D83" s="356"/>
      <c r="E83" s="356"/>
      <c r="F83" s="356"/>
      <c r="G83" s="356"/>
    </row>
    <row r="84" spans="1:7" x14ac:dyDescent="0.2">
      <c r="A84" s="356"/>
      <c r="B84" s="356"/>
      <c r="C84" s="356"/>
      <c r="D84" s="356"/>
      <c r="E84" s="356"/>
      <c r="F84" s="356"/>
      <c r="G84" s="356"/>
    </row>
    <row r="85" spans="1:7" x14ac:dyDescent="0.2">
      <c r="A85" s="356"/>
      <c r="B85" s="356"/>
      <c r="C85" s="356"/>
      <c r="D85" s="356"/>
      <c r="E85" s="356"/>
      <c r="F85" s="356"/>
      <c r="G85" s="356"/>
    </row>
    <row r="86" spans="1:7" x14ac:dyDescent="0.2">
      <c r="A86" s="356"/>
      <c r="B86" s="356"/>
      <c r="C86" s="356"/>
      <c r="D86" s="356"/>
      <c r="E86" s="356"/>
      <c r="F86" s="356"/>
      <c r="G86" s="356"/>
    </row>
    <row r="87" spans="1:7" x14ac:dyDescent="0.2">
      <c r="A87" s="356"/>
      <c r="B87" s="356"/>
      <c r="C87" s="356"/>
      <c r="D87" s="356"/>
      <c r="E87" s="356"/>
      <c r="F87" s="356"/>
      <c r="G87" s="356"/>
    </row>
    <row r="88" spans="1:7" x14ac:dyDescent="0.2">
      <c r="A88" s="356"/>
      <c r="B88" s="356"/>
      <c r="C88" s="356"/>
      <c r="D88" s="356"/>
      <c r="E88" s="356"/>
      <c r="F88" s="356"/>
      <c r="G88" s="356"/>
    </row>
    <row r="89" spans="1:7" x14ac:dyDescent="0.2">
      <c r="A89" s="356"/>
      <c r="B89" s="356"/>
      <c r="C89" s="356"/>
      <c r="D89" s="356"/>
      <c r="E89" s="356"/>
      <c r="F89" s="356"/>
      <c r="G89" s="356"/>
    </row>
    <row r="90" spans="1:7" x14ac:dyDescent="0.2">
      <c r="A90" s="356"/>
      <c r="B90" s="356"/>
      <c r="C90" s="356"/>
      <c r="D90" s="356"/>
      <c r="E90" s="356"/>
      <c r="F90" s="356"/>
      <c r="G90" s="356"/>
    </row>
    <row r="91" spans="1:7" x14ac:dyDescent="0.2">
      <c r="A91" s="356"/>
      <c r="B91" s="356"/>
      <c r="C91" s="356"/>
      <c r="D91" s="356"/>
      <c r="E91" s="356"/>
      <c r="F91" s="356"/>
      <c r="G91" s="356"/>
    </row>
    <row r="92" spans="1:7" x14ac:dyDescent="0.2">
      <c r="A92" s="356"/>
      <c r="B92" s="356"/>
      <c r="C92" s="356"/>
      <c r="D92" s="356"/>
      <c r="E92" s="356"/>
      <c r="F92" s="356"/>
      <c r="G92" s="356"/>
    </row>
    <row r="93" spans="1:7" x14ac:dyDescent="0.2">
      <c r="A93" s="356"/>
      <c r="B93" s="356"/>
      <c r="C93" s="356"/>
      <c r="D93" s="356"/>
      <c r="E93" s="356"/>
      <c r="F93" s="356"/>
      <c r="G93" s="356"/>
    </row>
    <row r="94" spans="1:7" x14ac:dyDescent="0.2">
      <c r="A94" s="356"/>
      <c r="B94" s="356"/>
      <c r="C94" s="356"/>
      <c r="D94" s="356"/>
      <c r="E94" s="356"/>
      <c r="F94" s="356"/>
      <c r="G94" s="356"/>
    </row>
    <row r="95" spans="1:7" x14ac:dyDescent="0.2">
      <c r="A95" s="356"/>
      <c r="B95" s="356"/>
      <c r="C95" s="356"/>
      <c r="D95" s="356"/>
      <c r="E95" s="356"/>
      <c r="F95" s="356"/>
      <c r="G95" s="356"/>
    </row>
    <row r="96" spans="1:7" x14ac:dyDescent="0.2">
      <c r="A96" s="356"/>
      <c r="B96" s="356"/>
      <c r="C96" s="356"/>
      <c r="D96" s="356"/>
      <c r="E96" s="356"/>
      <c r="F96" s="356"/>
      <c r="G96" s="356"/>
    </row>
  </sheetData>
  <sheetProtection algorithmName="SHA-512" hashValue="rOyWmJMzADMhx7Sk3bKwYtgYeq+zzg9NgTheNZf529zn4gCUrHlq+ABUhMPwzyX15nnLe1odWPvwVMQLD8k+eA==" saltValue="gYrd9cq2VFvy1E6Tauq0wA==" spinCount="100000" sheet="1" objects="1" scenarios="1"/>
  <mergeCells count="2">
    <mergeCell ref="B1:D1"/>
    <mergeCell ref="E1:F1"/>
  </mergeCells>
  <conditionalFormatting sqref="E1">
    <cfRule type="containsBlanks" dxfId="189" priority="1172">
      <formula>LEN(TRIM(E1))=0</formula>
    </cfRule>
  </conditionalFormatting>
  <conditionalFormatting sqref="B61:F61">
    <cfRule type="expression" dxfId="188" priority="1168">
      <formula>OR( $B61="PESSOAL", $B61="MATERIAL DE CONSUMO", $B61="SERVIÇOS DE TERCEIROS", $B61="DESPESAS GERAIS",$B61="DEPRECIAÇÃO")</formula>
    </cfRule>
  </conditionalFormatting>
  <conditionalFormatting sqref="B61">
    <cfRule type="expression" dxfId="187" priority="57">
      <formula>OR(ISBLANK($C61),ISBLANK($D61),ISBLANK($E61),ISBLANK($F61))</formula>
    </cfRule>
  </conditionalFormatting>
  <conditionalFormatting sqref="B7">
    <cfRule type="notContainsBlanks" dxfId="186" priority="7">
      <formula>LEN(TRIM(B7))&gt;0</formula>
    </cfRule>
  </conditionalFormatting>
  <conditionalFormatting sqref="C7:D7">
    <cfRule type="notContainsBlanks" dxfId="185" priority="8">
      <formula>LEN(TRIM(C7))&gt;0</formula>
    </cfRule>
  </conditionalFormatting>
  <conditionalFormatting sqref="B6">
    <cfRule type="notContainsBlanks" dxfId="184" priority="11">
      <formula>LEN(TRIM(B6))&gt;0</formula>
    </cfRule>
  </conditionalFormatting>
  <conditionalFormatting sqref="C6:D6">
    <cfRule type="notContainsBlanks" dxfId="183" priority="12">
      <formula>LEN(TRIM(C6))&gt;0</formula>
    </cfRule>
  </conditionalFormatting>
  <conditionalFormatting sqref="C8:D8">
    <cfRule type="notContainsBlanks" dxfId="182" priority="14">
      <formula>LEN(TRIM(C8))&gt;0</formula>
    </cfRule>
  </conditionalFormatting>
  <conditionalFormatting sqref="E7">
    <cfRule type="notContainsBlanks" dxfId="181" priority="6">
      <formula>LEN(TRIM(E7))&gt;0</formula>
    </cfRule>
  </conditionalFormatting>
  <conditionalFormatting sqref="E6">
    <cfRule type="notContainsBlanks" dxfId="180" priority="13">
      <formula>LEN(TRIM(E6))&gt;0</formula>
    </cfRule>
  </conditionalFormatting>
  <conditionalFormatting sqref="F7">
    <cfRule type="notContainsBlanks" dxfId="179" priority="5">
      <formula>LEN(TRIM(F7))&gt;0</formula>
    </cfRule>
  </conditionalFormatting>
  <conditionalFormatting sqref="F6">
    <cfRule type="notContainsBlanks" dxfId="178" priority="10">
      <formula>LEN(TRIM(F6))&gt;0</formula>
    </cfRule>
  </conditionalFormatting>
  <conditionalFormatting sqref="F8">
    <cfRule type="notContainsBlanks" dxfId="177" priority="4">
      <formula>LEN(TRIM(F8))&gt;0</formula>
    </cfRule>
  </conditionalFormatting>
  <conditionalFormatting sqref="B5">
    <cfRule type="notContainsBlanks" dxfId="176" priority="9">
      <formula>LEN(TRIM(B5))&gt;0</formula>
    </cfRule>
  </conditionalFormatting>
  <conditionalFormatting sqref="C5:D5">
    <cfRule type="notContainsBlanks" dxfId="175" priority="3">
      <formula>LEN(TRIM(C5))&gt;0</formula>
    </cfRule>
  </conditionalFormatting>
  <conditionalFormatting sqref="E5">
    <cfRule type="notContainsBlanks" dxfId="174" priority="2">
      <formula>LEN(TRIM(E5))&gt;0</formula>
    </cfRule>
  </conditionalFormatting>
  <conditionalFormatting sqref="F5">
    <cfRule type="notContainsBlanks" dxfId="173" priority="15">
      <formula>LEN(TRIM(F5))&gt;0</formula>
    </cfRule>
  </conditionalFormatting>
  <conditionalFormatting sqref="B8:F60">
    <cfRule type="expression" dxfId="172" priority="16" stopIfTrue="1">
      <formula>OR( $B8="PESSOAL", $B8="MATERIAL DE CONSUMO", $B8="SERVIÇOS DE TERCEIROS", $B8="DESPESAS GERAIS",$B8="DEPRECIAÇÃO")</formula>
    </cfRule>
    <cfRule type="expression" dxfId="171" priority="17" stopIfTrue="1">
      <formula>AND( $B8&lt;&gt;"PESSOAL", B$8&lt;&gt;"MATERIAL DE CONSUMO", $B8&lt;&gt;"SERVIÇOS DE TERCEIROS", $B8&lt;&gt;"DESPESAS GERAIS",$B8&lt;&gt;"DEPRECIAÇÃO", ISTEXT($B8))</formula>
    </cfRule>
  </conditionalFormatting>
  <conditionalFormatting sqref="B8:B60">
    <cfRule type="expression" dxfId="170" priority="1" stopIfTrue="1">
      <formula>OR(ISBLANK($C8),ISBLANK($D8),ISBLANK($E8),ISBLANK($F8))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4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0">
    <tabColor theme="8" tint="0.59999389629810485"/>
  </sheetPr>
  <dimension ref="A1:H125"/>
  <sheetViews>
    <sheetView showGridLines="0" showRowColHeaders="0" zoomScale="85" zoomScaleNormal="85" zoomScaleSheetLayoutView="121" workbookViewId="0">
      <pane xSplit="8" ySplit="6" topLeftCell="I7" activePane="bottomRight" state="frozen"/>
      <selection activeCell="C125" sqref="C125"/>
      <selection pane="topRight" activeCell="C125" sqref="C125"/>
      <selection pane="bottomLeft" activeCell="C125" sqref="C125"/>
      <selection pane="bottomRight" activeCell="C7" sqref="C7"/>
    </sheetView>
  </sheetViews>
  <sheetFormatPr defaultColWidth="8.88671875" defaultRowHeight="15" x14ac:dyDescent="0.2"/>
  <cols>
    <col min="1" max="1" width="20.77734375" style="78" customWidth="1"/>
    <col min="2" max="2" width="13.77734375" style="78" hidden="1" customWidth="1"/>
    <col min="3" max="3" width="74.21875" style="78" customWidth="1"/>
    <col min="4" max="4" width="25.21875" style="78" customWidth="1"/>
    <col min="5" max="5" width="12" style="78" customWidth="1"/>
    <col min="6" max="6" width="14.109375" style="78" customWidth="1"/>
    <col min="7" max="7" width="23.77734375" style="78" customWidth="1"/>
    <col min="8" max="8" width="11" style="78" hidden="1" customWidth="1"/>
    <col min="9" max="9" width="8.88671875" style="78" customWidth="1"/>
    <col min="10" max="10" width="24.77734375" style="78" customWidth="1"/>
    <col min="11" max="16384" width="8.88671875" style="78"/>
  </cols>
  <sheetData>
    <row r="1" spans="1:8" ht="45.95" customHeight="1" x14ac:dyDescent="0.25">
      <c r="A1" s="79"/>
      <c r="B1" s="418" t="s">
        <v>5</v>
      </c>
      <c r="C1" s="421" t="s">
        <v>193</v>
      </c>
      <c r="D1" s="422"/>
      <c r="E1" s="422"/>
      <c r="F1" s="362" t="str">
        <f>IF(C6="", "", UPPER(TEXT(C6, "MMM-AA")))</f>
        <v>JAN-25</v>
      </c>
      <c r="G1" s="80"/>
      <c r="H1" s="81"/>
    </row>
    <row r="2" spans="1:8" ht="15.75" customHeight="1" x14ac:dyDescent="0.25">
      <c r="A2" s="79"/>
      <c r="B2" s="419"/>
      <c r="C2" s="23" t="s">
        <v>323</v>
      </c>
      <c r="D2" s="23"/>
      <c r="E2" s="23"/>
      <c r="F2" s="23"/>
      <c r="G2" s="80"/>
      <c r="H2" s="82"/>
    </row>
    <row r="3" spans="1:8" ht="15.75" customHeight="1" x14ac:dyDescent="0.25">
      <c r="A3" s="79"/>
      <c r="B3" s="419"/>
      <c r="C3" s="287" t="s">
        <v>15</v>
      </c>
      <c r="D3" s="25"/>
      <c r="E3" s="25"/>
      <c r="F3" s="26"/>
      <c r="G3" s="80"/>
      <c r="H3" s="82"/>
    </row>
    <row r="4" spans="1:8" ht="15.95" customHeight="1" x14ac:dyDescent="0.25">
      <c r="A4" s="79"/>
      <c r="B4" s="420"/>
      <c r="C4" s="287" t="s">
        <v>333</v>
      </c>
      <c r="D4" s="24"/>
      <c r="E4" s="24"/>
      <c r="F4" s="26"/>
      <c r="G4" s="80"/>
      <c r="H4" s="82"/>
    </row>
    <row r="5" spans="1:8" ht="27" customHeight="1" x14ac:dyDescent="0.25">
      <c r="A5" s="79"/>
      <c r="B5" s="83" t="s">
        <v>6</v>
      </c>
      <c r="C5" s="27" t="s">
        <v>15</v>
      </c>
      <c r="D5" s="27" t="s">
        <v>334</v>
      </c>
      <c r="E5" s="27" t="s">
        <v>16</v>
      </c>
      <c r="F5" s="28" t="s">
        <v>17</v>
      </c>
      <c r="G5" s="80"/>
      <c r="H5" s="82"/>
    </row>
    <row r="6" spans="1:8" ht="13.5" hidden="1" customHeight="1" x14ac:dyDescent="0.2">
      <c r="A6" s="84" t="s">
        <v>18</v>
      </c>
      <c r="B6" s="85" t="s">
        <v>3</v>
      </c>
      <c r="C6" s="34">
        <v>45658</v>
      </c>
      <c r="D6" s="25"/>
      <c r="E6" s="25"/>
      <c r="F6" s="29"/>
      <c r="G6" s="80"/>
      <c r="H6" s="82"/>
    </row>
    <row r="7" spans="1:8" ht="27" customHeight="1" x14ac:dyDescent="0.25">
      <c r="A7" s="79"/>
      <c r="B7" s="86" t="str">
        <f>IF(D7 &lt;&gt; "Paciente/Dia", "-", D7 &amp; COUNTIF( $D$7:D7, D7))</f>
        <v>-</v>
      </c>
      <c r="C7" s="35" t="s">
        <v>335</v>
      </c>
      <c r="D7" s="30"/>
      <c r="E7" s="31"/>
      <c r="F7" s="32"/>
      <c r="G7" s="80"/>
      <c r="H7" s="87" t="str">
        <f t="shared" ref="H7:H36" si="0">IF(OR(
C7="ADMINISTRATIVO",
C7="INTERMEDIÁRIO",
C7="EXTERNO",
C7="FINAL"),"GRUPO","-")</f>
        <v>GRUPO</v>
      </c>
    </row>
    <row r="8" spans="1:8" ht="27" customHeight="1" x14ac:dyDescent="0.25">
      <c r="A8" s="79"/>
      <c r="B8" s="86" t="str">
        <f>IF(D8 &lt;&gt; "Paciente/Dia", "-", D8 &amp; COUNTIF( $D$7:D8, D8))</f>
        <v>-</v>
      </c>
      <c r="C8" s="35" t="s">
        <v>336</v>
      </c>
      <c r="D8" s="30" t="s">
        <v>255</v>
      </c>
      <c r="E8" s="31">
        <v>1</v>
      </c>
      <c r="F8" s="32">
        <v>81852.63</v>
      </c>
      <c r="G8" s="80"/>
      <c r="H8" s="87" t="str">
        <f t="shared" si="0"/>
        <v>-</v>
      </c>
    </row>
    <row r="9" spans="1:8" ht="27" customHeight="1" x14ac:dyDescent="0.25">
      <c r="A9" s="79"/>
      <c r="B9" s="86" t="str">
        <f>IF(D9 &lt;&gt; "Paciente/Dia", "-", D9 &amp; COUNTIF( $D$7:D9, D9))</f>
        <v>-</v>
      </c>
      <c r="C9" s="35" t="s">
        <v>337</v>
      </c>
      <c r="D9" s="30"/>
      <c r="E9" s="31"/>
      <c r="F9" s="32"/>
      <c r="G9" s="80"/>
      <c r="H9" s="87" t="str">
        <f t="shared" si="0"/>
        <v>GRUPO</v>
      </c>
    </row>
    <row r="10" spans="1:8" ht="27" customHeight="1" x14ac:dyDescent="0.25">
      <c r="A10" s="79"/>
      <c r="B10" s="86" t="str">
        <f>IF(D10 &lt;&gt; "Paciente/Dia", "-", D10 &amp; COUNTIF( $D$7:D10, D10))</f>
        <v>-</v>
      </c>
      <c r="C10" s="35" t="s">
        <v>338</v>
      </c>
      <c r="D10" s="30" t="s">
        <v>255</v>
      </c>
      <c r="E10" s="31">
        <v>91</v>
      </c>
      <c r="F10" s="32">
        <v>240.4</v>
      </c>
      <c r="G10" s="80"/>
      <c r="H10" s="87" t="str">
        <f t="shared" si="0"/>
        <v>-</v>
      </c>
    </row>
    <row r="11" spans="1:8" ht="27" customHeight="1" x14ac:dyDescent="0.25">
      <c r="A11" s="79"/>
      <c r="B11" s="86" t="str">
        <f>IF(D11 &lt;&gt; "Paciente/Dia", "-", D11 &amp; COUNTIF( $D$7:D11, D11))</f>
        <v>-</v>
      </c>
      <c r="C11" s="35" t="s">
        <v>339</v>
      </c>
      <c r="D11" s="30" t="s">
        <v>255</v>
      </c>
      <c r="E11" s="31">
        <v>730</v>
      </c>
      <c r="F11" s="32">
        <v>175.46</v>
      </c>
      <c r="G11" s="80"/>
      <c r="H11" s="87" t="str">
        <f t="shared" si="0"/>
        <v>-</v>
      </c>
    </row>
    <row r="12" spans="1:8" ht="27" customHeight="1" x14ac:dyDescent="0.25">
      <c r="A12" s="79"/>
      <c r="B12" s="86" t="str">
        <f>IF(D12 &lt;&gt; "Paciente/Dia", "-", D12 &amp; COUNTIF( $D$7:D12, D12))</f>
        <v>-</v>
      </c>
      <c r="C12" s="35" t="s">
        <v>340</v>
      </c>
      <c r="D12" s="30" t="s">
        <v>255</v>
      </c>
      <c r="E12" s="31">
        <v>560</v>
      </c>
      <c r="F12" s="32">
        <v>183.47</v>
      </c>
      <c r="G12" s="80"/>
      <c r="H12" s="87" t="str">
        <f t="shared" si="0"/>
        <v>-</v>
      </c>
    </row>
    <row r="13" spans="1:8" ht="27" customHeight="1" x14ac:dyDescent="0.25">
      <c r="A13" s="79"/>
      <c r="B13" s="86" t="str">
        <f>IF(D13 &lt;&gt; "Paciente/Dia", "-", D13 &amp; COUNTIF( $D$7:D13, D13))</f>
        <v>-</v>
      </c>
      <c r="C13" s="35" t="s">
        <v>341</v>
      </c>
      <c r="D13" s="30" t="s">
        <v>255</v>
      </c>
      <c r="E13" s="31">
        <v>1674</v>
      </c>
      <c r="F13" s="32">
        <v>236.05</v>
      </c>
      <c r="G13" s="80"/>
      <c r="H13" s="87" t="str">
        <f t="shared" si="0"/>
        <v>-</v>
      </c>
    </row>
    <row r="14" spans="1:8" ht="27" customHeight="1" x14ac:dyDescent="0.25">
      <c r="A14" s="79"/>
      <c r="B14" s="86" t="str">
        <f>IF(D14 &lt;&gt; "Paciente/Dia", "-", D14 &amp; COUNTIF( $D$7:D14, D14))</f>
        <v>-</v>
      </c>
      <c r="C14" s="35" t="s">
        <v>342</v>
      </c>
      <c r="D14" s="30" t="s">
        <v>255</v>
      </c>
      <c r="E14" s="31">
        <v>74</v>
      </c>
      <c r="F14" s="32">
        <v>546.98</v>
      </c>
      <c r="G14" s="80"/>
      <c r="H14" s="87" t="str">
        <f t="shared" si="0"/>
        <v>-</v>
      </c>
    </row>
    <row r="15" spans="1:8" ht="27" customHeight="1" x14ac:dyDescent="0.25">
      <c r="A15" s="79"/>
      <c r="B15" s="86" t="str">
        <f>IF(D15 &lt;&gt; "Paciente/Dia", "-", D15 &amp; COUNTIF( $D$7:D15, D15))</f>
        <v>-</v>
      </c>
      <c r="C15" s="35" t="s">
        <v>343</v>
      </c>
      <c r="D15" s="30" t="s">
        <v>255</v>
      </c>
      <c r="E15" s="31">
        <v>427</v>
      </c>
      <c r="F15" s="32">
        <v>195.68</v>
      </c>
      <c r="G15" s="80"/>
      <c r="H15" s="87" t="str">
        <f t="shared" si="0"/>
        <v>-</v>
      </c>
    </row>
    <row r="16" spans="1:8" ht="27" customHeight="1" x14ac:dyDescent="0.25">
      <c r="A16" s="79"/>
      <c r="B16" s="86" t="str">
        <f>IF(D16 &lt;&gt; "Paciente/Dia", "-", D16 &amp; COUNTIF( $D$7:D16, D16))</f>
        <v>-</v>
      </c>
      <c r="C16" s="35" t="s">
        <v>344</v>
      </c>
      <c r="D16" s="30" t="s">
        <v>255</v>
      </c>
      <c r="E16" s="31">
        <v>32</v>
      </c>
      <c r="F16" s="32">
        <v>545.92999999999995</v>
      </c>
      <c r="G16" s="80"/>
      <c r="H16" s="87" t="str">
        <f t="shared" si="0"/>
        <v>-</v>
      </c>
    </row>
    <row r="17" spans="1:8" ht="27" customHeight="1" x14ac:dyDescent="0.25">
      <c r="A17" s="79"/>
      <c r="B17" s="86" t="str">
        <f>IF(D17 &lt;&gt; "Paciente/Dia", "-", D17 &amp; COUNTIF( $D$7:D17, D17))</f>
        <v>-</v>
      </c>
      <c r="C17" s="35" t="s">
        <v>345</v>
      </c>
      <c r="D17" s="30" t="s">
        <v>255</v>
      </c>
      <c r="E17" s="31">
        <v>932</v>
      </c>
      <c r="F17" s="32">
        <v>73.400000000000006</v>
      </c>
      <c r="G17" s="80"/>
      <c r="H17" s="87" t="str">
        <f t="shared" si="0"/>
        <v>-</v>
      </c>
    </row>
    <row r="18" spans="1:8" ht="27" customHeight="1" x14ac:dyDescent="0.25">
      <c r="A18" s="79"/>
      <c r="B18" s="86" t="str">
        <f>IF(D18 &lt;&gt; "Paciente/Dia", "-", D18 &amp; COUNTIF( $D$7:D18, D18))</f>
        <v>-</v>
      </c>
      <c r="C18" s="35" t="s">
        <v>346</v>
      </c>
      <c r="D18" s="30" t="s">
        <v>255</v>
      </c>
      <c r="E18" s="31">
        <v>24</v>
      </c>
      <c r="F18" s="32">
        <v>892.55</v>
      </c>
      <c r="G18" s="80"/>
      <c r="H18" s="87" t="str">
        <f t="shared" si="0"/>
        <v>-</v>
      </c>
    </row>
    <row r="19" spans="1:8" ht="27" customHeight="1" x14ac:dyDescent="0.25">
      <c r="A19" s="79"/>
      <c r="B19" s="86" t="str">
        <f>IF(D19 &lt;&gt; "Paciente/Dia", "-", D19 &amp; COUNTIF( $D$7:D19, D19))</f>
        <v>-</v>
      </c>
      <c r="C19" s="35" t="s">
        <v>347</v>
      </c>
      <c r="D19" s="30" t="s">
        <v>255</v>
      </c>
      <c r="E19" s="31">
        <v>108</v>
      </c>
      <c r="F19" s="32">
        <v>962.36</v>
      </c>
      <c r="G19" s="80"/>
      <c r="H19" s="87" t="str">
        <f t="shared" si="0"/>
        <v>-</v>
      </c>
    </row>
    <row r="20" spans="1:8" ht="27" customHeight="1" x14ac:dyDescent="0.25">
      <c r="A20" s="79"/>
      <c r="B20" s="86" t="str">
        <f>IF(D20 &lt;&gt; "Paciente/Dia", "-", D20 &amp; COUNTIF( $D$7:D20, D20))</f>
        <v>-</v>
      </c>
      <c r="C20" s="35" t="s">
        <v>349</v>
      </c>
      <c r="D20" s="30" t="s">
        <v>255</v>
      </c>
      <c r="E20" s="31">
        <v>99</v>
      </c>
      <c r="F20" s="32">
        <v>407.69</v>
      </c>
      <c r="G20" s="80"/>
      <c r="H20" s="87" t="str">
        <f t="shared" si="0"/>
        <v>-</v>
      </c>
    </row>
    <row r="21" spans="1:8" ht="27" customHeight="1" x14ac:dyDescent="0.25">
      <c r="A21" s="79"/>
      <c r="B21" s="86" t="str">
        <f>IF(D21 &lt;&gt; "Paciente/Dia", "-", D21 &amp; COUNTIF( $D$7:D21, D21))</f>
        <v>-</v>
      </c>
      <c r="C21" s="35" t="s">
        <v>350</v>
      </c>
      <c r="D21" s="30" t="s">
        <v>255</v>
      </c>
      <c r="E21" s="31">
        <v>64</v>
      </c>
      <c r="F21" s="32">
        <v>469.72</v>
      </c>
      <c r="G21" s="80"/>
      <c r="H21" s="87" t="str">
        <f t="shared" si="0"/>
        <v>-</v>
      </c>
    </row>
    <row r="22" spans="1:8" ht="27" customHeight="1" x14ac:dyDescent="0.25">
      <c r="A22" s="79"/>
      <c r="B22" s="86" t="str">
        <f>IF(D22 &lt;&gt; "Paciente/Dia", "-", D22 &amp; COUNTIF( $D$7:D22, D22))</f>
        <v>-</v>
      </c>
      <c r="C22" s="35" t="s">
        <v>351</v>
      </c>
      <c r="D22" s="30" t="s">
        <v>255</v>
      </c>
      <c r="E22" s="31">
        <v>136</v>
      </c>
      <c r="F22" s="32">
        <v>494.9</v>
      </c>
      <c r="G22" s="80"/>
      <c r="H22" s="87" t="str">
        <f t="shared" si="0"/>
        <v>-</v>
      </c>
    </row>
    <row r="23" spans="1:8" ht="27" customHeight="1" x14ac:dyDescent="0.25">
      <c r="A23" s="79"/>
      <c r="B23" s="86" t="str">
        <f>IF(D23 &lt;&gt; "Paciente/Dia", "-", D23 &amp; COUNTIF( $D$7:D23, D23))</f>
        <v>-</v>
      </c>
      <c r="C23" s="35" t="s">
        <v>352</v>
      </c>
      <c r="D23" s="30" t="s">
        <v>255</v>
      </c>
      <c r="E23" s="31">
        <v>2569</v>
      </c>
      <c r="F23" s="32">
        <v>241.25</v>
      </c>
      <c r="G23" s="80"/>
      <c r="H23" s="87" t="str">
        <f t="shared" si="0"/>
        <v>-</v>
      </c>
    </row>
    <row r="24" spans="1:8" ht="27" customHeight="1" x14ac:dyDescent="0.25">
      <c r="A24" s="79"/>
      <c r="B24" s="86" t="str">
        <f>IF(D24 &lt;&gt; "Paciente/Dia", "-", D24 &amp; COUNTIF( $D$7:D24, D24))</f>
        <v>-</v>
      </c>
      <c r="C24" s="35" t="s">
        <v>353</v>
      </c>
      <c r="D24" s="30" t="s">
        <v>307</v>
      </c>
      <c r="E24" s="31">
        <v>132</v>
      </c>
      <c r="F24" s="32">
        <v>437.87</v>
      </c>
      <c r="G24" s="80"/>
      <c r="H24" s="87" t="str">
        <f t="shared" si="0"/>
        <v>-</v>
      </c>
    </row>
    <row r="25" spans="1:8" ht="27" customHeight="1" x14ac:dyDescent="0.25">
      <c r="A25" s="79"/>
      <c r="B25" s="86" t="str">
        <f>IF(D25 &lt;&gt; "Paciente/Dia", "-", D25 &amp; COUNTIF( $D$7:D25, D25))</f>
        <v>-</v>
      </c>
      <c r="C25" s="35" t="s">
        <v>353</v>
      </c>
      <c r="D25" s="30" t="s">
        <v>307</v>
      </c>
      <c r="E25" s="31">
        <v>132</v>
      </c>
      <c r="F25" s="32">
        <v>437.62</v>
      </c>
      <c r="G25" s="80"/>
      <c r="H25" s="87" t="str">
        <f t="shared" si="0"/>
        <v>-</v>
      </c>
    </row>
    <row r="26" spans="1:8" ht="27" customHeight="1" x14ac:dyDescent="0.25">
      <c r="A26" s="79"/>
      <c r="B26" s="86" t="str">
        <f>IF(D26 &lt;&gt; "Paciente/Dia", "-", D26 &amp; COUNTIF( $D$7:D26, D26))</f>
        <v>-</v>
      </c>
      <c r="C26" s="35"/>
      <c r="D26" s="30"/>
      <c r="E26" s="31"/>
      <c r="F26" s="32"/>
      <c r="G26" s="80"/>
      <c r="H26" s="87" t="str">
        <f t="shared" si="0"/>
        <v>-</v>
      </c>
    </row>
    <row r="27" spans="1:8" ht="27" customHeight="1" x14ac:dyDescent="0.25">
      <c r="A27" s="79"/>
      <c r="B27" s="86" t="str">
        <f>IF(D27 &lt;&gt; "Paciente/Dia", "-", D27 &amp; COUNTIF( $D$7:D27, D27))</f>
        <v>-</v>
      </c>
      <c r="C27" s="35"/>
      <c r="D27" s="30"/>
      <c r="E27" s="31"/>
      <c r="F27" s="32"/>
      <c r="G27" s="80"/>
      <c r="H27" s="87" t="str">
        <f t="shared" si="0"/>
        <v>-</v>
      </c>
    </row>
    <row r="28" spans="1:8" ht="27" customHeight="1" x14ac:dyDescent="0.25">
      <c r="A28" s="79"/>
      <c r="B28" s="86" t="str">
        <f>IF(D28 &lt;&gt; "Paciente/Dia", "-", D28 &amp; COUNTIF( $D$7:D28, D28))</f>
        <v>-</v>
      </c>
      <c r="C28" s="35"/>
      <c r="D28" s="30"/>
      <c r="E28" s="31"/>
      <c r="F28" s="32"/>
      <c r="G28" s="80"/>
      <c r="H28" s="87" t="str">
        <f t="shared" si="0"/>
        <v>-</v>
      </c>
    </row>
    <row r="29" spans="1:8" ht="27" customHeight="1" x14ac:dyDescent="0.25">
      <c r="A29" s="79"/>
      <c r="B29" s="86" t="str">
        <f>IF(D29 &lt;&gt; "Paciente/Dia", "-", D29 &amp; COUNTIF( $D$7:D29, D29))</f>
        <v>-</v>
      </c>
      <c r="C29" s="35"/>
      <c r="D29" s="30"/>
      <c r="E29" s="31"/>
      <c r="F29" s="32"/>
      <c r="G29" s="80"/>
      <c r="H29" s="87" t="str">
        <f t="shared" si="0"/>
        <v>-</v>
      </c>
    </row>
    <row r="30" spans="1:8" ht="27" customHeight="1" x14ac:dyDescent="0.25">
      <c r="A30" s="79"/>
      <c r="B30" s="86" t="str">
        <f>IF(D30 &lt;&gt; "Paciente/Dia", "-", D30 &amp; COUNTIF( $D$7:D30, D30))</f>
        <v>-</v>
      </c>
      <c r="C30" s="35"/>
      <c r="D30" s="30"/>
      <c r="E30" s="31"/>
      <c r="F30" s="32"/>
      <c r="G30" s="80"/>
      <c r="H30" s="87" t="str">
        <f t="shared" si="0"/>
        <v>-</v>
      </c>
    </row>
    <row r="31" spans="1:8" ht="27" customHeight="1" x14ac:dyDescent="0.25">
      <c r="A31" s="79"/>
      <c r="B31" s="86" t="str">
        <f>IF(D31 &lt;&gt; "Paciente/Dia", "-", D31 &amp; COUNTIF( $D$7:D31, D31))</f>
        <v>-</v>
      </c>
      <c r="C31" s="35"/>
      <c r="D31" s="30"/>
      <c r="E31" s="31"/>
      <c r="F31" s="32"/>
      <c r="G31" s="80"/>
      <c r="H31" s="87" t="str">
        <f t="shared" si="0"/>
        <v>-</v>
      </c>
    </row>
    <row r="32" spans="1:8" ht="27" customHeight="1" x14ac:dyDescent="0.25">
      <c r="A32" s="79"/>
      <c r="B32" s="86" t="str">
        <f>IF(D32 &lt;&gt; "Paciente/Dia", "-", D32 &amp; COUNTIF( $D$7:D32, D32))</f>
        <v>-</v>
      </c>
      <c r="C32" s="35"/>
      <c r="D32" s="30"/>
      <c r="E32" s="31"/>
      <c r="F32" s="32"/>
      <c r="G32" s="80"/>
      <c r="H32" s="87" t="str">
        <f t="shared" si="0"/>
        <v>-</v>
      </c>
    </row>
    <row r="33" spans="1:8" ht="27" customHeight="1" x14ac:dyDescent="0.25">
      <c r="A33" s="79"/>
      <c r="B33" s="86" t="str">
        <f>IF(D33 &lt;&gt; "Paciente/Dia", "-", D33 &amp; COUNTIF( $D$7:D33, D33))</f>
        <v>-</v>
      </c>
      <c r="C33" s="35"/>
      <c r="D33" s="30"/>
      <c r="E33" s="31"/>
      <c r="F33" s="32"/>
      <c r="G33" s="80"/>
      <c r="H33" s="87" t="str">
        <f t="shared" si="0"/>
        <v>-</v>
      </c>
    </row>
    <row r="34" spans="1:8" ht="27" customHeight="1" x14ac:dyDescent="0.25">
      <c r="A34" s="79"/>
      <c r="B34" s="86" t="str">
        <f>IF(D34 &lt;&gt; "Paciente/Dia", "-", D34 &amp; COUNTIF( $D$7:D34, D34))</f>
        <v>-</v>
      </c>
      <c r="C34" s="35"/>
      <c r="D34" s="30"/>
      <c r="E34" s="31"/>
      <c r="F34" s="32"/>
      <c r="G34" s="80"/>
      <c r="H34" s="87" t="str">
        <f t="shared" si="0"/>
        <v>-</v>
      </c>
    </row>
    <row r="35" spans="1:8" ht="27" customHeight="1" x14ac:dyDescent="0.25">
      <c r="A35" s="79"/>
      <c r="B35" s="86" t="str">
        <f>IF(D35 &lt;&gt; "Paciente/Dia", "-", D35 &amp; COUNTIF( $D$7:D35, D35))</f>
        <v>-</v>
      </c>
      <c r="C35" s="35"/>
      <c r="D35" s="30"/>
      <c r="E35" s="31"/>
      <c r="F35" s="32"/>
      <c r="G35" s="80"/>
      <c r="H35" s="87" t="str">
        <f t="shared" si="0"/>
        <v>-</v>
      </c>
    </row>
    <row r="36" spans="1:8" ht="27" customHeight="1" x14ac:dyDescent="0.25">
      <c r="A36" s="79"/>
      <c r="B36" s="86" t="str">
        <f>IF(D36 &lt;&gt; "Paciente/Dia", "-", D36 &amp; COUNTIF( $D$7:D36, D36))</f>
        <v>-</v>
      </c>
      <c r="C36" s="35"/>
      <c r="D36" s="30"/>
      <c r="E36" s="31"/>
      <c r="F36" s="32"/>
      <c r="G36" s="80"/>
      <c r="H36" s="87" t="str">
        <f t="shared" si="0"/>
        <v>-</v>
      </c>
    </row>
    <row r="37" spans="1:8" ht="27" customHeight="1" x14ac:dyDescent="0.25">
      <c r="A37" s="79"/>
      <c r="B37" s="86" t="str">
        <f>IF(D37 &lt;&gt; "Paciente/Dia", "-", D37 &amp; COUNTIF( $D$7:D37, D37))</f>
        <v>-</v>
      </c>
      <c r="C37" s="35"/>
      <c r="D37" s="30"/>
      <c r="E37" s="31"/>
      <c r="F37" s="32"/>
      <c r="G37" s="80"/>
      <c r="H37" s="87" t="str">
        <f t="shared" ref="H37:H71" si="1">IF(OR(
C37="ADMINISTRATIVO",
C37="INTERMEDIÁRIO",
C37="EXTERNO",
C37="FINAL"),"GRUPO","-")</f>
        <v>-</v>
      </c>
    </row>
    <row r="38" spans="1:8" ht="27" customHeight="1" x14ac:dyDescent="0.25">
      <c r="A38" s="79"/>
      <c r="B38" s="86" t="str">
        <f>IF(D38 &lt;&gt; "Paciente/Dia", "-", D38 &amp; COUNTIF( $D$7:D38, D38))</f>
        <v>-</v>
      </c>
      <c r="C38" s="35"/>
      <c r="D38" s="30"/>
      <c r="E38" s="31"/>
      <c r="F38" s="32"/>
      <c r="G38" s="80"/>
      <c r="H38" s="87" t="str">
        <f t="shared" si="1"/>
        <v>-</v>
      </c>
    </row>
    <row r="39" spans="1:8" ht="27" customHeight="1" x14ac:dyDescent="0.25">
      <c r="A39" s="79"/>
      <c r="B39" s="86" t="str">
        <f>IF(D39 &lt;&gt; "Paciente/Dia", "-", D39 &amp; COUNTIF( $D$7:D39, D39))</f>
        <v>-</v>
      </c>
      <c r="C39" s="35"/>
      <c r="D39" s="30"/>
      <c r="E39" s="31"/>
      <c r="F39" s="32"/>
      <c r="G39" s="80"/>
      <c r="H39" s="87" t="str">
        <f t="shared" si="1"/>
        <v>-</v>
      </c>
    </row>
    <row r="40" spans="1:8" ht="27" customHeight="1" x14ac:dyDescent="0.25">
      <c r="A40" s="79"/>
      <c r="B40" s="86" t="str">
        <f>IF(D40 &lt;&gt; "Paciente/Dia", "-", D40 &amp; COUNTIF( $D$7:D40, D40))</f>
        <v>-</v>
      </c>
      <c r="C40" s="35"/>
      <c r="D40" s="30"/>
      <c r="E40" s="31"/>
      <c r="F40" s="32"/>
      <c r="G40" s="80"/>
      <c r="H40" s="87" t="str">
        <f t="shared" si="1"/>
        <v>-</v>
      </c>
    </row>
    <row r="41" spans="1:8" ht="27" customHeight="1" x14ac:dyDescent="0.25">
      <c r="A41" s="79"/>
      <c r="B41" s="86" t="str">
        <f>IF(D41 &lt;&gt; "Paciente/Dia", "-", D41 &amp; COUNTIF( $D$7:D41, D41))</f>
        <v>-</v>
      </c>
      <c r="C41" s="35"/>
      <c r="D41" s="30"/>
      <c r="E41" s="31"/>
      <c r="F41" s="32"/>
      <c r="G41" s="80"/>
      <c r="H41" s="87" t="str">
        <f t="shared" si="1"/>
        <v>-</v>
      </c>
    </row>
    <row r="42" spans="1:8" ht="27" customHeight="1" x14ac:dyDescent="0.25">
      <c r="A42" s="79"/>
      <c r="B42" s="86" t="str">
        <f>IF(D42 &lt;&gt; "Paciente/Dia", "-", D42 &amp; COUNTIF( $D$7:D42, D42))</f>
        <v>-</v>
      </c>
      <c r="C42" s="35"/>
      <c r="D42" s="30"/>
      <c r="E42" s="31"/>
      <c r="F42" s="32"/>
      <c r="G42" s="80"/>
      <c r="H42" s="87" t="str">
        <f t="shared" si="1"/>
        <v>-</v>
      </c>
    </row>
    <row r="43" spans="1:8" ht="27" customHeight="1" x14ac:dyDescent="0.25">
      <c r="A43" s="79"/>
      <c r="B43" s="86" t="str">
        <f>IF(D43 &lt;&gt; "Paciente/Dia", "-", D43 &amp; COUNTIF( $D$7:D43, D43))</f>
        <v>-</v>
      </c>
      <c r="C43" s="35"/>
      <c r="D43" s="30"/>
      <c r="E43" s="31"/>
      <c r="F43" s="32"/>
      <c r="G43" s="80"/>
      <c r="H43" s="87" t="str">
        <f t="shared" si="1"/>
        <v>-</v>
      </c>
    </row>
    <row r="44" spans="1:8" ht="27" customHeight="1" x14ac:dyDescent="0.25">
      <c r="A44" s="79"/>
      <c r="B44" s="86" t="str">
        <f>IF(D44 &lt;&gt; "Paciente/Dia", "-", D44 &amp; COUNTIF( $D$7:D44, D44))</f>
        <v>-</v>
      </c>
      <c r="C44" s="35"/>
      <c r="D44" s="30"/>
      <c r="E44" s="31"/>
      <c r="F44" s="32"/>
      <c r="G44" s="80"/>
      <c r="H44" s="87" t="str">
        <f t="shared" si="1"/>
        <v>-</v>
      </c>
    </row>
    <row r="45" spans="1:8" ht="27" customHeight="1" x14ac:dyDescent="0.25">
      <c r="A45" s="79"/>
      <c r="B45" s="86" t="str">
        <f>IF(D45 &lt;&gt; "Paciente/Dia", "-", D45 &amp; COUNTIF( $D$7:D45, D45))</f>
        <v>-</v>
      </c>
      <c r="C45" s="35"/>
      <c r="D45" s="30"/>
      <c r="E45" s="31"/>
      <c r="F45" s="32"/>
      <c r="G45" s="80"/>
      <c r="H45" s="87" t="str">
        <f t="shared" si="1"/>
        <v>-</v>
      </c>
    </row>
    <row r="46" spans="1:8" ht="27" customHeight="1" x14ac:dyDescent="0.25">
      <c r="A46" s="79"/>
      <c r="B46" s="86" t="str">
        <f>IF(D46 &lt;&gt; "Paciente/Dia", "-", D46 &amp; COUNTIF( $D$7:D46, D46))</f>
        <v>-</v>
      </c>
      <c r="C46" s="35"/>
      <c r="D46" s="30"/>
      <c r="E46" s="31"/>
      <c r="F46" s="32"/>
      <c r="G46" s="80"/>
      <c r="H46" s="87" t="str">
        <f t="shared" si="1"/>
        <v>-</v>
      </c>
    </row>
    <row r="47" spans="1:8" ht="27" customHeight="1" x14ac:dyDescent="0.25">
      <c r="A47" s="79"/>
      <c r="B47" s="86" t="str">
        <f>IF(D47 &lt;&gt; "Paciente/Dia", "-", D47 &amp; COUNTIF( $D$7:D47, D47))</f>
        <v>-</v>
      </c>
      <c r="C47" s="35"/>
      <c r="D47" s="30"/>
      <c r="E47" s="31"/>
      <c r="F47" s="32"/>
      <c r="G47" s="80"/>
      <c r="H47" s="87" t="str">
        <f t="shared" si="1"/>
        <v>-</v>
      </c>
    </row>
    <row r="48" spans="1:8" ht="27" customHeight="1" x14ac:dyDescent="0.25">
      <c r="A48" s="79"/>
      <c r="B48" s="86" t="str">
        <f>IF(D48 &lt;&gt; "Paciente/Dia", "-", D48 &amp; COUNTIF( $D$7:D48, D48))</f>
        <v>-</v>
      </c>
      <c r="C48" s="35"/>
      <c r="D48" s="30"/>
      <c r="E48" s="31"/>
      <c r="F48" s="32"/>
      <c r="G48" s="80"/>
      <c r="H48" s="87" t="str">
        <f t="shared" si="1"/>
        <v>-</v>
      </c>
    </row>
    <row r="49" spans="1:8" ht="27" customHeight="1" x14ac:dyDescent="0.25">
      <c r="A49" s="79"/>
      <c r="B49" s="86" t="str">
        <f>IF(D49 &lt;&gt; "Paciente/Dia", "-", D49 &amp; COUNTIF( $D$7:D49, D49))</f>
        <v>-</v>
      </c>
      <c r="C49" s="35"/>
      <c r="D49" s="30"/>
      <c r="E49" s="31"/>
      <c r="F49" s="32"/>
      <c r="G49" s="80"/>
      <c r="H49" s="87" t="str">
        <f t="shared" si="1"/>
        <v>-</v>
      </c>
    </row>
    <row r="50" spans="1:8" ht="27" customHeight="1" x14ac:dyDescent="0.25">
      <c r="A50" s="79"/>
      <c r="B50" s="86" t="str">
        <f>IF(D50 &lt;&gt; "Paciente/Dia", "-", D50 &amp; COUNTIF( $D$7:D50, D50))</f>
        <v>-</v>
      </c>
      <c r="C50" s="35"/>
      <c r="D50" s="30"/>
      <c r="E50" s="31"/>
      <c r="F50" s="32"/>
      <c r="G50" s="80"/>
      <c r="H50" s="87" t="str">
        <f t="shared" si="1"/>
        <v>-</v>
      </c>
    </row>
    <row r="51" spans="1:8" ht="27" customHeight="1" x14ac:dyDescent="0.25">
      <c r="A51" s="79"/>
      <c r="B51" s="86" t="str">
        <f>IF(D51 &lt;&gt; "Paciente/Dia", "-", D51 &amp; COUNTIF( $D$7:D51, D51))</f>
        <v>-</v>
      </c>
      <c r="C51" s="35"/>
      <c r="D51" s="30"/>
      <c r="E51" s="31"/>
      <c r="F51" s="32"/>
      <c r="G51" s="80"/>
      <c r="H51" s="87" t="str">
        <f t="shared" si="1"/>
        <v>-</v>
      </c>
    </row>
    <row r="52" spans="1:8" ht="27" customHeight="1" x14ac:dyDescent="0.25">
      <c r="A52" s="79"/>
      <c r="B52" s="86" t="str">
        <f>IF(D52 &lt;&gt; "Paciente/Dia", "-", D52 &amp; COUNTIF( $D$7:D52, D52))</f>
        <v>-</v>
      </c>
      <c r="C52" s="35"/>
      <c r="D52" s="30"/>
      <c r="E52" s="31"/>
      <c r="F52" s="32"/>
      <c r="G52" s="80"/>
      <c r="H52" s="87" t="str">
        <f t="shared" si="1"/>
        <v>-</v>
      </c>
    </row>
    <row r="53" spans="1:8" ht="27" customHeight="1" x14ac:dyDescent="0.25">
      <c r="A53" s="79"/>
      <c r="B53" s="86" t="str">
        <f>IF(D53 &lt;&gt; "Paciente/Dia", "-", D53 &amp; COUNTIF( $D$7:D53, D53))</f>
        <v>-</v>
      </c>
      <c r="C53" s="35"/>
      <c r="D53" s="30"/>
      <c r="E53" s="31"/>
      <c r="F53" s="32"/>
      <c r="G53" s="80"/>
      <c r="H53" s="87" t="str">
        <f t="shared" si="1"/>
        <v>-</v>
      </c>
    </row>
    <row r="54" spans="1:8" ht="27" customHeight="1" x14ac:dyDescent="0.25">
      <c r="A54" s="79"/>
      <c r="B54" s="86" t="str">
        <f>IF(D54 &lt;&gt; "Paciente/Dia", "-", D54 &amp; COUNTIF( $D$7:D54, D54))</f>
        <v>-</v>
      </c>
      <c r="C54" s="35"/>
      <c r="D54" s="30"/>
      <c r="E54" s="31"/>
      <c r="F54" s="32"/>
      <c r="G54" s="80"/>
      <c r="H54" s="87" t="str">
        <f t="shared" si="1"/>
        <v>-</v>
      </c>
    </row>
    <row r="55" spans="1:8" ht="27" customHeight="1" x14ac:dyDescent="0.25">
      <c r="A55" s="79"/>
      <c r="B55" s="86" t="str">
        <f>IF(D55 &lt;&gt; "Paciente/Dia", "-", D55 &amp; COUNTIF( $D$7:D55, D55))</f>
        <v>-</v>
      </c>
      <c r="C55" s="35"/>
      <c r="D55" s="30"/>
      <c r="E55" s="31"/>
      <c r="F55" s="32"/>
      <c r="G55" s="80"/>
      <c r="H55" s="87" t="str">
        <f t="shared" si="1"/>
        <v>-</v>
      </c>
    </row>
    <row r="56" spans="1:8" ht="27" customHeight="1" x14ac:dyDescent="0.25">
      <c r="A56" s="79"/>
      <c r="B56" s="86" t="str">
        <f>IF(D56 &lt;&gt; "Paciente/Dia", "-", D56 &amp; COUNTIF( $D$7:D56, D56))</f>
        <v>-</v>
      </c>
      <c r="C56" s="35"/>
      <c r="D56" s="30"/>
      <c r="E56" s="31"/>
      <c r="F56" s="32"/>
      <c r="G56" s="80"/>
      <c r="H56" s="87" t="str">
        <f t="shared" si="1"/>
        <v>-</v>
      </c>
    </row>
    <row r="57" spans="1:8" ht="27" customHeight="1" x14ac:dyDescent="0.25">
      <c r="A57" s="79"/>
      <c r="B57" s="86" t="str">
        <f>IF(D57 &lt;&gt; "Paciente/Dia", "-", D57 &amp; COUNTIF( $D$7:D57, D57))</f>
        <v>-</v>
      </c>
      <c r="C57" s="35"/>
      <c r="D57" s="30"/>
      <c r="E57" s="31"/>
      <c r="F57" s="32"/>
      <c r="G57" s="80"/>
      <c r="H57" s="87" t="str">
        <f t="shared" si="1"/>
        <v>-</v>
      </c>
    </row>
    <row r="58" spans="1:8" ht="27" customHeight="1" x14ac:dyDescent="0.25">
      <c r="A58" s="79"/>
      <c r="B58" s="86" t="str">
        <f>IF(D58 &lt;&gt; "Paciente/Dia", "-", D58 &amp; COUNTIF( $D$7:D58, D58))</f>
        <v>-</v>
      </c>
      <c r="C58" s="35"/>
      <c r="D58" s="30"/>
      <c r="E58" s="31"/>
      <c r="F58" s="32"/>
      <c r="G58" s="80"/>
      <c r="H58" s="87" t="str">
        <f t="shared" si="1"/>
        <v>-</v>
      </c>
    </row>
    <row r="59" spans="1:8" ht="27" customHeight="1" x14ac:dyDescent="0.25">
      <c r="A59" s="79"/>
      <c r="B59" s="86" t="str">
        <f>IF(D59 &lt;&gt; "Paciente/Dia", "-", D59 &amp; COUNTIF( $D$7:D59, D59))</f>
        <v>-</v>
      </c>
      <c r="C59" s="35"/>
      <c r="D59" s="30"/>
      <c r="E59" s="31"/>
      <c r="F59" s="32"/>
      <c r="G59" s="80"/>
      <c r="H59" s="87" t="str">
        <f t="shared" si="1"/>
        <v>-</v>
      </c>
    </row>
    <row r="60" spans="1:8" ht="27" customHeight="1" x14ac:dyDescent="0.25">
      <c r="A60" s="79"/>
      <c r="B60" s="86" t="str">
        <f>IF(D60 &lt;&gt; "Paciente/Dia", "-", D60 &amp; COUNTIF( $D$7:D60, D60))</f>
        <v>-</v>
      </c>
      <c r="C60" s="35"/>
      <c r="D60" s="30"/>
      <c r="E60" s="31"/>
      <c r="F60" s="32"/>
      <c r="G60" s="80"/>
      <c r="H60" s="87" t="str">
        <f t="shared" si="1"/>
        <v>-</v>
      </c>
    </row>
    <row r="61" spans="1:8" ht="27" customHeight="1" x14ac:dyDescent="0.25">
      <c r="A61" s="79"/>
      <c r="B61" s="86" t="str">
        <f>IF(D61 &lt;&gt; "Paciente/Dia", "-", D61 &amp; COUNTIF( $D$7:D61, D61))</f>
        <v>-</v>
      </c>
      <c r="C61" s="35"/>
      <c r="D61" s="30"/>
      <c r="E61" s="31"/>
      <c r="F61" s="32"/>
      <c r="G61" s="80"/>
      <c r="H61" s="87" t="str">
        <f t="shared" si="1"/>
        <v>-</v>
      </c>
    </row>
    <row r="62" spans="1:8" ht="27" customHeight="1" x14ac:dyDescent="0.25">
      <c r="A62" s="79"/>
      <c r="B62" s="86" t="str">
        <f>IF(D62 &lt;&gt; "Paciente/Dia", "-", D62 &amp; COUNTIF( $D$7:D62, D62))</f>
        <v>-</v>
      </c>
      <c r="C62" s="35"/>
      <c r="D62" s="30"/>
      <c r="E62" s="31"/>
      <c r="F62" s="32"/>
      <c r="G62" s="80"/>
      <c r="H62" s="87" t="str">
        <f t="shared" si="1"/>
        <v>-</v>
      </c>
    </row>
    <row r="63" spans="1:8" ht="27" customHeight="1" x14ac:dyDescent="0.25">
      <c r="A63" s="79"/>
      <c r="B63" s="86" t="str">
        <f>IF(D63 &lt;&gt; "Paciente/Dia", "-", D63 &amp; COUNTIF( $D$7:D63, D63))</f>
        <v>-</v>
      </c>
      <c r="C63" s="35"/>
      <c r="D63" s="30"/>
      <c r="E63" s="31"/>
      <c r="F63" s="32"/>
      <c r="G63" s="80"/>
      <c r="H63" s="87" t="str">
        <f t="shared" si="1"/>
        <v>-</v>
      </c>
    </row>
    <row r="64" spans="1:8" ht="27" customHeight="1" x14ac:dyDescent="0.25">
      <c r="A64" s="79"/>
      <c r="B64" s="86" t="str">
        <f>IF(D64 &lt;&gt; "Paciente/Dia", "-", D64 &amp; COUNTIF( $D$7:D64, D64))</f>
        <v>-</v>
      </c>
      <c r="C64" s="35"/>
      <c r="D64" s="30"/>
      <c r="E64" s="31"/>
      <c r="F64" s="32"/>
      <c r="G64" s="80"/>
      <c r="H64" s="87" t="str">
        <f t="shared" si="1"/>
        <v>-</v>
      </c>
    </row>
    <row r="65" spans="1:8" ht="27" customHeight="1" x14ac:dyDescent="0.25">
      <c r="A65" s="79"/>
      <c r="B65" s="86" t="str">
        <f>IF(D65 &lt;&gt; "Paciente/Dia", "-", D65 &amp; COUNTIF( $D$7:D65, D65))</f>
        <v>-</v>
      </c>
      <c r="C65" s="35"/>
      <c r="D65" s="30"/>
      <c r="E65" s="31"/>
      <c r="F65" s="32"/>
      <c r="G65" s="80"/>
      <c r="H65" s="87" t="str">
        <f t="shared" si="1"/>
        <v>-</v>
      </c>
    </row>
    <row r="66" spans="1:8" ht="27" customHeight="1" x14ac:dyDescent="0.25">
      <c r="A66" s="79"/>
      <c r="B66" s="86" t="str">
        <f>IF(D66 &lt;&gt; "Paciente/Dia", "-", D66 &amp; COUNTIF( $D$7:D66, D66))</f>
        <v>-</v>
      </c>
      <c r="C66" s="35"/>
      <c r="D66" s="30"/>
      <c r="E66" s="31"/>
      <c r="F66" s="32"/>
      <c r="G66" s="80"/>
      <c r="H66" s="87" t="str">
        <f t="shared" si="1"/>
        <v>-</v>
      </c>
    </row>
    <row r="67" spans="1:8" ht="27" customHeight="1" x14ac:dyDescent="0.25">
      <c r="A67" s="79"/>
      <c r="B67" s="86" t="str">
        <f>IF(D67 &lt;&gt; "Paciente/Dia", "-", D67 &amp; COUNTIF( $D$7:D67, D67))</f>
        <v>-</v>
      </c>
      <c r="C67" s="35"/>
      <c r="D67" s="30"/>
      <c r="E67" s="31"/>
      <c r="F67" s="32"/>
      <c r="G67" s="80"/>
      <c r="H67" s="87" t="str">
        <f t="shared" si="1"/>
        <v>-</v>
      </c>
    </row>
    <row r="68" spans="1:8" ht="27" customHeight="1" x14ac:dyDescent="0.25">
      <c r="A68" s="79"/>
      <c r="B68" s="86" t="str">
        <f>IF(D68 &lt;&gt; "Paciente/Dia", "-", D68 &amp; COUNTIF( $D$7:D68, D68))</f>
        <v>-</v>
      </c>
      <c r="C68" s="35"/>
      <c r="D68" s="30"/>
      <c r="E68" s="31"/>
      <c r="F68" s="32"/>
      <c r="G68" s="80"/>
      <c r="H68" s="87" t="str">
        <f t="shared" si="1"/>
        <v>-</v>
      </c>
    </row>
    <row r="69" spans="1:8" ht="27" customHeight="1" x14ac:dyDescent="0.25">
      <c r="A69" s="79"/>
      <c r="B69" s="86" t="str">
        <f>IF(D69 &lt;&gt; "Paciente/Dia", "-", D69 &amp; COUNTIF( $D$7:D69, D69))</f>
        <v>-</v>
      </c>
      <c r="C69" s="35"/>
      <c r="D69" s="30"/>
      <c r="E69" s="31"/>
      <c r="F69" s="32"/>
      <c r="G69" s="80"/>
      <c r="H69" s="87" t="str">
        <f t="shared" si="1"/>
        <v>-</v>
      </c>
    </row>
    <row r="70" spans="1:8" ht="27" customHeight="1" x14ac:dyDescent="0.25">
      <c r="A70" s="79"/>
      <c r="B70" s="86" t="str">
        <f>IF(D70 &lt;&gt; "Paciente/Dia", "-", D70 &amp; COUNTIF( $D$7:D70, D70))</f>
        <v>-</v>
      </c>
      <c r="C70" s="35"/>
      <c r="D70" s="30"/>
      <c r="E70" s="31"/>
      <c r="F70" s="32"/>
      <c r="G70" s="80"/>
      <c r="H70" s="87" t="str">
        <f t="shared" si="1"/>
        <v>-</v>
      </c>
    </row>
    <row r="71" spans="1:8" ht="27" customHeight="1" x14ac:dyDescent="0.25">
      <c r="A71" s="79"/>
      <c r="B71" s="86" t="str">
        <f>IF(D71 &lt;&gt; "Paciente/Dia", "-", D71 &amp; COUNTIF( $D$7:D71, D71))</f>
        <v>-</v>
      </c>
      <c r="C71" s="35"/>
      <c r="D71" s="30"/>
      <c r="E71" s="31"/>
      <c r="F71" s="32"/>
      <c r="G71" s="80"/>
      <c r="H71" s="87" t="str">
        <f t="shared" si="1"/>
        <v>-</v>
      </c>
    </row>
    <row r="72" spans="1:8" ht="27" customHeight="1" x14ac:dyDescent="0.25">
      <c r="A72" s="79"/>
      <c r="B72" s="86" t="str">
        <f>IF(D72 &lt;&gt; "Paciente/Dia", "-", D72 &amp; COUNTIF( $D$7:D72, D72))</f>
        <v>-</v>
      </c>
      <c r="C72" s="35"/>
      <c r="D72" s="30"/>
      <c r="E72" s="31"/>
      <c r="F72" s="32"/>
      <c r="G72" s="80"/>
      <c r="H72" s="87" t="str">
        <f t="shared" ref="H72:H124" si="2">IF(OR(
C72="ADMINISTRATIVO",
C72="INTERMEDIÁRIO",
C72="EXTERNO",
C72="FINAL"),"GRUPO","-")</f>
        <v>-</v>
      </c>
    </row>
    <row r="73" spans="1:8" ht="27" customHeight="1" x14ac:dyDescent="0.25">
      <c r="A73" s="79"/>
      <c r="B73" s="86" t="str">
        <f>IF(D73 &lt;&gt; "Paciente/Dia", "-", D73 &amp; COUNTIF( $D$7:D73, D73))</f>
        <v>-</v>
      </c>
      <c r="C73" s="35"/>
      <c r="D73" s="30"/>
      <c r="E73" s="31"/>
      <c r="F73" s="32"/>
      <c r="G73" s="80"/>
      <c r="H73" s="87" t="str">
        <f t="shared" si="2"/>
        <v>-</v>
      </c>
    </row>
    <row r="74" spans="1:8" ht="27" customHeight="1" x14ac:dyDescent="0.25">
      <c r="A74" s="79"/>
      <c r="B74" s="86" t="str">
        <f>IF(D74 &lt;&gt; "Paciente/Dia", "-", D74 &amp; COUNTIF( $D$7:D74, D74))</f>
        <v>-</v>
      </c>
      <c r="C74" s="35"/>
      <c r="D74" s="30"/>
      <c r="E74" s="31"/>
      <c r="F74" s="32"/>
      <c r="G74" s="80"/>
      <c r="H74" s="87" t="str">
        <f t="shared" si="2"/>
        <v>-</v>
      </c>
    </row>
    <row r="75" spans="1:8" ht="27" customHeight="1" x14ac:dyDescent="0.25">
      <c r="A75" s="79"/>
      <c r="B75" s="86" t="str">
        <f>IF(D75 &lt;&gt; "Paciente/Dia", "-", D75 &amp; COUNTIF( $D$7:D75, D75))</f>
        <v>-</v>
      </c>
      <c r="C75" s="35"/>
      <c r="D75" s="30"/>
      <c r="E75" s="31"/>
      <c r="F75" s="32"/>
      <c r="G75" s="80"/>
      <c r="H75" s="87" t="str">
        <f t="shared" si="2"/>
        <v>-</v>
      </c>
    </row>
    <row r="76" spans="1:8" ht="27" customHeight="1" x14ac:dyDescent="0.25">
      <c r="A76" s="79"/>
      <c r="B76" s="86" t="str">
        <f>IF(D76 &lt;&gt; "Paciente/Dia", "-", D76 &amp; COUNTIF( $D$7:D76, D76))</f>
        <v>-</v>
      </c>
      <c r="C76" s="35"/>
      <c r="D76" s="30"/>
      <c r="E76" s="31"/>
      <c r="F76" s="32"/>
      <c r="G76" s="80"/>
      <c r="H76" s="87" t="str">
        <f t="shared" si="2"/>
        <v>-</v>
      </c>
    </row>
    <row r="77" spans="1:8" ht="27" customHeight="1" x14ac:dyDescent="0.25">
      <c r="A77" s="79"/>
      <c r="B77" s="86" t="str">
        <f>IF(D77 &lt;&gt; "Paciente/Dia", "-", D77 &amp; COUNTIF( $D$7:D77, D77))</f>
        <v>-</v>
      </c>
      <c r="C77" s="35"/>
      <c r="D77" s="30"/>
      <c r="E77" s="31"/>
      <c r="F77" s="32"/>
      <c r="G77" s="80"/>
      <c r="H77" s="87" t="str">
        <f t="shared" si="2"/>
        <v>-</v>
      </c>
    </row>
    <row r="78" spans="1:8" ht="27" customHeight="1" x14ac:dyDescent="0.25">
      <c r="A78" s="79"/>
      <c r="B78" s="86" t="str">
        <f>IF(D78 &lt;&gt; "Paciente/Dia", "-", D78 &amp; COUNTIF( $D$7:D78, D78))</f>
        <v>-</v>
      </c>
      <c r="C78" s="35"/>
      <c r="D78" s="30"/>
      <c r="E78" s="31"/>
      <c r="F78" s="32"/>
      <c r="G78" s="80"/>
      <c r="H78" s="87" t="str">
        <f t="shared" si="2"/>
        <v>-</v>
      </c>
    </row>
    <row r="79" spans="1:8" ht="27" customHeight="1" x14ac:dyDescent="0.25">
      <c r="A79" s="79"/>
      <c r="B79" s="86" t="str">
        <f>IF(D79 &lt;&gt; "Paciente/Dia", "-", D79 &amp; COUNTIF( $D$7:D79, D79))</f>
        <v>-</v>
      </c>
      <c r="C79" s="35"/>
      <c r="D79" s="30"/>
      <c r="E79" s="31"/>
      <c r="F79" s="32"/>
      <c r="G79" s="80"/>
      <c r="H79" s="87" t="str">
        <f t="shared" si="2"/>
        <v>-</v>
      </c>
    </row>
    <row r="80" spans="1:8" ht="27" customHeight="1" x14ac:dyDescent="0.25">
      <c r="A80" s="79"/>
      <c r="B80" s="86" t="str">
        <f>IF(D80 &lt;&gt; "Paciente/Dia", "-", D80 &amp; COUNTIF( $D$7:D80, D80))</f>
        <v>-</v>
      </c>
      <c r="C80" s="35"/>
      <c r="D80" s="30"/>
      <c r="E80" s="31"/>
      <c r="F80" s="32"/>
      <c r="G80" s="80"/>
      <c r="H80" s="87" t="str">
        <f t="shared" si="2"/>
        <v>-</v>
      </c>
    </row>
    <row r="81" spans="1:8" ht="27" customHeight="1" x14ac:dyDescent="0.25">
      <c r="A81" s="79"/>
      <c r="B81" s="86" t="str">
        <f>IF(D81 &lt;&gt; "Paciente/Dia", "-", D81 &amp; COUNTIF( $D$7:D81, D81))</f>
        <v>-</v>
      </c>
      <c r="C81" s="35"/>
      <c r="D81" s="30"/>
      <c r="E81" s="31"/>
      <c r="F81" s="32"/>
      <c r="G81" s="80"/>
      <c r="H81" s="87" t="str">
        <f t="shared" si="2"/>
        <v>-</v>
      </c>
    </row>
    <row r="82" spans="1:8" ht="27" customHeight="1" x14ac:dyDescent="0.25">
      <c r="A82" s="79"/>
      <c r="B82" s="86" t="str">
        <f>IF(D82 &lt;&gt; "Paciente/Dia", "-", D82 &amp; COUNTIF( $D$7:D82, D82))</f>
        <v>-</v>
      </c>
      <c r="C82" s="35"/>
      <c r="D82" s="30"/>
      <c r="E82" s="31"/>
      <c r="F82" s="32"/>
      <c r="G82" s="80"/>
      <c r="H82" s="87" t="str">
        <f t="shared" si="2"/>
        <v>-</v>
      </c>
    </row>
    <row r="83" spans="1:8" ht="27" customHeight="1" x14ac:dyDescent="0.25">
      <c r="A83" s="79"/>
      <c r="B83" s="86" t="str">
        <f>IF(D83 &lt;&gt; "Paciente/Dia", "-", D83 &amp; COUNTIF( $D$7:D83, D83))</f>
        <v>-</v>
      </c>
      <c r="C83" s="35"/>
      <c r="D83" s="30"/>
      <c r="E83" s="31"/>
      <c r="F83" s="32"/>
      <c r="G83" s="80"/>
      <c r="H83" s="87" t="str">
        <f t="shared" si="2"/>
        <v>-</v>
      </c>
    </row>
    <row r="84" spans="1:8" ht="27" customHeight="1" x14ac:dyDescent="0.25">
      <c r="A84" s="79"/>
      <c r="B84" s="86" t="str">
        <f>IF(D84 &lt;&gt; "Paciente/Dia", "-", D84 &amp; COUNTIF( $D$7:D84, D84))</f>
        <v>-</v>
      </c>
      <c r="C84" s="35"/>
      <c r="D84" s="30"/>
      <c r="E84" s="31"/>
      <c r="F84" s="32"/>
      <c r="G84" s="80"/>
      <c r="H84" s="87" t="str">
        <f t="shared" si="2"/>
        <v>-</v>
      </c>
    </row>
    <row r="85" spans="1:8" ht="27" customHeight="1" x14ac:dyDescent="0.25">
      <c r="A85" s="79"/>
      <c r="B85" s="86" t="str">
        <f>IF(D85 &lt;&gt; "Paciente/Dia", "-", D85 &amp; COUNTIF( $D$7:D85, D85))</f>
        <v>-</v>
      </c>
      <c r="C85" s="35"/>
      <c r="D85" s="30"/>
      <c r="E85" s="31"/>
      <c r="F85" s="32"/>
      <c r="G85" s="80"/>
      <c r="H85" s="87" t="str">
        <f t="shared" si="2"/>
        <v>-</v>
      </c>
    </row>
    <row r="86" spans="1:8" ht="27" customHeight="1" x14ac:dyDescent="0.25">
      <c r="A86" s="79"/>
      <c r="B86" s="86" t="str">
        <f>IF(D86 &lt;&gt; "Paciente/Dia", "-", D86 &amp; COUNTIF( $D$7:D86, D86))</f>
        <v>-</v>
      </c>
      <c r="C86" s="35"/>
      <c r="D86" s="30"/>
      <c r="E86" s="31"/>
      <c r="F86" s="32"/>
      <c r="G86" s="80"/>
      <c r="H86" s="87" t="str">
        <f t="shared" si="2"/>
        <v>-</v>
      </c>
    </row>
    <row r="87" spans="1:8" ht="27" customHeight="1" x14ac:dyDescent="0.25">
      <c r="A87" s="79"/>
      <c r="B87" s="86" t="str">
        <f>IF(D87 &lt;&gt; "Paciente/Dia", "-", D87 &amp; COUNTIF( $D$7:D87, D87))</f>
        <v>-</v>
      </c>
      <c r="C87" s="35"/>
      <c r="D87" s="30"/>
      <c r="E87" s="31"/>
      <c r="F87" s="32"/>
      <c r="G87" s="80"/>
      <c r="H87" s="87" t="str">
        <f t="shared" si="2"/>
        <v>-</v>
      </c>
    </row>
    <row r="88" spans="1:8" ht="27" customHeight="1" x14ac:dyDescent="0.25">
      <c r="A88" s="79"/>
      <c r="B88" s="86" t="str">
        <f>IF(D88 &lt;&gt; "Paciente/Dia", "-", D88 &amp; COUNTIF( $D$7:D88, D88))</f>
        <v>-</v>
      </c>
      <c r="C88" s="35"/>
      <c r="D88" s="30"/>
      <c r="E88" s="31"/>
      <c r="F88" s="32"/>
      <c r="G88" s="80"/>
      <c r="H88" s="87" t="str">
        <f t="shared" si="2"/>
        <v>-</v>
      </c>
    </row>
    <row r="89" spans="1:8" ht="27" customHeight="1" x14ac:dyDescent="0.25">
      <c r="A89" s="79"/>
      <c r="B89" s="86" t="str">
        <f>IF(D89 &lt;&gt; "Paciente/Dia", "-", D89 &amp; COUNTIF( $D$7:D89, D89))</f>
        <v>-</v>
      </c>
      <c r="C89" s="35"/>
      <c r="D89" s="30"/>
      <c r="E89" s="31"/>
      <c r="F89" s="32"/>
      <c r="G89" s="80"/>
      <c r="H89" s="87" t="str">
        <f t="shared" si="2"/>
        <v>-</v>
      </c>
    </row>
    <row r="90" spans="1:8" ht="27" customHeight="1" x14ac:dyDescent="0.25">
      <c r="A90" s="79"/>
      <c r="B90" s="86" t="str">
        <f>IF(D90 &lt;&gt; "Paciente/Dia", "-", D90 &amp; COUNTIF( $D$7:D90, D90))</f>
        <v>-</v>
      </c>
      <c r="C90" s="35"/>
      <c r="D90" s="30"/>
      <c r="E90" s="31"/>
      <c r="F90" s="32"/>
      <c r="G90" s="80"/>
      <c r="H90" s="87" t="str">
        <f t="shared" si="2"/>
        <v>-</v>
      </c>
    </row>
    <row r="91" spans="1:8" ht="27" customHeight="1" x14ac:dyDescent="0.25">
      <c r="A91" s="79"/>
      <c r="B91" s="86" t="str">
        <f>IF(D91 &lt;&gt; "Paciente/Dia", "-", D91 &amp; COUNTIF( $D$7:D91, D91))</f>
        <v>-</v>
      </c>
      <c r="C91" s="35"/>
      <c r="D91" s="30"/>
      <c r="E91" s="31"/>
      <c r="F91" s="32"/>
      <c r="G91" s="80"/>
      <c r="H91" s="87" t="str">
        <f t="shared" si="2"/>
        <v>-</v>
      </c>
    </row>
    <row r="92" spans="1:8" ht="27" customHeight="1" x14ac:dyDescent="0.25">
      <c r="A92" s="79"/>
      <c r="B92" s="86" t="str">
        <f>IF(D92 &lt;&gt; "Paciente/Dia", "-", D92 &amp; COUNTIF( $D$7:D92, D92))</f>
        <v>-</v>
      </c>
      <c r="C92" s="35"/>
      <c r="D92" s="30"/>
      <c r="E92" s="31"/>
      <c r="F92" s="32"/>
      <c r="G92" s="80"/>
      <c r="H92" s="87" t="str">
        <f t="shared" si="2"/>
        <v>-</v>
      </c>
    </row>
    <row r="93" spans="1:8" ht="27" customHeight="1" x14ac:dyDescent="0.25">
      <c r="A93" s="79"/>
      <c r="B93" s="86" t="str">
        <f>IF(D93 &lt;&gt; "Paciente/Dia", "-", D93 &amp; COUNTIF( $D$7:D93, D93))</f>
        <v>-</v>
      </c>
      <c r="C93" s="35"/>
      <c r="D93" s="30"/>
      <c r="E93" s="31"/>
      <c r="F93" s="32"/>
      <c r="G93" s="80"/>
      <c r="H93" s="87" t="str">
        <f t="shared" si="2"/>
        <v>-</v>
      </c>
    </row>
    <row r="94" spans="1:8" ht="27" customHeight="1" x14ac:dyDescent="0.25">
      <c r="A94" s="79"/>
      <c r="B94" s="86" t="str">
        <f>IF(D94 &lt;&gt; "Paciente/Dia", "-", D94 &amp; COUNTIF( $D$7:D94, D94))</f>
        <v>-</v>
      </c>
      <c r="C94" s="35"/>
      <c r="D94" s="30"/>
      <c r="E94" s="31"/>
      <c r="F94" s="32"/>
      <c r="G94" s="80"/>
      <c r="H94" s="87" t="str">
        <f t="shared" si="2"/>
        <v>-</v>
      </c>
    </row>
    <row r="95" spans="1:8" ht="27" customHeight="1" x14ac:dyDescent="0.25">
      <c r="A95" s="79"/>
      <c r="B95" s="86" t="str">
        <f>IF(D95 &lt;&gt; "Paciente/Dia", "-", D95 &amp; COUNTIF( $D$7:D95, D95))</f>
        <v>-</v>
      </c>
      <c r="C95" s="35"/>
      <c r="D95" s="30"/>
      <c r="E95" s="31"/>
      <c r="F95" s="32"/>
      <c r="G95" s="80"/>
      <c r="H95" s="87" t="str">
        <f t="shared" si="2"/>
        <v>-</v>
      </c>
    </row>
    <row r="96" spans="1:8" ht="27" customHeight="1" x14ac:dyDescent="0.25">
      <c r="A96" s="79"/>
      <c r="B96" s="86" t="str">
        <f>IF(D96 &lt;&gt; "Paciente/Dia", "-", D96 &amp; COUNTIF( $D$7:D96, D96))</f>
        <v>-</v>
      </c>
      <c r="C96" s="35"/>
      <c r="D96" s="30"/>
      <c r="E96" s="31"/>
      <c r="F96" s="32"/>
      <c r="G96" s="80"/>
      <c r="H96" s="87" t="str">
        <f t="shared" si="2"/>
        <v>-</v>
      </c>
    </row>
    <row r="97" spans="1:8" ht="27" customHeight="1" x14ac:dyDescent="0.25">
      <c r="A97" s="79"/>
      <c r="B97" s="86" t="str">
        <f>IF(D97 &lt;&gt; "Paciente/Dia", "-", D97 &amp; COUNTIF( $D$7:D97, D97))</f>
        <v>-</v>
      </c>
      <c r="C97" s="35"/>
      <c r="D97" s="30"/>
      <c r="E97" s="31"/>
      <c r="F97" s="32"/>
      <c r="G97" s="80"/>
      <c r="H97" s="87" t="str">
        <f t="shared" si="2"/>
        <v>-</v>
      </c>
    </row>
    <row r="98" spans="1:8" ht="27" customHeight="1" x14ac:dyDescent="0.25">
      <c r="A98" s="79"/>
      <c r="B98" s="86" t="str">
        <f>IF(D98 &lt;&gt; "Paciente/Dia", "-", D98 &amp; COUNTIF( $D$7:D98, D98))</f>
        <v>-</v>
      </c>
      <c r="C98" s="35"/>
      <c r="D98" s="30"/>
      <c r="E98" s="31"/>
      <c r="F98" s="32"/>
      <c r="G98" s="80"/>
      <c r="H98" s="87" t="str">
        <f t="shared" si="2"/>
        <v>-</v>
      </c>
    </row>
    <row r="99" spans="1:8" ht="27" customHeight="1" x14ac:dyDescent="0.25">
      <c r="A99" s="79"/>
      <c r="B99" s="86" t="str">
        <f>IF(D99 &lt;&gt; "Paciente/Dia", "-", D99 &amp; COUNTIF( $D$7:D99, D99))</f>
        <v>-</v>
      </c>
      <c r="C99" s="35"/>
      <c r="D99" s="30"/>
      <c r="E99" s="31"/>
      <c r="F99" s="32"/>
      <c r="G99" s="80"/>
      <c r="H99" s="87" t="str">
        <f t="shared" si="2"/>
        <v>-</v>
      </c>
    </row>
    <row r="100" spans="1:8" ht="27" customHeight="1" x14ac:dyDescent="0.25">
      <c r="A100" s="79"/>
      <c r="B100" s="86" t="str">
        <f>IF(D100 &lt;&gt; "Paciente/Dia", "-", D100 &amp; COUNTIF( $D$7:D100, D100))</f>
        <v>-</v>
      </c>
      <c r="C100" s="35"/>
      <c r="D100" s="30"/>
      <c r="E100" s="31"/>
      <c r="F100" s="32"/>
      <c r="G100" s="80"/>
      <c r="H100" s="87" t="str">
        <f t="shared" si="2"/>
        <v>-</v>
      </c>
    </row>
    <row r="101" spans="1:8" ht="27" customHeight="1" x14ac:dyDescent="0.25">
      <c r="A101" s="79"/>
      <c r="B101" s="86" t="str">
        <f>IF(D101 &lt;&gt; "Paciente/Dia", "-", D101 &amp; COUNTIF( $D$7:D101, D101))</f>
        <v>-</v>
      </c>
      <c r="C101" s="35"/>
      <c r="D101" s="30"/>
      <c r="E101" s="31"/>
      <c r="F101" s="32"/>
      <c r="G101" s="80"/>
      <c r="H101" s="87" t="str">
        <f t="shared" si="2"/>
        <v>-</v>
      </c>
    </row>
    <row r="102" spans="1:8" ht="27" customHeight="1" x14ac:dyDescent="0.25">
      <c r="A102" s="79"/>
      <c r="B102" s="86" t="str">
        <f>IF(D102 &lt;&gt; "Paciente/Dia", "-", D102 &amp; COUNTIF( $D$7:D102, D102))</f>
        <v>-</v>
      </c>
      <c r="C102" s="35"/>
      <c r="D102" s="30"/>
      <c r="E102" s="31"/>
      <c r="F102" s="32"/>
      <c r="G102" s="80"/>
      <c r="H102" s="87" t="str">
        <f t="shared" si="2"/>
        <v>-</v>
      </c>
    </row>
    <row r="103" spans="1:8" ht="27" customHeight="1" x14ac:dyDescent="0.25">
      <c r="A103" s="79"/>
      <c r="B103" s="86" t="str">
        <f>IF(D103 &lt;&gt; "Paciente/Dia", "-", D103 &amp; COUNTIF( $D$7:D103, D103))</f>
        <v>-</v>
      </c>
      <c r="C103" s="35"/>
      <c r="D103" s="30"/>
      <c r="E103" s="31"/>
      <c r="F103" s="32"/>
      <c r="G103" s="80"/>
      <c r="H103" s="87" t="str">
        <f t="shared" si="2"/>
        <v>-</v>
      </c>
    </row>
    <row r="104" spans="1:8" ht="27" customHeight="1" x14ac:dyDescent="0.25">
      <c r="A104" s="79"/>
      <c r="B104" s="86" t="str">
        <f>IF(D104 &lt;&gt; "Paciente/Dia", "-", D104 &amp; COUNTIF( $D$7:D104, D104))</f>
        <v>-</v>
      </c>
      <c r="C104" s="35"/>
      <c r="D104" s="30"/>
      <c r="E104" s="31"/>
      <c r="F104" s="32"/>
      <c r="G104" s="80"/>
      <c r="H104" s="87" t="str">
        <f t="shared" si="2"/>
        <v>-</v>
      </c>
    </row>
    <row r="105" spans="1:8" ht="27" customHeight="1" x14ac:dyDescent="0.25">
      <c r="A105" s="79"/>
      <c r="B105" s="86" t="str">
        <f>IF(D105 &lt;&gt; "Paciente/Dia", "-", D105 &amp; COUNTIF( $D$7:D105, D105))</f>
        <v>-</v>
      </c>
      <c r="C105" s="35"/>
      <c r="D105" s="30"/>
      <c r="E105" s="31"/>
      <c r="F105" s="32"/>
      <c r="G105" s="80"/>
      <c r="H105" s="87" t="str">
        <f t="shared" si="2"/>
        <v>-</v>
      </c>
    </row>
    <row r="106" spans="1:8" ht="27" customHeight="1" x14ac:dyDescent="0.25">
      <c r="A106" s="79"/>
      <c r="B106" s="86" t="str">
        <f>IF(D106 &lt;&gt; "Paciente/Dia", "-", D106 &amp; COUNTIF( $D$7:D106, D106))</f>
        <v>-</v>
      </c>
      <c r="C106" s="35"/>
      <c r="D106" s="30"/>
      <c r="E106" s="31"/>
      <c r="F106" s="32"/>
      <c r="G106" s="80"/>
      <c r="H106" s="87" t="str">
        <f t="shared" si="2"/>
        <v>-</v>
      </c>
    </row>
    <row r="107" spans="1:8" ht="27" customHeight="1" x14ac:dyDescent="0.25">
      <c r="A107" s="79"/>
      <c r="B107" s="86" t="str">
        <f>IF(D107 &lt;&gt; "Paciente/Dia", "-", D107 &amp; COUNTIF( $D$7:D107, D107))</f>
        <v>-</v>
      </c>
      <c r="C107" s="35"/>
      <c r="D107" s="30"/>
      <c r="E107" s="31"/>
      <c r="F107" s="32"/>
      <c r="G107" s="80"/>
      <c r="H107" s="87" t="str">
        <f t="shared" si="2"/>
        <v>-</v>
      </c>
    </row>
    <row r="108" spans="1:8" ht="27" customHeight="1" x14ac:dyDescent="0.25">
      <c r="A108" s="79"/>
      <c r="B108" s="86" t="str">
        <f>IF(D108 &lt;&gt; "Paciente/Dia", "-", D108 &amp; COUNTIF( $D$7:D108, D108))</f>
        <v>-</v>
      </c>
      <c r="C108" s="35"/>
      <c r="D108" s="30"/>
      <c r="E108" s="31"/>
      <c r="F108" s="32"/>
      <c r="G108" s="80"/>
      <c r="H108" s="87" t="str">
        <f t="shared" si="2"/>
        <v>-</v>
      </c>
    </row>
    <row r="109" spans="1:8" ht="27" customHeight="1" x14ac:dyDescent="0.25">
      <c r="A109" s="79"/>
      <c r="B109" s="86" t="str">
        <f>IF(D109 &lt;&gt; "Paciente/Dia", "-", D109 &amp; COUNTIF( $D$7:D109, D109))</f>
        <v>-</v>
      </c>
      <c r="C109" s="35"/>
      <c r="D109" s="30"/>
      <c r="E109" s="31"/>
      <c r="F109" s="32"/>
      <c r="G109" s="80"/>
      <c r="H109" s="87" t="str">
        <f t="shared" si="2"/>
        <v>-</v>
      </c>
    </row>
    <row r="110" spans="1:8" ht="27" customHeight="1" x14ac:dyDescent="0.25">
      <c r="A110" s="79"/>
      <c r="B110" s="86" t="str">
        <f>IF(D110 &lt;&gt; "Paciente/Dia", "-", D110 &amp; COUNTIF( $D$7:D110, D110))</f>
        <v>-</v>
      </c>
      <c r="C110" s="35"/>
      <c r="D110" s="30"/>
      <c r="E110" s="31"/>
      <c r="F110" s="32"/>
      <c r="G110" s="80"/>
      <c r="H110" s="87" t="str">
        <f t="shared" si="2"/>
        <v>-</v>
      </c>
    </row>
    <row r="111" spans="1:8" ht="27" customHeight="1" x14ac:dyDescent="0.25">
      <c r="A111" s="79"/>
      <c r="B111" s="86" t="str">
        <f>IF(D111 &lt;&gt; "Paciente/Dia", "-", D111 &amp; COUNTIF( $D$7:D111, D111))</f>
        <v>-</v>
      </c>
      <c r="C111" s="35"/>
      <c r="D111" s="30"/>
      <c r="E111" s="31"/>
      <c r="F111" s="32"/>
      <c r="G111" s="80"/>
      <c r="H111" s="87" t="str">
        <f t="shared" si="2"/>
        <v>-</v>
      </c>
    </row>
    <row r="112" spans="1:8" ht="27" customHeight="1" x14ac:dyDescent="0.25">
      <c r="A112" s="79"/>
      <c r="B112" s="86" t="str">
        <f>IF(D112 &lt;&gt; "Paciente/Dia", "-", D112 &amp; COUNTIF( $D$7:D112, D112))</f>
        <v>-</v>
      </c>
      <c r="C112" s="35"/>
      <c r="D112" s="30"/>
      <c r="E112" s="31"/>
      <c r="F112" s="32"/>
      <c r="G112" s="80"/>
      <c r="H112" s="87" t="str">
        <f t="shared" si="2"/>
        <v>-</v>
      </c>
    </row>
    <row r="113" spans="1:8" ht="27" customHeight="1" x14ac:dyDescent="0.25">
      <c r="A113" s="79"/>
      <c r="B113" s="86" t="str">
        <f>IF(D113 &lt;&gt; "Paciente/Dia", "-", D113 &amp; COUNTIF( $D$7:D113, D113))</f>
        <v>-</v>
      </c>
      <c r="C113" s="35"/>
      <c r="D113" s="30"/>
      <c r="E113" s="31"/>
      <c r="F113" s="32"/>
      <c r="G113" s="80"/>
      <c r="H113" s="87" t="str">
        <f t="shared" si="2"/>
        <v>-</v>
      </c>
    </row>
    <row r="114" spans="1:8" ht="27" customHeight="1" x14ac:dyDescent="0.25">
      <c r="A114" s="79"/>
      <c r="B114" s="86" t="str">
        <f>IF(D114 &lt;&gt; "Paciente/Dia", "-", D114 &amp; COUNTIF( $D$7:D114, D114))</f>
        <v>-</v>
      </c>
      <c r="C114" s="35"/>
      <c r="D114" s="30"/>
      <c r="E114" s="31"/>
      <c r="F114" s="32"/>
      <c r="G114" s="80"/>
      <c r="H114" s="87" t="str">
        <f t="shared" si="2"/>
        <v>-</v>
      </c>
    </row>
    <row r="115" spans="1:8" ht="27" customHeight="1" x14ac:dyDescent="0.25">
      <c r="A115" s="79"/>
      <c r="B115" s="86" t="str">
        <f>IF(D115 &lt;&gt; "Paciente/Dia", "-", D115 &amp; COUNTIF( $D$7:D115, D115))</f>
        <v>-</v>
      </c>
      <c r="C115" s="35"/>
      <c r="D115" s="30"/>
      <c r="E115" s="31"/>
      <c r="F115" s="32"/>
      <c r="G115" s="80"/>
      <c r="H115" s="87" t="str">
        <f t="shared" si="2"/>
        <v>-</v>
      </c>
    </row>
    <row r="116" spans="1:8" ht="27" customHeight="1" x14ac:dyDescent="0.25">
      <c r="A116" s="79"/>
      <c r="B116" s="86" t="str">
        <f>IF(D116 &lt;&gt; "Paciente/Dia", "-", D116 &amp; COUNTIF( $D$7:D116, D116))</f>
        <v>-</v>
      </c>
      <c r="C116" s="35"/>
      <c r="D116" s="30"/>
      <c r="E116" s="31"/>
      <c r="F116" s="32"/>
      <c r="G116" s="80"/>
      <c r="H116" s="87" t="str">
        <f t="shared" si="2"/>
        <v>-</v>
      </c>
    </row>
    <row r="117" spans="1:8" ht="27" customHeight="1" x14ac:dyDescent="0.25">
      <c r="A117" s="79"/>
      <c r="B117" s="86" t="str">
        <f>IF(D117 &lt;&gt; "Paciente/Dia", "-", D117 &amp; COUNTIF( $D$7:D117, D117))</f>
        <v>-</v>
      </c>
      <c r="C117" s="35"/>
      <c r="D117" s="30"/>
      <c r="E117" s="31"/>
      <c r="F117" s="32"/>
      <c r="G117" s="80"/>
      <c r="H117" s="87" t="str">
        <f t="shared" si="2"/>
        <v>-</v>
      </c>
    </row>
    <row r="118" spans="1:8" ht="27" customHeight="1" x14ac:dyDescent="0.25">
      <c r="A118" s="79"/>
      <c r="B118" s="86" t="str">
        <f>IF(D118 &lt;&gt; "Paciente/Dia", "-", D118 &amp; COUNTIF( $D$7:D118, D118))</f>
        <v>-</v>
      </c>
      <c r="C118" s="35"/>
      <c r="D118" s="30"/>
      <c r="E118" s="31"/>
      <c r="F118" s="32"/>
      <c r="G118" s="80"/>
      <c r="H118" s="87" t="str">
        <f t="shared" si="2"/>
        <v>-</v>
      </c>
    </row>
    <row r="119" spans="1:8" ht="27" customHeight="1" x14ac:dyDescent="0.25">
      <c r="A119" s="79"/>
      <c r="B119" s="86" t="str">
        <f>IF(D119 &lt;&gt; "Paciente/Dia", "-", D119 &amp; COUNTIF( $D$7:D119, D119))</f>
        <v>-</v>
      </c>
      <c r="C119" s="35"/>
      <c r="D119" s="30"/>
      <c r="E119" s="31"/>
      <c r="F119" s="32"/>
      <c r="G119" s="80"/>
      <c r="H119" s="87" t="str">
        <f t="shared" si="2"/>
        <v>-</v>
      </c>
    </row>
    <row r="120" spans="1:8" ht="27" customHeight="1" x14ac:dyDescent="0.25">
      <c r="A120" s="79"/>
      <c r="B120" s="86" t="str">
        <f>IF(D120 &lt;&gt; "Paciente/Dia", "-", D120 &amp; COUNTIF( $D$7:D120, D120))</f>
        <v>-</v>
      </c>
      <c r="C120" s="35"/>
      <c r="D120" s="30"/>
      <c r="E120" s="31"/>
      <c r="F120" s="32"/>
      <c r="G120" s="80"/>
      <c r="H120" s="87" t="str">
        <f t="shared" si="2"/>
        <v>-</v>
      </c>
    </row>
    <row r="121" spans="1:8" ht="27" customHeight="1" x14ac:dyDescent="0.25">
      <c r="A121" s="79"/>
      <c r="B121" s="86" t="str">
        <f>IF(D121 &lt;&gt; "Paciente/Dia", "-", D121 &amp; COUNTIF( $D$7:D121, D121))</f>
        <v>-</v>
      </c>
      <c r="C121" s="35"/>
      <c r="D121" s="30"/>
      <c r="E121" s="31"/>
      <c r="F121" s="32"/>
      <c r="G121" s="80"/>
      <c r="H121" s="87" t="str">
        <f t="shared" si="2"/>
        <v>-</v>
      </c>
    </row>
    <row r="122" spans="1:8" ht="27" customHeight="1" x14ac:dyDescent="0.25">
      <c r="A122" s="79"/>
      <c r="B122" s="86" t="str">
        <f>IF(D122 &lt;&gt; "Paciente/Dia", "-", D122 &amp; COUNTIF( $D$7:D122, D122))</f>
        <v>-</v>
      </c>
      <c r="C122" s="35"/>
      <c r="D122" s="30"/>
      <c r="E122" s="31"/>
      <c r="F122" s="32"/>
      <c r="G122" s="80"/>
      <c r="H122" s="87" t="str">
        <f t="shared" si="2"/>
        <v>-</v>
      </c>
    </row>
    <row r="123" spans="1:8" ht="27" customHeight="1" x14ac:dyDescent="0.25">
      <c r="A123" s="79"/>
      <c r="B123" s="86" t="str">
        <f>IF(D123 &lt;&gt; "Paciente/Dia", "-", D123 &amp; COUNTIF( $D$7:D123, D123))</f>
        <v>-</v>
      </c>
      <c r="C123" s="35"/>
      <c r="D123" s="30"/>
      <c r="E123" s="31"/>
      <c r="F123" s="32"/>
      <c r="G123" s="80"/>
      <c r="H123" s="87" t="str">
        <f t="shared" si="2"/>
        <v>-</v>
      </c>
    </row>
    <row r="124" spans="1:8" ht="27" customHeight="1" x14ac:dyDescent="0.25">
      <c r="A124" s="79"/>
      <c r="B124" s="88" t="str">
        <f>IF(D124 &lt;&gt; "Paciente/Dia", "-", D124 &amp; COUNTIF( $D$7:D124, D124))</f>
        <v>-</v>
      </c>
      <c r="C124" s="35"/>
      <c r="D124" s="30"/>
      <c r="E124" s="31"/>
      <c r="F124" s="32"/>
      <c r="G124" s="80"/>
      <c r="H124" s="87" t="str">
        <f t="shared" si="2"/>
        <v>-</v>
      </c>
    </row>
    <row r="125" spans="1:8" ht="98.25" customHeight="1" x14ac:dyDescent="0.2">
      <c r="A125" s="80"/>
      <c r="B125" s="80"/>
      <c r="C125" s="80"/>
      <c r="D125" s="80"/>
      <c r="E125" s="80"/>
      <c r="F125" s="80"/>
      <c r="G125" s="80"/>
    </row>
  </sheetData>
  <sheetProtection algorithmName="SHA-512" hashValue="8YWNIYPcoM3on5SzFq7VvIg3bySRSsx4HD3rnD0RnRg+dRQytrKGla4qKMXTkQKxXJhNcVGzV9Wiq8DIq/N/wA==" saltValue="AhdWcXNw2L0XgZyP1MrL+Q==" spinCount="100000" sheet="1" objects="1" scenarios="1"/>
  <mergeCells count="2">
    <mergeCell ref="B1:B4"/>
    <mergeCell ref="C1:E1"/>
  </mergeCells>
  <conditionalFormatting sqref="C105:F124">
    <cfRule type="expression" dxfId="169" priority="21">
      <formula>AND($C105&lt;&gt; "Administrativo", $C105 &lt;&gt; "Intermediário", $C105 &lt;&gt; "Externo", $C105 &lt;&gt; "Final", ISTEXT($C105))</formula>
    </cfRule>
  </conditionalFormatting>
  <conditionalFormatting sqref="C105:F124">
    <cfRule type="expression" dxfId="168" priority="22">
      <formula>OR($C105= "Administrativo", $C105 = "Intermediário", $C105 = "Externo", $C105 = "Final")</formula>
    </cfRule>
  </conditionalFormatting>
  <conditionalFormatting sqref="C84:F104">
    <cfRule type="expression" dxfId="167" priority="9">
      <formula>AND($C84&lt;&gt; "Administrativo", $C84 &lt;&gt; "Intermediário", $C84 &lt;&gt; "Externo", $C84 &lt;&gt; "Final", ISTEXT($C84))</formula>
    </cfRule>
  </conditionalFormatting>
  <conditionalFormatting sqref="C84:F104">
    <cfRule type="expression" dxfId="166" priority="10">
      <formula>OR($C84= "Administrativo", $C84 = "Intermediário", $C84 = "Externo", $C84 = "Final")</formula>
    </cfRule>
  </conditionalFormatting>
  <conditionalFormatting sqref="C5">
    <cfRule type="containsText" dxfId="165" priority="8" stopIfTrue="1" operator="containsText" text="Centro de Custo">
      <formula>NOT(ISERROR(SEARCH("Centro de Custo",C5)))</formula>
    </cfRule>
  </conditionalFormatting>
  <conditionalFormatting sqref="D5">
    <cfRule type="containsText" dxfId="164" priority="7" stopIfTrue="1" operator="containsText" text="Item Produção">
      <formula>NOT(ISERROR(SEARCH("Item Produção",D5)))</formula>
    </cfRule>
  </conditionalFormatting>
  <conditionalFormatting sqref="E5">
    <cfRule type="containsText" dxfId="163" priority="6" stopIfTrue="1" operator="containsText" text="Quantidade">
      <formula>NOT(ISERROR(SEARCH("Quantidade",E5)))</formula>
    </cfRule>
  </conditionalFormatting>
  <conditionalFormatting sqref="F5">
    <cfRule type="containsText" dxfId="162" priority="5" stopIfTrue="1" operator="containsText" text="Valor Médio Unitário">
      <formula>NOT(ISERROR(SEARCH("Valor Médio Unitário",F5)))</formula>
    </cfRule>
  </conditionalFormatting>
  <conditionalFormatting sqref="C8:F124">
    <cfRule type="expression" dxfId="161" priority="3" stopIfTrue="1">
      <formula>AND($C8&lt;&gt; "Administrativo", $C8 &lt;&gt; "Intermediário", $C8 &lt;&gt; "Externo", $C8 &lt;&gt; "Final", ISTEXT($C8))</formula>
    </cfRule>
  </conditionalFormatting>
  <conditionalFormatting sqref="C7:F124">
    <cfRule type="expression" dxfId="160" priority="4" stopIfTrue="1">
      <formula>OR($C7= "Administrativo", $C7 = "Intermediário", $C7 = "Externo", $C7 = "Final")</formula>
    </cfRule>
  </conditionalFormatting>
  <conditionalFormatting sqref="C7:F7">
    <cfRule type="expression" dxfId="159" priority="2" stopIfTrue="1">
      <formula>AND($C7&lt;&gt; "Administrativo", $C7 &lt;&gt; "Intermediário", $C7 &lt;&gt; "Externo", $C7 &lt;&gt; "Final", ISTEXT($C7))</formula>
    </cfRule>
  </conditionalFormatting>
  <conditionalFormatting sqref="C7:F7">
    <cfRule type="expression" dxfId="158" priority="1" stopIfTrue="1">
      <formula>AND($C7&lt;&gt; "Administrativo", $C7 &lt;&gt; "Intermediário", $C7 &lt;&gt; "Externo", $C7 &lt;&gt; "Final", ISTEXT($C7))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3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8">
    <tabColor theme="8" tint="0.59999389629810485"/>
  </sheetPr>
  <dimension ref="A1:H125"/>
  <sheetViews>
    <sheetView showGridLines="0" showRowColHeaders="0" zoomScale="85" zoomScaleNormal="85" zoomScaleSheetLayoutView="120" workbookViewId="0">
      <pane xSplit="8" ySplit="5" topLeftCell="I6" activePane="bottomRight" state="frozen"/>
      <selection activeCell="C125" sqref="C125"/>
      <selection pane="topRight" activeCell="C125" sqref="C125"/>
      <selection pane="bottomLeft" activeCell="C125" sqref="C125"/>
      <selection pane="bottomRight" activeCell="C7" sqref="C7"/>
    </sheetView>
  </sheetViews>
  <sheetFormatPr defaultColWidth="8.88671875" defaultRowHeight="15" x14ac:dyDescent="0.2"/>
  <cols>
    <col min="1" max="1" width="20.77734375" style="78" customWidth="1"/>
    <col min="2" max="2" width="13.77734375" style="78" hidden="1" customWidth="1"/>
    <col min="3" max="3" width="74.21875" style="78" customWidth="1"/>
    <col min="4" max="4" width="25.21875" style="78" customWidth="1"/>
    <col min="5" max="5" width="12" style="78" customWidth="1"/>
    <col min="6" max="6" width="14.109375" style="78" customWidth="1"/>
    <col min="7" max="7" width="23.77734375" style="78" customWidth="1"/>
    <col min="8" max="8" width="9.21875" style="78" hidden="1" customWidth="1"/>
    <col min="9" max="9" width="8.88671875" style="78" customWidth="1"/>
    <col min="10" max="10" width="24.77734375" style="78" customWidth="1"/>
    <col min="11" max="16384" width="8.88671875" style="78"/>
  </cols>
  <sheetData>
    <row r="1" spans="1:8" ht="45.95" customHeight="1" x14ac:dyDescent="0.25">
      <c r="A1" s="79"/>
      <c r="B1" s="418" t="s">
        <v>5</v>
      </c>
      <c r="C1" s="421" t="s">
        <v>194</v>
      </c>
      <c r="D1" s="422"/>
      <c r="E1" s="422"/>
      <c r="F1" s="362" t="str">
        <f>IF(C6="", "", UPPER(TEXT(C6, "MMM-AA")))</f>
        <v>FEV-25</v>
      </c>
      <c r="G1" s="80"/>
      <c r="H1" s="81"/>
    </row>
    <row r="2" spans="1:8" ht="15.75" customHeight="1" x14ac:dyDescent="0.25">
      <c r="A2" s="79"/>
      <c r="B2" s="419"/>
      <c r="C2" s="23" t="s">
        <v>323</v>
      </c>
      <c r="D2" s="23"/>
      <c r="E2" s="23"/>
      <c r="F2" s="23"/>
      <c r="G2" s="80"/>
      <c r="H2" s="82"/>
    </row>
    <row r="3" spans="1:8" ht="15.75" customHeight="1" x14ac:dyDescent="0.25">
      <c r="A3" s="79"/>
      <c r="B3" s="419"/>
      <c r="C3" s="303" t="s">
        <v>15</v>
      </c>
      <c r="D3" s="25"/>
      <c r="E3" s="25"/>
      <c r="F3" s="26"/>
      <c r="G3" s="80"/>
      <c r="H3" s="82"/>
    </row>
    <row r="4" spans="1:8" ht="15.95" customHeight="1" x14ac:dyDescent="0.25">
      <c r="A4" s="79"/>
      <c r="B4" s="420"/>
      <c r="C4" s="287" t="s">
        <v>354</v>
      </c>
      <c r="D4" s="24"/>
      <c r="E4" s="24"/>
      <c r="F4" s="26"/>
      <c r="G4" s="80"/>
      <c r="H4" s="82"/>
    </row>
    <row r="5" spans="1:8" ht="27" customHeight="1" x14ac:dyDescent="0.25">
      <c r="A5" s="79"/>
      <c r="B5" s="83" t="s">
        <v>6</v>
      </c>
      <c r="C5" s="27" t="s">
        <v>15</v>
      </c>
      <c r="D5" s="27" t="s">
        <v>334</v>
      </c>
      <c r="E5" s="27" t="s">
        <v>16</v>
      </c>
      <c r="F5" s="28" t="s">
        <v>17</v>
      </c>
      <c r="G5" s="80"/>
      <c r="H5" s="82"/>
    </row>
    <row r="6" spans="1:8" ht="29.25" hidden="1" customHeight="1" x14ac:dyDescent="0.2">
      <c r="A6" s="84" t="s">
        <v>18</v>
      </c>
      <c r="B6" s="85" t="s">
        <v>3</v>
      </c>
      <c r="C6" s="34">
        <v>45689</v>
      </c>
      <c r="D6" s="25"/>
      <c r="E6" s="25"/>
      <c r="F6" s="29"/>
      <c r="G6" s="80"/>
      <c r="H6" s="82"/>
    </row>
    <row r="7" spans="1:8" ht="27" customHeight="1" x14ac:dyDescent="0.25">
      <c r="A7" s="79"/>
      <c r="B7" s="86" t="str">
        <f>IF(D7 &lt;&gt; "Paciente/Dia", "-", D7 &amp; COUNTIF( $D$7:D7, D7))</f>
        <v>-</v>
      </c>
      <c r="C7" s="35" t="s">
        <v>335</v>
      </c>
      <c r="D7" s="30"/>
      <c r="E7" s="31"/>
      <c r="F7" s="32"/>
      <c r="G7" s="80"/>
      <c r="H7" s="87" t="str">
        <f t="shared" ref="H7:H19" si="0">IF(OR(
C7="ADMINISTRATIVO",
C7="INTERMEDIÁRIO",
C7="EXTERNO",
C7="FINAL"),"GRUPO","-")</f>
        <v>GRUPO</v>
      </c>
    </row>
    <row r="8" spans="1:8" ht="27" customHeight="1" x14ac:dyDescent="0.25">
      <c r="A8" s="79"/>
      <c r="B8" s="86" t="str">
        <f>IF(D8 &lt;&gt; "Paciente/Dia", "-", D8 &amp; COUNTIF( $D$7:D8, D8))</f>
        <v>-</v>
      </c>
      <c r="C8" s="35" t="s">
        <v>336</v>
      </c>
      <c r="D8" s="30" t="s">
        <v>255</v>
      </c>
      <c r="E8" s="31">
        <v>1</v>
      </c>
      <c r="F8" s="32">
        <v>69383.240000000005</v>
      </c>
      <c r="G8" s="80"/>
      <c r="H8" s="87" t="str">
        <f t="shared" si="0"/>
        <v>-</v>
      </c>
    </row>
    <row r="9" spans="1:8" ht="27" customHeight="1" x14ac:dyDescent="0.25">
      <c r="A9" s="79"/>
      <c r="B9" s="86" t="str">
        <f>IF(D9 &lt;&gt; "Paciente/Dia", "-", D9 &amp; COUNTIF( $D$7:D9, D9))</f>
        <v>-</v>
      </c>
      <c r="C9" s="35" t="s">
        <v>337</v>
      </c>
      <c r="D9" s="30"/>
      <c r="E9" s="31"/>
      <c r="F9" s="32"/>
      <c r="G9" s="80"/>
      <c r="H9" s="87" t="str">
        <f t="shared" si="0"/>
        <v>GRUPO</v>
      </c>
    </row>
    <row r="10" spans="1:8" ht="27" customHeight="1" x14ac:dyDescent="0.25">
      <c r="A10" s="79"/>
      <c r="B10" s="86" t="str">
        <f>IF(D10 &lt;&gt; "Paciente/Dia", "-", D10 &amp; COUNTIF( $D$7:D10, D10))</f>
        <v>-</v>
      </c>
      <c r="C10" s="35" t="s">
        <v>338</v>
      </c>
      <c r="D10" s="30" t="s">
        <v>255</v>
      </c>
      <c r="E10" s="31">
        <v>204</v>
      </c>
      <c r="F10" s="32">
        <v>110.32</v>
      </c>
      <c r="G10" s="80"/>
      <c r="H10" s="87" t="str">
        <f t="shared" si="0"/>
        <v>-</v>
      </c>
    </row>
    <row r="11" spans="1:8" ht="27" customHeight="1" x14ac:dyDescent="0.25">
      <c r="A11" s="79"/>
      <c r="B11" s="86" t="str">
        <f>IF(D11 &lt;&gt; "Paciente/Dia", "-", D11 &amp; COUNTIF( $D$7:D11, D11))</f>
        <v>-</v>
      </c>
      <c r="C11" s="35" t="s">
        <v>339</v>
      </c>
      <c r="D11" s="30" t="s">
        <v>255</v>
      </c>
      <c r="E11" s="31">
        <v>566</v>
      </c>
      <c r="F11" s="32">
        <v>217.18</v>
      </c>
      <c r="G11" s="80"/>
      <c r="H11" s="87" t="str">
        <f t="shared" si="0"/>
        <v>-</v>
      </c>
    </row>
    <row r="12" spans="1:8" ht="27" customHeight="1" x14ac:dyDescent="0.25">
      <c r="A12" s="79"/>
      <c r="B12" s="86" t="str">
        <f>IF(D12 &lt;&gt; "Paciente/Dia", "-", D12 &amp; COUNTIF( $D$7:D12, D12))</f>
        <v>-</v>
      </c>
      <c r="C12" s="35" t="s">
        <v>340</v>
      </c>
      <c r="D12" s="30" t="s">
        <v>255</v>
      </c>
      <c r="E12" s="31">
        <v>881</v>
      </c>
      <c r="F12" s="32">
        <v>141.37</v>
      </c>
      <c r="G12" s="80"/>
      <c r="H12" s="87" t="str">
        <f t="shared" si="0"/>
        <v>-</v>
      </c>
    </row>
    <row r="13" spans="1:8" ht="27" customHeight="1" x14ac:dyDescent="0.25">
      <c r="A13" s="79"/>
      <c r="B13" s="86" t="str">
        <f>IF(D13 &lt;&gt; "Paciente/Dia", "-", D13 &amp; COUNTIF( $D$7:D13, D13))</f>
        <v>-</v>
      </c>
      <c r="C13" s="35" t="s">
        <v>341</v>
      </c>
      <c r="D13" s="30" t="s">
        <v>255</v>
      </c>
      <c r="E13" s="31">
        <v>1601</v>
      </c>
      <c r="F13" s="32">
        <v>245.56</v>
      </c>
      <c r="G13" s="80"/>
      <c r="H13" s="87" t="str">
        <f t="shared" si="0"/>
        <v>-</v>
      </c>
    </row>
    <row r="14" spans="1:8" ht="27" customHeight="1" x14ac:dyDescent="0.25">
      <c r="A14" s="79"/>
      <c r="B14" s="86" t="str">
        <f>IF(D14 &lt;&gt; "Paciente/Dia", "-", D14 &amp; COUNTIF( $D$7:D14, D14))</f>
        <v>-</v>
      </c>
      <c r="C14" s="35" t="s">
        <v>342</v>
      </c>
      <c r="D14" s="30" t="s">
        <v>255</v>
      </c>
      <c r="E14" s="31">
        <v>31</v>
      </c>
      <c r="F14" s="32">
        <v>909.85</v>
      </c>
      <c r="G14" s="80"/>
      <c r="H14" s="87" t="str">
        <f t="shared" si="0"/>
        <v>-</v>
      </c>
    </row>
    <row r="15" spans="1:8" ht="27" customHeight="1" x14ac:dyDescent="0.25">
      <c r="A15" s="79"/>
      <c r="B15" s="86" t="str">
        <f>IF(D15 &lt;&gt; "Paciente/Dia", "-", D15 &amp; COUNTIF( $D$7:D15, D15))</f>
        <v>-</v>
      </c>
      <c r="C15" s="35" t="s">
        <v>343</v>
      </c>
      <c r="D15" s="30" t="s">
        <v>255</v>
      </c>
      <c r="E15" s="31">
        <v>384</v>
      </c>
      <c r="F15" s="32">
        <v>227.29</v>
      </c>
      <c r="G15" s="80"/>
      <c r="H15" s="87" t="str">
        <f t="shared" si="0"/>
        <v>-</v>
      </c>
    </row>
    <row r="16" spans="1:8" ht="27" customHeight="1" x14ac:dyDescent="0.25">
      <c r="A16" s="79"/>
      <c r="B16" s="86" t="str">
        <f>IF(D16 &lt;&gt; "Paciente/Dia", "-", D16 &amp; COUNTIF( $D$7:D16, D16))</f>
        <v>-</v>
      </c>
      <c r="C16" s="35" t="s">
        <v>344</v>
      </c>
      <c r="D16" s="30" t="s">
        <v>255</v>
      </c>
      <c r="E16" s="31">
        <v>146</v>
      </c>
      <c r="F16" s="32">
        <v>122.03</v>
      </c>
      <c r="G16" s="80"/>
      <c r="H16" s="87" t="str">
        <f t="shared" si="0"/>
        <v>-</v>
      </c>
    </row>
    <row r="17" spans="1:8" ht="27" customHeight="1" x14ac:dyDescent="0.25">
      <c r="A17" s="79"/>
      <c r="B17" s="86" t="str">
        <f>IF(D17 &lt;&gt; "Paciente/Dia", "-", D17 &amp; COUNTIF( $D$7:D17, D17))</f>
        <v>-</v>
      </c>
      <c r="C17" s="35" t="s">
        <v>345</v>
      </c>
      <c r="D17" s="30" t="s">
        <v>255</v>
      </c>
      <c r="E17" s="31">
        <v>646</v>
      </c>
      <c r="F17" s="32">
        <v>105.72</v>
      </c>
      <c r="G17" s="80"/>
      <c r="H17" s="87" t="str">
        <f t="shared" si="0"/>
        <v>-</v>
      </c>
    </row>
    <row r="18" spans="1:8" ht="27" customHeight="1" x14ac:dyDescent="0.25">
      <c r="A18" s="79"/>
      <c r="B18" s="86" t="str">
        <f>IF(D18 &lt;&gt; "Paciente/Dia", "-", D18 &amp; COUNTIF( $D$7:D18, D18))</f>
        <v>-</v>
      </c>
      <c r="C18" s="35" t="s">
        <v>346</v>
      </c>
      <c r="D18" s="30" t="s">
        <v>255</v>
      </c>
      <c r="E18" s="31">
        <v>38</v>
      </c>
      <c r="F18" s="32">
        <v>568.04999999999995</v>
      </c>
      <c r="G18" s="80"/>
      <c r="H18" s="87" t="str">
        <f t="shared" si="0"/>
        <v>-</v>
      </c>
    </row>
    <row r="19" spans="1:8" ht="27" customHeight="1" x14ac:dyDescent="0.25">
      <c r="A19" s="79"/>
      <c r="B19" s="86" t="str">
        <f>IF(D19 &lt;&gt; "Paciente/Dia", "-", D19 &amp; COUNTIF( $D$7:D19, D19))</f>
        <v>-</v>
      </c>
      <c r="C19" s="35" t="s">
        <v>347</v>
      </c>
      <c r="D19" s="30" t="s">
        <v>255</v>
      </c>
      <c r="E19" s="31">
        <v>322</v>
      </c>
      <c r="F19" s="32">
        <v>323.63</v>
      </c>
      <c r="G19" s="80"/>
      <c r="H19" s="87" t="str">
        <f t="shared" si="0"/>
        <v>-</v>
      </c>
    </row>
    <row r="20" spans="1:8" ht="27" customHeight="1" x14ac:dyDescent="0.25">
      <c r="A20" s="79"/>
      <c r="B20" s="86" t="str">
        <f>IF(D20 &lt;&gt; "Paciente/Dia", "-", D20 &amp; COUNTIF( $D$7:D20, D20))</f>
        <v>-</v>
      </c>
      <c r="C20" s="35" t="s">
        <v>348</v>
      </c>
      <c r="D20" s="30" t="s">
        <v>255</v>
      </c>
      <c r="E20" s="31">
        <v>89</v>
      </c>
      <c r="F20" s="32">
        <v>365.51</v>
      </c>
      <c r="G20" s="80"/>
      <c r="H20" s="87" t="str">
        <f t="shared" ref="H20:H36" si="1">IF(OR(
C20="ADMINISTRATIVO",
C20="INTERMEDIÁRIO",
C20="EXTERNO",
C20="FINAL"),"GRUPO","-")</f>
        <v>-</v>
      </c>
    </row>
    <row r="21" spans="1:8" ht="27" customHeight="1" x14ac:dyDescent="0.25">
      <c r="A21" s="79"/>
      <c r="B21" s="86" t="str">
        <f>IF(D21 &lt;&gt; "Paciente/Dia", "-", D21 &amp; COUNTIF( $D$7:D21, D21))</f>
        <v>-</v>
      </c>
      <c r="C21" s="35" t="s">
        <v>349</v>
      </c>
      <c r="D21" s="30" t="s">
        <v>255</v>
      </c>
      <c r="E21" s="31">
        <v>108</v>
      </c>
      <c r="F21" s="32">
        <v>365.46</v>
      </c>
      <c r="G21" s="80"/>
      <c r="H21" s="87" t="str">
        <f t="shared" si="1"/>
        <v>-</v>
      </c>
    </row>
    <row r="22" spans="1:8" ht="27" customHeight="1" x14ac:dyDescent="0.25">
      <c r="A22" s="79"/>
      <c r="B22" s="86" t="str">
        <f>IF(D22 &lt;&gt; "Paciente/Dia", "-", D22 &amp; COUNTIF( $D$7:D22, D22))</f>
        <v>-</v>
      </c>
      <c r="C22" s="35" t="s">
        <v>350</v>
      </c>
      <c r="D22" s="30" t="s">
        <v>255</v>
      </c>
      <c r="E22" s="31">
        <v>60</v>
      </c>
      <c r="F22" s="32">
        <v>446.63</v>
      </c>
      <c r="G22" s="80"/>
      <c r="H22" s="87" t="str">
        <f t="shared" si="1"/>
        <v>-</v>
      </c>
    </row>
    <row r="23" spans="1:8" ht="27" customHeight="1" x14ac:dyDescent="0.25">
      <c r="A23" s="79"/>
      <c r="B23" s="86" t="str">
        <f>IF(D23 &lt;&gt; "Paciente/Dia", "-", D23 &amp; COUNTIF( $D$7:D23, D23))</f>
        <v>-</v>
      </c>
      <c r="C23" s="35" t="s">
        <v>351</v>
      </c>
      <c r="D23" s="30" t="s">
        <v>255</v>
      </c>
      <c r="E23" s="31">
        <v>84</v>
      </c>
      <c r="F23" s="32">
        <v>238.7</v>
      </c>
      <c r="G23" s="80"/>
      <c r="H23" s="87" t="str">
        <f t="shared" si="1"/>
        <v>-</v>
      </c>
    </row>
    <row r="24" spans="1:8" ht="27" customHeight="1" x14ac:dyDescent="0.25">
      <c r="A24" s="79"/>
      <c r="B24" s="86" t="str">
        <f>IF(D24 &lt;&gt; "Paciente/Dia", "-", D24 &amp; COUNTIF( $D$7:D24, D24))</f>
        <v>-</v>
      </c>
      <c r="C24" s="35" t="s">
        <v>352</v>
      </c>
      <c r="D24" s="30" t="s">
        <v>255</v>
      </c>
      <c r="E24" s="31">
        <v>2612</v>
      </c>
      <c r="F24" s="32">
        <v>227.04</v>
      </c>
      <c r="G24" s="80"/>
      <c r="H24" s="87" t="str">
        <f t="shared" si="1"/>
        <v>-</v>
      </c>
    </row>
    <row r="25" spans="1:8" ht="27" customHeight="1" x14ac:dyDescent="0.25">
      <c r="A25" s="79"/>
      <c r="B25" s="86" t="str">
        <f>IF(D25 &lt;&gt; "Paciente/Dia", "-", D25 &amp; COUNTIF( $D$7:D25, D25))</f>
        <v>-</v>
      </c>
      <c r="C25" s="35" t="s">
        <v>353</v>
      </c>
      <c r="D25" s="30" t="s">
        <v>307</v>
      </c>
      <c r="E25" s="31">
        <v>187</v>
      </c>
      <c r="F25" s="32">
        <v>312.18</v>
      </c>
      <c r="G25" s="80"/>
      <c r="H25" s="87" t="str">
        <f t="shared" si="1"/>
        <v>-</v>
      </c>
    </row>
    <row r="26" spans="1:8" ht="27" customHeight="1" x14ac:dyDescent="0.25">
      <c r="A26" s="79"/>
      <c r="B26" s="86" t="str">
        <f>IF(D26 &lt;&gt; "Paciente/Dia", "-", D26 &amp; COUNTIF( $D$7:D26, D26))</f>
        <v>-</v>
      </c>
      <c r="C26" s="35"/>
      <c r="D26" s="30"/>
      <c r="E26" s="31"/>
      <c r="F26" s="32"/>
      <c r="G26" s="80"/>
      <c r="H26" s="87" t="str">
        <f t="shared" si="1"/>
        <v>-</v>
      </c>
    </row>
    <row r="27" spans="1:8" ht="27" customHeight="1" x14ac:dyDescent="0.25">
      <c r="A27" s="79"/>
      <c r="B27" s="86" t="str">
        <f>IF(D27 &lt;&gt; "Paciente/Dia", "-", D27 &amp; COUNTIF( $D$7:D27, D27))</f>
        <v>-</v>
      </c>
      <c r="C27" s="35"/>
      <c r="D27" s="30"/>
      <c r="E27" s="31"/>
      <c r="F27" s="32"/>
      <c r="G27" s="80"/>
      <c r="H27" s="87" t="str">
        <f t="shared" si="1"/>
        <v>-</v>
      </c>
    </row>
    <row r="28" spans="1:8" ht="27" customHeight="1" x14ac:dyDescent="0.25">
      <c r="A28" s="79"/>
      <c r="B28" s="86" t="str">
        <f>IF(D28 &lt;&gt; "Paciente/Dia", "-", D28 &amp; COUNTIF( $D$7:D28, D28))</f>
        <v>-</v>
      </c>
      <c r="C28" s="35"/>
      <c r="D28" s="30"/>
      <c r="E28" s="31"/>
      <c r="F28" s="32"/>
      <c r="G28" s="80"/>
      <c r="H28" s="87" t="str">
        <f t="shared" si="1"/>
        <v>-</v>
      </c>
    </row>
    <row r="29" spans="1:8" ht="27" customHeight="1" x14ac:dyDescent="0.25">
      <c r="A29" s="79"/>
      <c r="B29" s="86" t="str">
        <f>IF(D29 &lt;&gt; "Paciente/Dia", "-", D29 &amp; COUNTIF( $D$7:D29, D29))</f>
        <v>-</v>
      </c>
      <c r="C29" s="35"/>
      <c r="D29" s="30"/>
      <c r="E29" s="31"/>
      <c r="F29" s="32"/>
      <c r="G29" s="80"/>
      <c r="H29" s="87" t="str">
        <f t="shared" si="1"/>
        <v>-</v>
      </c>
    </row>
    <row r="30" spans="1:8" ht="27" customHeight="1" x14ac:dyDescent="0.25">
      <c r="A30" s="79"/>
      <c r="B30" s="86" t="str">
        <f>IF(D30 &lt;&gt; "Paciente/Dia", "-", D30 &amp; COUNTIF( $D$7:D30, D30))</f>
        <v>-</v>
      </c>
      <c r="C30" s="35"/>
      <c r="D30" s="30"/>
      <c r="E30" s="31"/>
      <c r="F30" s="32"/>
      <c r="G30" s="80"/>
      <c r="H30" s="87" t="str">
        <f t="shared" si="1"/>
        <v>-</v>
      </c>
    </row>
    <row r="31" spans="1:8" ht="27" customHeight="1" x14ac:dyDescent="0.25">
      <c r="A31" s="79"/>
      <c r="B31" s="86" t="str">
        <f>IF(D31 &lt;&gt; "Paciente/Dia", "-", D31 &amp; COUNTIF( $D$7:D31, D31))</f>
        <v>-</v>
      </c>
      <c r="C31" s="35"/>
      <c r="D31" s="30"/>
      <c r="E31" s="31"/>
      <c r="F31" s="32"/>
      <c r="G31" s="80"/>
      <c r="H31" s="87" t="str">
        <f t="shared" si="1"/>
        <v>-</v>
      </c>
    </row>
    <row r="32" spans="1:8" ht="27" customHeight="1" x14ac:dyDescent="0.25">
      <c r="A32" s="79"/>
      <c r="B32" s="86" t="str">
        <f>IF(D32 &lt;&gt; "Paciente/Dia", "-", D32 &amp; COUNTIF( $D$7:D32, D32))</f>
        <v>-</v>
      </c>
      <c r="C32" s="35"/>
      <c r="D32" s="30"/>
      <c r="E32" s="31"/>
      <c r="F32" s="32"/>
      <c r="G32" s="80"/>
      <c r="H32" s="87" t="str">
        <f t="shared" si="1"/>
        <v>-</v>
      </c>
    </row>
    <row r="33" spans="1:8" ht="27" customHeight="1" x14ac:dyDescent="0.25">
      <c r="A33" s="79"/>
      <c r="B33" s="86" t="str">
        <f>IF(D33 &lt;&gt; "Paciente/Dia", "-", D33 &amp; COUNTIF( $D$7:D33, D33))</f>
        <v>-</v>
      </c>
      <c r="C33" s="35"/>
      <c r="D33" s="30"/>
      <c r="E33" s="31"/>
      <c r="F33" s="32"/>
      <c r="G33" s="80"/>
      <c r="H33" s="87" t="str">
        <f t="shared" si="1"/>
        <v>-</v>
      </c>
    </row>
    <row r="34" spans="1:8" ht="27" customHeight="1" x14ac:dyDescent="0.25">
      <c r="A34" s="79"/>
      <c r="B34" s="86" t="str">
        <f>IF(D34 &lt;&gt; "Paciente/Dia", "-", D34 &amp; COUNTIF( $D$7:D34, D34))</f>
        <v>-</v>
      </c>
      <c r="C34" s="35"/>
      <c r="D34" s="30"/>
      <c r="E34" s="31"/>
      <c r="F34" s="32"/>
      <c r="G34" s="80"/>
      <c r="H34" s="87" t="str">
        <f t="shared" si="1"/>
        <v>-</v>
      </c>
    </row>
    <row r="35" spans="1:8" ht="27" customHeight="1" x14ac:dyDescent="0.25">
      <c r="A35" s="79"/>
      <c r="B35" s="86" t="str">
        <f>IF(D35 &lt;&gt; "Paciente/Dia", "-", D35 &amp; COUNTIF( $D$7:D35, D35))</f>
        <v>-</v>
      </c>
      <c r="C35" s="35"/>
      <c r="D35" s="30"/>
      <c r="E35" s="31"/>
      <c r="F35" s="32"/>
      <c r="G35" s="80"/>
      <c r="H35" s="87" t="str">
        <f t="shared" si="1"/>
        <v>-</v>
      </c>
    </row>
    <row r="36" spans="1:8" ht="27" customHeight="1" x14ac:dyDescent="0.25">
      <c r="A36" s="79"/>
      <c r="B36" s="86" t="str">
        <f>IF(D36 &lt;&gt; "Paciente/Dia", "-", D36 &amp; COUNTIF( $D$7:D36, D36))</f>
        <v>-</v>
      </c>
      <c r="C36" s="35"/>
      <c r="D36" s="30"/>
      <c r="E36" s="31"/>
      <c r="F36" s="32"/>
      <c r="G36" s="80"/>
      <c r="H36" s="87" t="str">
        <f t="shared" si="1"/>
        <v>-</v>
      </c>
    </row>
    <row r="37" spans="1:8" ht="27" customHeight="1" x14ac:dyDescent="0.25">
      <c r="A37" s="79"/>
      <c r="B37" s="86" t="str">
        <f>IF(D37 &lt;&gt; "Paciente/Dia", "-", D37 &amp; COUNTIF( $D$7:D37, D37))</f>
        <v>-</v>
      </c>
      <c r="C37" s="35"/>
      <c r="D37" s="30"/>
      <c r="E37" s="31"/>
      <c r="F37" s="32"/>
      <c r="G37" s="80"/>
      <c r="H37" s="87" t="str">
        <f t="shared" ref="H37:H71" si="2">IF(OR(
C37="ADMINISTRATIVO",
C37="INTERMEDIÁRIO",
C37="EXTERNO",
C37="FINAL"),"GRUPO","-")</f>
        <v>-</v>
      </c>
    </row>
    <row r="38" spans="1:8" ht="27" customHeight="1" x14ac:dyDescent="0.25">
      <c r="A38" s="79"/>
      <c r="B38" s="86" t="str">
        <f>IF(D38 &lt;&gt; "Paciente/Dia", "-", D38 &amp; COUNTIF( $D$7:D38, D38))</f>
        <v>-</v>
      </c>
      <c r="C38" s="35"/>
      <c r="D38" s="30"/>
      <c r="E38" s="31"/>
      <c r="F38" s="32"/>
      <c r="G38" s="80"/>
      <c r="H38" s="87" t="str">
        <f t="shared" si="2"/>
        <v>-</v>
      </c>
    </row>
    <row r="39" spans="1:8" ht="27" customHeight="1" x14ac:dyDescent="0.25">
      <c r="A39" s="79"/>
      <c r="B39" s="86" t="str">
        <f>IF(D39 &lt;&gt; "Paciente/Dia", "-", D39 &amp; COUNTIF( $D$7:D39, D39))</f>
        <v>-</v>
      </c>
      <c r="C39" s="35"/>
      <c r="D39" s="30"/>
      <c r="E39" s="31"/>
      <c r="F39" s="32"/>
      <c r="G39" s="80"/>
      <c r="H39" s="87" t="str">
        <f t="shared" si="2"/>
        <v>-</v>
      </c>
    </row>
    <row r="40" spans="1:8" ht="27" customHeight="1" x14ac:dyDescent="0.25">
      <c r="A40" s="79"/>
      <c r="B40" s="86" t="str">
        <f>IF(D40 &lt;&gt; "Paciente/Dia", "-", D40 &amp; COUNTIF( $D$7:D40, D40))</f>
        <v>-</v>
      </c>
      <c r="C40" s="35"/>
      <c r="D40" s="30"/>
      <c r="E40" s="31"/>
      <c r="F40" s="32"/>
      <c r="G40" s="80"/>
      <c r="H40" s="87" t="str">
        <f t="shared" si="2"/>
        <v>-</v>
      </c>
    </row>
    <row r="41" spans="1:8" ht="27" customHeight="1" x14ac:dyDescent="0.25">
      <c r="A41" s="79"/>
      <c r="B41" s="86" t="str">
        <f>IF(D41 &lt;&gt; "Paciente/Dia", "-", D41 &amp; COUNTIF( $D$7:D41, D41))</f>
        <v>-</v>
      </c>
      <c r="C41" s="35"/>
      <c r="D41" s="30"/>
      <c r="E41" s="31"/>
      <c r="F41" s="32"/>
      <c r="G41" s="80"/>
      <c r="H41" s="87" t="str">
        <f t="shared" si="2"/>
        <v>-</v>
      </c>
    </row>
    <row r="42" spans="1:8" ht="27" customHeight="1" x14ac:dyDescent="0.25">
      <c r="A42" s="79"/>
      <c r="B42" s="86" t="str">
        <f>IF(D42 &lt;&gt; "Paciente/Dia", "-", D42 &amp; COUNTIF( $D$7:D42, D42))</f>
        <v>-</v>
      </c>
      <c r="C42" s="35"/>
      <c r="D42" s="30"/>
      <c r="E42" s="31"/>
      <c r="F42" s="32"/>
      <c r="G42" s="80"/>
      <c r="H42" s="87" t="str">
        <f t="shared" si="2"/>
        <v>-</v>
      </c>
    </row>
    <row r="43" spans="1:8" ht="27" customHeight="1" x14ac:dyDescent="0.25">
      <c r="A43" s="79"/>
      <c r="B43" s="86" t="str">
        <f>IF(D43 &lt;&gt; "Paciente/Dia", "-", D43 &amp; COUNTIF( $D$7:D43, D43))</f>
        <v>-</v>
      </c>
      <c r="C43" s="35"/>
      <c r="D43" s="30"/>
      <c r="E43" s="31"/>
      <c r="F43" s="32"/>
      <c r="G43" s="80"/>
      <c r="H43" s="87" t="str">
        <f t="shared" si="2"/>
        <v>-</v>
      </c>
    </row>
    <row r="44" spans="1:8" ht="27" customHeight="1" x14ac:dyDescent="0.25">
      <c r="A44" s="79"/>
      <c r="B44" s="86" t="str">
        <f>IF(D44 &lt;&gt; "Paciente/Dia", "-", D44 &amp; COUNTIF( $D$7:D44, D44))</f>
        <v>-</v>
      </c>
      <c r="C44" s="35"/>
      <c r="D44" s="30"/>
      <c r="E44" s="31"/>
      <c r="F44" s="32"/>
      <c r="G44" s="80"/>
      <c r="H44" s="87" t="str">
        <f t="shared" si="2"/>
        <v>-</v>
      </c>
    </row>
    <row r="45" spans="1:8" ht="27" customHeight="1" x14ac:dyDescent="0.25">
      <c r="A45" s="79"/>
      <c r="B45" s="86" t="str">
        <f>IF(D45 &lt;&gt; "Paciente/Dia", "-", D45 &amp; COUNTIF( $D$7:D45, D45))</f>
        <v>-</v>
      </c>
      <c r="C45" s="35"/>
      <c r="D45" s="30"/>
      <c r="E45" s="31"/>
      <c r="F45" s="32"/>
      <c r="G45" s="80"/>
      <c r="H45" s="87" t="str">
        <f t="shared" si="2"/>
        <v>-</v>
      </c>
    </row>
    <row r="46" spans="1:8" ht="27" customHeight="1" x14ac:dyDescent="0.25">
      <c r="A46" s="79"/>
      <c r="B46" s="86" t="str">
        <f>IF(D46 &lt;&gt; "Paciente/Dia", "-", D46 &amp; COUNTIF( $D$7:D46, D46))</f>
        <v>-</v>
      </c>
      <c r="C46" s="35"/>
      <c r="D46" s="30"/>
      <c r="E46" s="31"/>
      <c r="F46" s="32"/>
      <c r="G46" s="80"/>
      <c r="H46" s="87" t="str">
        <f t="shared" si="2"/>
        <v>-</v>
      </c>
    </row>
    <row r="47" spans="1:8" ht="27" customHeight="1" x14ac:dyDescent="0.25">
      <c r="A47" s="79"/>
      <c r="B47" s="86" t="str">
        <f>IF(D47 &lt;&gt; "Paciente/Dia", "-", D47 &amp; COUNTIF( $D$7:D47, D47))</f>
        <v>-</v>
      </c>
      <c r="C47" s="35"/>
      <c r="D47" s="30"/>
      <c r="E47" s="31"/>
      <c r="F47" s="32"/>
      <c r="G47" s="80"/>
      <c r="H47" s="87" t="str">
        <f t="shared" si="2"/>
        <v>-</v>
      </c>
    </row>
    <row r="48" spans="1:8" ht="27" customHeight="1" x14ac:dyDescent="0.25">
      <c r="A48" s="79"/>
      <c r="B48" s="86" t="str">
        <f>IF(D48 &lt;&gt; "Paciente/Dia", "-", D48 &amp; COUNTIF( $D$7:D48, D48))</f>
        <v>-</v>
      </c>
      <c r="C48" s="35"/>
      <c r="D48" s="30"/>
      <c r="E48" s="31"/>
      <c r="F48" s="32"/>
      <c r="G48" s="80"/>
      <c r="H48" s="87" t="str">
        <f t="shared" si="2"/>
        <v>-</v>
      </c>
    </row>
    <row r="49" spans="1:8" ht="27" customHeight="1" x14ac:dyDescent="0.25">
      <c r="A49" s="79"/>
      <c r="B49" s="86" t="str">
        <f>IF(D49 &lt;&gt; "Paciente/Dia", "-", D49 &amp; COUNTIF( $D$7:D49, D49))</f>
        <v>-</v>
      </c>
      <c r="C49" s="35"/>
      <c r="D49" s="30"/>
      <c r="E49" s="31"/>
      <c r="F49" s="32"/>
      <c r="G49" s="80"/>
      <c r="H49" s="87" t="str">
        <f t="shared" si="2"/>
        <v>-</v>
      </c>
    </row>
    <row r="50" spans="1:8" ht="27" customHeight="1" x14ac:dyDescent="0.25">
      <c r="A50" s="79"/>
      <c r="B50" s="86" t="str">
        <f>IF(D50 &lt;&gt; "Paciente/Dia", "-", D50 &amp; COUNTIF( $D$7:D50, D50))</f>
        <v>-</v>
      </c>
      <c r="C50" s="35"/>
      <c r="D50" s="30"/>
      <c r="E50" s="31"/>
      <c r="F50" s="32"/>
      <c r="G50" s="80"/>
      <c r="H50" s="87" t="str">
        <f t="shared" si="2"/>
        <v>-</v>
      </c>
    </row>
    <row r="51" spans="1:8" ht="27" customHeight="1" x14ac:dyDescent="0.25">
      <c r="A51" s="79"/>
      <c r="B51" s="86" t="str">
        <f>IF(D51 &lt;&gt; "Paciente/Dia", "-", D51 &amp; COUNTIF( $D$7:D51, D51))</f>
        <v>-</v>
      </c>
      <c r="C51" s="35"/>
      <c r="D51" s="30"/>
      <c r="E51" s="31"/>
      <c r="F51" s="32"/>
      <c r="G51" s="80"/>
      <c r="H51" s="87" t="str">
        <f t="shared" si="2"/>
        <v>-</v>
      </c>
    </row>
    <row r="52" spans="1:8" ht="27" customHeight="1" x14ac:dyDescent="0.25">
      <c r="A52" s="79"/>
      <c r="B52" s="86" t="str">
        <f>IF(D52 &lt;&gt; "Paciente/Dia", "-", D52 &amp; COUNTIF( $D$7:D52, D52))</f>
        <v>-</v>
      </c>
      <c r="C52" s="35"/>
      <c r="D52" s="30"/>
      <c r="E52" s="31"/>
      <c r="F52" s="32"/>
      <c r="G52" s="80"/>
      <c r="H52" s="87" t="str">
        <f t="shared" si="2"/>
        <v>-</v>
      </c>
    </row>
    <row r="53" spans="1:8" ht="27" customHeight="1" x14ac:dyDescent="0.25">
      <c r="A53" s="79"/>
      <c r="B53" s="86" t="str">
        <f>IF(D53 &lt;&gt; "Paciente/Dia", "-", D53 &amp; COUNTIF( $D$7:D53, D53))</f>
        <v>-</v>
      </c>
      <c r="C53" s="35"/>
      <c r="D53" s="30"/>
      <c r="E53" s="31"/>
      <c r="F53" s="32"/>
      <c r="G53" s="80"/>
      <c r="H53" s="87" t="str">
        <f t="shared" si="2"/>
        <v>-</v>
      </c>
    </row>
    <row r="54" spans="1:8" ht="27" customHeight="1" x14ac:dyDescent="0.25">
      <c r="A54" s="79"/>
      <c r="B54" s="86" t="str">
        <f>IF(D54 &lt;&gt; "Paciente/Dia", "-", D54 &amp; COUNTIF( $D$7:D54, D54))</f>
        <v>-</v>
      </c>
      <c r="C54" s="35"/>
      <c r="D54" s="30"/>
      <c r="E54" s="31"/>
      <c r="F54" s="32"/>
      <c r="G54" s="80"/>
      <c r="H54" s="87" t="str">
        <f t="shared" si="2"/>
        <v>-</v>
      </c>
    </row>
    <row r="55" spans="1:8" ht="27" customHeight="1" x14ac:dyDescent="0.25">
      <c r="A55" s="79"/>
      <c r="B55" s="86" t="str">
        <f>IF(D55 &lt;&gt; "Paciente/Dia", "-", D55 &amp; COUNTIF( $D$7:D55, D55))</f>
        <v>-</v>
      </c>
      <c r="C55" s="35"/>
      <c r="D55" s="30"/>
      <c r="E55" s="31"/>
      <c r="F55" s="32"/>
      <c r="G55" s="80"/>
      <c r="H55" s="87" t="str">
        <f t="shared" si="2"/>
        <v>-</v>
      </c>
    </row>
    <row r="56" spans="1:8" ht="27" customHeight="1" x14ac:dyDescent="0.25">
      <c r="A56" s="79"/>
      <c r="B56" s="86" t="str">
        <f>IF(D56 &lt;&gt; "Paciente/Dia", "-", D56 &amp; COUNTIF( $D$7:D56, D56))</f>
        <v>-</v>
      </c>
      <c r="C56" s="35"/>
      <c r="D56" s="30"/>
      <c r="E56" s="31"/>
      <c r="F56" s="32"/>
      <c r="G56" s="80"/>
      <c r="H56" s="87" t="str">
        <f t="shared" si="2"/>
        <v>-</v>
      </c>
    </row>
    <row r="57" spans="1:8" ht="27" customHeight="1" x14ac:dyDescent="0.25">
      <c r="A57" s="79"/>
      <c r="B57" s="86" t="str">
        <f>IF(D57 &lt;&gt; "Paciente/Dia", "-", D57 &amp; COUNTIF( $D$7:D57, D57))</f>
        <v>-</v>
      </c>
      <c r="C57" s="35"/>
      <c r="D57" s="30"/>
      <c r="E57" s="31"/>
      <c r="F57" s="32"/>
      <c r="G57" s="80"/>
      <c r="H57" s="87" t="str">
        <f t="shared" si="2"/>
        <v>-</v>
      </c>
    </row>
    <row r="58" spans="1:8" ht="27" customHeight="1" x14ac:dyDescent="0.25">
      <c r="A58" s="79"/>
      <c r="B58" s="86" t="str">
        <f>IF(D58 &lt;&gt; "Paciente/Dia", "-", D58 &amp; COUNTIF( $D$7:D58, D58))</f>
        <v>-</v>
      </c>
      <c r="C58" s="35"/>
      <c r="D58" s="30"/>
      <c r="E58" s="31"/>
      <c r="F58" s="32"/>
      <c r="G58" s="80"/>
      <c r="H58" s="87" t="str">
        <f t="shared" si="2"/>
        <v>-</v>
      </c>
    </row>
    <row r="59" spans="1:8" ht="27" customHeight="1" x14ac:dyDescent="0.25">
      <c r="A59" s="79"/>
      <c r="B59" s="86" t="str">
        <f>IF(D59 &lt;&gt; "Paciente/Dia", "-", D59 &amp; COUNTIF( $D$7:D59, D59))</f>
        <v>-</v>
      </c>
      <c r="C59" s="35"/>
      <c r="D59" s="30"/>
      <c r="E59" s="31"/>
      <c r="F59" s="32"/>
      <c r="G59" s="80"/>
      <c r="H59" s="87" t="str">
        <f t="shared" si="2"/>
        <v>-</v>
      </c>
    </row>
    <row r="60" spans="1:8" ht="27" customHeight="1" x14ac:dyDescent="0.25">
      <c r="A60" s="79"/>
      <c r="B60" s="86" t="str">
        <f>IF(D60 &lt;&gt; "Paciente/Dia", "-", D60 &amp; COUNTIF( $D$7:D60, D60))</f>
        <v>-</v>
      </c>
      <c r="C60" s="35"/>
      <c r="D60" s="30"/>
      <c r="E60" s="31"/>
      <c r="F60" s="32"/>
      <c r="G60" s="80"/>
      <c r="H60" s="87" t="str">
        <f t="shared" si="2"/>
        <v>-</v>
      </c>
    </row>
    <row r="61" spans="1:8" ht="27" customHeight="1" x14ac:dyDescent="0.25">
      <c r="A61" s="79"/>
      <c r="B61" s="86" t="str">
        <f>IF(D61 &lt;&gt; "Paciente/Dia", "-", D61 &amp; COUNTIF( $D$7:D61, D61))</f>
        <v>-</v>
      </c>
      <c r="C61" s="35"/>
      <c r="D61" s="30"/>
      <c r="E61" s="31"/>
      <c r="F61" s="32"/>
      <c r="G61" s="80"/>
      <c r="H61" s="87" t="str">
        <f t="shared" si="2"/>
        <v>-</v>
      </c>
    </row>
    <row r="62" spans="1:8" ht="27" customHeight="1" x14ac:dyDescent="0.25">
      <c r="A62" s="79"/>
      <c r="B62" s="86" t="str">
        <f>IF(D62 &lt;&gt; "Paciente/Dia", "-", D62 &amp; COUNTIF( $D$7:D62, D62))</f>
        <v>-</v>
      </c>
      <c r="C62" s="35"/>
      <c r="D62" s="30"/>
      <c r="E62" s="31"/>
      <c r="F62" s="32"/>
      <c r="G62" s="80"/>
      <c r="H62" s="87" t="str">
        <f t="shared" si="2"/>
        <v>-</v>
      </c>
    </row>
    <row r="63" spans="1:8" ht="27" customHeight="1" x14ac:dyDescent="0.25">
      <c r="A63" s="79"/>
      <c r="B63" s="86" t="str">
        <f>IF(D63 &lt;&gt; "Paciente/Dia", "-", D63 &amp; COUNTIF( $D$7:D63, D63))</f>
        <v>-</v>
      </c>
      <c r="C63" s="35"/>
      <c r="D63" s="30"/>
      <c r="E63" s="31"/>
      <c r="F63" s="32"/>
      <c r="G63" s="80"/>
      <c r="H63" s="87" t="str">
        <f t="shared" si="2"/>
        <v>-</v>
      </c>
    </row>
    <row r="64" spans="1:8" ht="27" customHeight="1" x14ac:dyDescent="0.25">
      <c r="A64" s="79"/>
      <c r="B64" s="86" t="str">
        <f>IF(D64 &lt;&gt; "Paciente/Dia", "-", D64 &amp; COUNTIF( $D$7:D64, D64))</f>
        <v>-</v>
      </c>
      <c r="C64" s="35"/>
      <c r="D64" s="30"/>
      <c r="E64" s="31"/>
      <c r="F64" s="32"/>
      <c r="G64" s="80"/>
      <c r="H64" s="87" t="str">
        <f t="shared" si="2"/>
        <v>-</v>
      </c>
    </row>
    <row r="65" spans="1:8" ht="27" customHeight="1" x14ac:dyDescent="0.25">
      <c r="A65" s="79"/>
      <c r="B65" s="86" t="str">
        <f>IF(D65 &lt;&gt; "Paciente/Dia", "-", D65 &amp; COUNTIF( $D$7:D65, D65))</f>
        <v>-</v>
      </c>
      <c r="C65" s="35"/>
      <c r="D65" s="30"/>
      <c r="E65" s="31"/>
      <c r="F65" s="32"/>
      <c r="G65" s="80"/>
      <c r="H65" s="87" t="str">
        <f t="shared" si="2"/>
        <v>-</v>
      </c>
    </row>
    <row r="66" spans="1:8" ht="27" customHeight="1" x14ac:dyDescent="0.25">
      <c r="A66" s="79"/>
      <c r="B66" s="86" t="str">
        <f>IF(D66 &lt;&gt; "Paciente/Dia", "-", D66 &amp; COUNTIF( $D$7:D66, D66))</f>
        <v>-</v>
      </c>
      <c r="C66" s="35"/>
      <c r="D66" s="30"/>
      <c r="E66" s="31"/>
      <c r="F66" s="32"/>
      <c r="G66" s="80"/>
      <c r="H66" s="87" t="str">
        <f t="shared" si="2"/>
        <v>-</v>
      </c>
    </row>
    <row r="67" spans="1:8" ht="27" customHeight="1" x14ac:dyDescent="0.25">
      <c r="A67" s="79"/>
      <c r="B67" s="86" t="str">
        <f>IF(D67 &lt;&gt; "Paciente/Dia", "-", D67 &amp; COUNTIF( $D$7:D67, D67))</f>
        <v>-</v>
      </c>
      <c r="C67" s="35"/>
      <c r="D67" s="30"/>
      <c r="E67" s="31"/>
      <c r="F67" s="32"/>
      <c r="G67" s="80"/>
      <c r="H67" s="87" t="str">
        <f t="shared" si="2"/>
        <v>-</v>
      </c>
    </row>
    <row r="68" spans="1:8" ht="27" customHeight="1" x14ac:dyDescent="0.25">
      <c r="A68" s="79"/>
      <c r="B68" s="86" t="str">
        <f>IF(D68 &lt;&gt; "Paciente/Dia", "-", D68 &amp; COUNTIF( $D$7:D68, D68))</f>
        <v>-</v>
      </c>
      <c r="C68" s="35"/>
      <c r="D68" s="30"/>
      <c r="E68" s="31"/>
      <c r="F68" s="32"/>
      <c r="G68" s="80"/>
      <c r="H68" s="87" t="str">
        <f t="shared" si="2"/>
        <v>-</v>
      </c>
    </row>
    <row r="69" spans="1:8" ht="27" customHeight="1" x14ac:dyDescent="0.25">
      <c r="A69" s="79"/>
      <c r="B69" s="86" t="str">
        <f>IF(D69 &lt;&gt; "Paciente/Dia", "-", D69 &amp; COUNTIF( $D$7:D69, D69))</f>
        <v>-</v>
      </c>
      <c r="C69" s="35"/>
      <c r="D69" s="30"/>
      <c r="E69" s="31"/>
      <c r="F69" s="32"/>
      <c r="G69" s="80"/>
      <c r="H69" s="87" t="str">
        <f t="shared" si="2"/>
        <v>-</v>
      </c>
    </row>
    <row r="70" spans="1:8" ht="27" customHeight="1" x14ac:dyDescent="0.25">
      <c r="A70" s="79"/>
      <c r="B70" s="86" t="str">
        <f>IF(D70 &lt;&gt; "Paciente/Dia", "-", D70 &amp; COUNTIF( $D$7:D70, D70))</f>
        <v>-</v>
      </c>
      <c r="C70" s="35"/>
      <c r="D70" s="30"/>
      <c r="E70" s="31"/>
      <c r="F70" s="32"/>
      <c r="G70" s="80"/>
      <c r="H70" s="87" t="str">
        <f t="shared" si="2"/>
        <v>-</v>
      </c>
    </row>
    <row r="71" spans="1:8" ht="27" customHeight="1" x14ac:dyDescent="0.25">
      <c r="A71" s="79"/>
      <c r="B71" s="86" t="str">
        <f>IF(D71 &lt;&gt; "Paciente/Dia", "-", D71 &amp; COUNTIF( $D$7:D71, D71))</f>
        <v>-</v>
      </c>
      <c r="C71" s="35"/>
      <c r="D71" s="30"/>
      <c r="E71" s="31"/>
      <c r="F71" s="32"/>
      <c r="G71" s="80"/>
      <c r="H71" s="87" t="str">
        <f t="shared" si="2"/>
        <v>-</v>
      </c>
    </row>
    <row r="72" spans="1:8" ht="27" customHeight="1" x14ac:dyDescent="0.25">
      <c r="A72" s="79"/>
      <c r="B72" s="86" t="str">
        <f>IF(D72 &lt;&gt; "Paciente/Dia", "-", D72 &amp; COUNTIF( $D$7:D72, D72))</f>
        <v>-</v>
      </c>
      <c r="C72" s="35"/>
      <c r="D72" s="30"/>
      <c r="E72" s="31"/>
      <c r="F72" s="32"/>
      <c r="G72" s="80"/>
      <c r="H72" s="87" t="str">
        <f t="shared" ref="H72:H124" si="3">IF(OR(
C72="ADMINISTRATIVO",
C72="INTERMEDIÁRIO",
C72="EXTERNO",
C72="FINAL"),"GRUPO","-")</f>
        <v>-</v>
      </c>
    </row>
    <row r="73" spans="1:8" ht="27" customHeight="1" x14ac:dyDescent="0.25">
      <c r="A73" s="79"/>
      <c r="B73" s="86" t="str">
        <f>IF(D73 &lt;&gt; "Paciente/Dia", "-", D73 &amp; COUNTIF( $D$7:D73, D73))</f>
        <v>-</v>
      </c>
      <c r="C73" s="35"/>
      <c r="D73" s="30"/>
      <c r="E73" s="31"/>
      <c r="F73" s="32"/>
      <c r="G73" s="80"/>
      <c r="H73" s="87" t="str">
        <f t="shared" si="3"/>
        <v>-</v>
      </c>
    </row>
    <row r="74" spans="1:8" ht="27" customHeight="1" x14ac:dyDescent="0.25">
      <c r="A74" s="79"/>
      <c r="B74" s="86" t="str">
        <f>IF(D74 &lt;&gt; "Paciente/Dia", "-", D74 &amp; COUNTIF( $D$7:D74, D74))</f>
        <v>-</v>
      </c>
      <c r="C74" s="35"/>
      <c r="D74" s="30"/>
      <c r="E74" s="31"/>
      <c r="F74" s="32"/>
      <c r="G74" s="80"/>
      <c r="H74" s="87" t="str">
        <f t="shared" si="3"/>
        <v>-</v>
      </c>
    </row>
    <row r="75" spans="1:8" ht="27" customHeight="1" x14ac:dyDescent="0.25">
      <c r="A75" s="79"/>
      <c r="B75" s="86" t="str">
        <f>IF(D75 &lt;&gt; "Paciente/Dia", "-", D75 &amp; COUNTIF( $D$7:D75, D75))</f>
        <v>-</v>
      </c>
      <c r="C75" s="35"/>
      <c r="D75" s="30"/>
      <c r="E75" s="31"/>
      <c r="F75" s="32"/>
      <c r="G75" s="80"/>
      <c r="H75" s="87" t="str">
        <f t="shared" si="3"/>
        <v>-</v>
      </c>
    </row>
    <row r="76" spans="1:8" ht="27" customHeight="1" x14ac:dyDescent="0.25">
      <c r="A76" s="79"/>
      <c r="B76" s="86" t="str">
        <f>IF(D76 &lt;&gt; "Paciente/Dia", "-", D76 &amp; COUNTIF( $D$7:D76, D76))</f>
        <v>-</v>
      </c>
      <c r="C76" s="35"/>
      <c r="D76" s="30"/>
      <c r="E76" s="31"/>
      <c r="F76" s="32"/>
      <c r="G76" s="80"/>
      <c r="H76" s="87" t="str">
        <f t="shared" si="3"/>
        <v>-</v>
      </c>
    </row>
    <row r="77" spans="1:8" ht="27" customHeight="1" x14ac:dyDescent="0.25">
      <c r="A77" s="79"/>
      <c r="B77" s="86" t="str">
        <f>IF(D77 &lt;&gt; "Paciente/Dia", "-", D77 &amp; COUNTIF( $D$7:D77, D77))</f>
        <v>-</v>
      </c>
      <c r="C77" s="35"/>
      <c r="D77" s="30"/>
      <c r="E77" s="31"/>
      <c r="F77" s="32"/>
      <c r="G77" s="80"/>
      <c r="H77" s="87" t="str">
        <f t="shared" si="3"/>
        <v>-</v>
      </c>
    </row>
    <row r="78" spans="1:8" ht="27" customHeight="1" x14ac:dyDescent="0.25">
      <c r="A78" s="79"/>
      <c r="B78" s="86" t="str">
        <f>IF(D78 &lt;&gt; "Paciente/Dia", "-", D78 &amp; COUNTIF( $D$7:D78, D78))</f>
        <v>-</v>
      </c>
      <c r="C78" s="35"/>
      <c r="D78" s="30"/>
      <c r="E78" s="31"/>
      <c r="F78" s="32"/>
      <c r="G78" s="80"/>
      <c r="H78" s="87" t="str">
        <f t="shared" si="3"/>
        <v>-</v>
      </c>
    </row>
    <row r="79" spans="1:8" ht="27" customHeight="1" x14ac:dyDescent="0.25">
      <c r="A79" s="79"/>
      <c r="B79" s="86" t="str">
        <f>IF(D79 &lt;&gt; "Paciente/Dia", "-", D79 &amp; COUNTIF( $D$7:D79, D79))</f>
        <v>-</v>
      </c>
      <c r="C79" s="35"/>
      <c r="D79" s="30"/>
      <c r="E79" s="31"/>
      <c r="F79" s="32"/>
      <c r="G79" s="80"/>
      <c r="H79" s="87" t="str">
        <f t="shared" si="3"/>
        <v>-</v>
      </c>
    </row>
    <row r="80" spans="1:8" ht="27" customHeight="1" x14ac:dyDescent="0.25">
      <c r="A80" s="79"/>
      <c r="B80" s="86" t="str">
        <f>IF(D80 &lt;&gt; "Paciente/Dia", "-", D80 &amp; COUNTIF( $D$7:D80, D80))</f>
        <v>-</v>
      </c>
      <c r="C80" s="35"/>
      <c r="D80" s="30"/>
      <c r="E80" s="31"/>
      <c r="F80" s="32"/>
      <c r="G80" s="80"/>
      <c r="H80" s="87" t="str">
        <f t="shared" si="3"/>
        <v>-</v>
      </c>
    </row>
    <row r="81" spans="1:8" ht="27" customHeight="1" x14ac:dyDescent="0.25">
      <c r="A81" s="79"/>
      <c r="B81" s="86" t="str">
        <f>IF(D81 &lt;&gt; "Paciente/Dia", "-", D81 &amp; COUNTIF( $D$7:D81, D81))</f>
        <v>-</v>
      </c>
      <c r="C81" s="35"/>
      <c r="D81" s="30"/>
      <c r="E81" s="31"/>
      <c r="F81" s="32"/>
      <c r="G81" s="80"/>
      <c r="H81" s="87" t="str">
        <f t="shared" si="3"/>
        <v>-</v>
      </c>
    </row>
    <row r="82" spans="1:8" ht="27" customHeight="1" x14ac:dyDescent="0.25">
      <c r="A82" s="79"/>
      <c r="B82" s="86" t="str">
        <f>IF(D82 &lt;&gt; "Paciente/Dia", "-", D82 &amp; COUNTIF( $D$7:D82, D82))</f>
        <v>-</v>
      </c>
      <c r="C82" s="35"/>
      <c r="D82" s="30"/>
      <c r="E82" s="31"/>
      <c r="F82" s="32"/>
      <c r="G82" s="80"/>
      <c r="H82" s="87" t="str">
        <f t="shared" si="3"/>
        <v>-</v>
      </c>
    </row>
    <row r="83" spans="1:8" ht="27" customHeight="1" x14ac:dyDescent="0.25">
      <c r="A83" s="79"/>
      <c r="B83" s="86" t="str">
        <f>IF(D83 &lt;&gt; "Paciente/Dia", "-", D83 &amp; COUNTIF( $D$7:D83, D83))</f>
        <v>-</v>
      </c>
      <c r="C83" s="35"/>
      <c r="D83" s="30"/>
      <c r="E83" s="31"/>
      <c r="F83" s="32"/>
      <c r="G83" s="80"/>
      <c r="H83" s="87" t="str">
        <f t="shared" si="3"/>
        <v>-</v>
      </c>
    </row>
    <row r="84" spans="1:8" ht="27" customHeight="1" x14ac:dyDescent="0.25">
      <c r="A84" s="79"/>
      <c r="B84" s="86" t="str">
        <f>IF(D84 &lt;&gt; "Paciente/Dia", "-", D84 &amp; COUNTIF( $D$7:D84, D84))</f>
        <v>-</v>
      </c>
      <c r="C84" s="35"/>
      <c r="D84" s="30"/>
      <c r="E84" s="31"/>
      <c r="F84" s="32"/>
      <c r="G84" s="80"/>
      <c r="H84" s="87" t="str">
        <f t="shared" si="3"/>
        <v>-</v>
      </c>
    </row>
    <row r="85" spans="1:8" ht="27" customHeight="1" x14ac:dyDescent="0.25">
      <c r="A85" s="79"/>
      <c r="B85" s="86" t="str">
        <f>IF(D85 &lt;&gt; "Paciente/Dia", "-", D85 &amp; COUNTIF( $D$7:D85, D85))</f>
        <v>-</v>
      </c>
      <c r="C85" s="35"/>
      <c r="D85" s="30"/>
      <c r="E85" s="31"/>
      <c r="F85" s="32"/>
      <c r="G85" s="80"/>
      <c r="H85" s="87" t="str">
        <f t="shared" si="3"/>
        <v>-</v>
      </c>
    </row>
    <row r="86" spans="1:8" ht="27" customHeight="1" x14ac:dyDescent="0.25">
      <c r="A86" s="79"/>
      <c r="B86" s="86" t="str">
        <f>IF(D86 &lt;&gt; "Paciente/Dia", "-", D86 &amp; COUNTIF( $D$7:D86, D86))</f>
        <v>-</v>
      </c>
      <c r="C86" s="35"/>
      <c r="D86" s="30"/>
      <c r="E86" s="31"/>
      <c r="F86" s="32"/>
      <c r="G86" s="80"/>
      <c r="H86" s="87" t="str">
        <f t="shared" si="3"/>
        <v>-</v>
      </c>
    </row>
    <row r="87" spans="1:8" ht="27" customHeight="1" x14ac:dyDescent="0.25">
      <c r="A87" s="79"/>
      <c r="B87" s="86" t="str">
        <f>IF(D87 &lt;&gt; "Paciente/Dia", "-", D87 &amp; COUNTIF( $D$7:D87, D87))</f>
        <v>-</v>
      </c>
      <c r="C87" s="35"/>
      <c r="D87" s="30"/>
      <c r="E87" s="31"/>
      <c r="F87" s="32"/>
      <c r="G87" s="80"/>
      <c r="H87" s="87" t="str">
        <f t="shared" si="3"/>
        <v>-</v>
      </c>
    </row>
    <row r="88" spans="1:8" ht="27" customHeight="1" x14ac:dyDescent="0.25">
      <c r="A88" s="79"/>
      <c r="B88" s="86" t="str">
        <f>IF(D88 &lt;&gt; "Paciente/Dia", "-", D88 &amp; COUNTIF( $D$7:D88, D88))</f>
        <v>-</v>
      </c>
      <c r="C88" s="35"/>
      <c r="D88" s="30"/>
      <c r="E88" s="31"/>
      <c r="F88" s="32"/>
      <c r="G88" s="80"/>
      <c r="H88" s="87" t="str">
        <f t="shared" si="3"/>
        <v>-</v>
      </c>
    </row>
    <row r="89" spans="1:8" ht="27" customHeight="1" x14ac:dyDescent="0.25">
      <c r="A89" s="79"/>
      <c r="B89" s="86" t="str">
        <f>IF(D89 &lt;&gt; "Paciente/Dia", "-", D89 &amp; COUNTIF( $D$7:D89, D89))</f>
        <v>-</v>
      </c>
      <c r="C89" s="35"/>
      <c r="D89" s="30"/>
      <c r="E89" s="31"/>
      <c r="F89" s="32"/>
      <c r="G89" s="80"/>
      <c r="H89" s="87" t="str">
        <f t="shared" si="3"/>
        <v>-</v>
      </c>
    </row>
    <row r="90" spans="1:8" ht="27" customHeight="1" x14ac:dyDescent="0.25">
      <c r="A90" s="79"/>
      <c r="B90" s="86" t="str">
        <f>IF(D90 &lt;&gt; "Paciente/Dia", "-", D90 &amp; COUNTIF( $D$7:D90, D90))</f>
        <v>-</v>
      </c>
      <c r="C90" s="35"/>
      <c r="D90" s="30"/>
      <c r="E90" s="31"/>
      <c r="F90" s="32"/>
      <c r="G90" s="80"/>
      <c r="H90" s="87" t="str">
        <f t="shared" si="3"/>
        <v>-</v>
      </c>
    </row>
    <row r="91" spans="1:8" ht="27" customHeight="1" x14ac:dyDescent="0.25">
      <c r="A91" s="79"/>
      <c r="B91" s="86" t="str">
        <f>IF(D91 &lt;&gt; "Paciente/Dia", "-", D91 &amp; COUNTIF( $D$7:D91, D91))</f>
        <v>-</v>
      </c>
      <c r="C91" s="35"/>
      <c r="D91" s="30"/>
      <c r="E91" s="31"/>
      <c r="F91" s="32"/>
      <c r="G91" s="80"/>
      <c r="H91" s="87" t="str">
        <f t="shared" si="3"/>
        <v>-</v>
      </c>
    </row>
    <row r="92" spans="1:8" ht="27" customHeight="1" x14ac:dyDescent="0.25">
      <c r="A92" s="79"/>
      <c r="B92" s="86" t="str">
        <f>IF(D92 &lt;&gt; "Paciente/Dia", "-", D92 &amp; COUNTIF( $D$7:D92, D92))</f>
        <v>-</v>
      </c>
      <c r="C92" s="35"/>
      <c r="D92" s="30"/>
      <c r="E92" s="31"/>
      <c r="F92" s="32"/>
      <c r="G92" s="80"/>
      <c r="H92" s="87" t="str">
        <f t="shared" si="3"/>
        <v>-</v>
      </c>
    </row>
    <row r="93" spans="1:8" ht="27" customHeight="1" x14ac:dyDescent="0.25">
      <c r="A93" s="79"/>
      <c r="B93" s="86" t="str">
        <f>IF(D93 &lt;&gt; "Paciente/Dia", "-", D93 &amp; COUNTIF( $D$7:D93, D93))</f>
        <v>-</v>
      </c>
      <c r="C93" s="35"/>
      <c r="D93" s="30"/>
      <c r="E93" s="31"/>
      <c r="F93" s="32"/>
      <c r="G93" s="80"/>
      <c r="H93" s="87" t="str">
        <f t="shared" si="3"/>
        <v>-</v>
      </c>
    </row>
    <row r="94" spans="1:8" ht="27" customHeight="1" x14ac:dyDescent="0.25">
      <c r="A94" s="79"/>
      <c r="B94" s="86" t="str">
        <f>IF(D94 &lt;&gt; "Paciente/Dia", "-", D94 &amp; COUNTIF( $D$7:D94, D94))</f>
        <v>-</v>
      </c>
      <c r="C94" s="35"/>
      <c r="D94" s="30"/>
      <c r="E94" s="31"/>
      <c r="F94" s="32"/>
      <c r="G94" s="80"/>
      <c r="H94" s="87" t="str">
        <f t="shared" si="3"/>
        <v>-</v>
      </c>
    </row>
    <row r="95" spans="1:8" ht="27" customHeight="1" x14ac:dyDescent="0.25">
      <c r="A95" s="79"/>
      <c r="B95" s="86" t="str">
        <f>IF(D95 &lt;&gt; "Paciente/Dia", "-", D95 &amp; COUNTIF( $D$7:D95, D95))</f>
        <v>-</v>
      </c>
      <c r="C95" s="35"/>
      <c r="D95" s="30"/>
      <c r="E95" s="31"/>
      <c r="F95" s="32"/>
      <c r="G95" s="80"/>
      <c r="H95" s="87" t="str">
        <f t="shared" si="3"/>
        <v>-</v>
      </c>
    </row>
    <row r="96" spans="1:8" ht="27" customHeight="1" x14ac:dyDescent="0.25">
      <c r="A96" s="79"/>
      <c r="B96" s="86" t="str">
        <f>IF(D96 &lt;&gt; "Paciente/Dia", "-", D96 &amp; COUNTIF( $D$7:D96, D96))</f>
        <v>-</v>
      </c>
      <c r="C96" s="35"/>
      <c r="D96" s="30"/>
      <c r="E96" s="31"/>
      <c r="F96" s="32"/>
      <c r="G96" s="80"/>
      <c r="H96" s="87" t="str">
        <f t="shared" si="3"/>
        <v>-</v>
      </c>
    </row>
    <row r="97" spans="1:8" ht="27" customHeight="1" x14ac:dyDescent="0.25">
      <c r="A97" s="79"/>
      <c r="B97" s="86" t="str">
        <f>IF(D97 &lt;&gt; "Paciente/Dia", "-", D97 &amp; COUNTIF( $D$7:D97, D97))</f>
        <v>-</v>
      </c>
      <c r="C97" s="35"/>
      <c r="D97" s="30"/>
      <c r="E97" s="31"/>
      <c r="F97" s="32"/>
      <c r="G97" s="80"/>
      <c r="H97" s="87" t="str">
        <f t="shared" si="3"/>
        <v>-</v>
      </c>
    </row>
    <row r="98" spans="1:8" ht="27" customHeight="1" x14ac:dyDescent="0.25">
      <c r="A98" s="79"/>
      <c r="B98" s="86" t="str">
        <f>IF(D98 &lt;&gt; "Paciente/Dia", "-", D98 &amp; COUNTIF( $D$7:D98, D98))</f>
        <v>-</v>
      </c>
      <c r="C98" s="35"/>
      <c r="D98" s="30"/>
      <c r="E98" s="31"/>
      <c r="F98" s="32"/>
      <c r="G98" s="80"/>
      <c r="H98" s="87" t="str">
        <f t="shared" si="3"/>
        <v>-</v>
      </c>
    </row>
    <row r="99" spans="1:8" ht="27" customHeight="1" x14ac:dyDescent="0.25">
      <c r="A99" s="79"/>
      <c r="B99" s="86" t="str">
        <f>IF(D99 &lt;&gt; "Paciente/Dia", "-", D99 &amp; COUNTIF( $D$7:D99, D99))</f>
        <v>-</v>
      </c>
      <c r="C99" s="35"/>
      <c r="D99" s="30"/>
      <c r="E99" s="31"/>
      <c r="F99" s="32"/>
      <c r="G99" s="80"/>
      <c r="H99" s="87" t="str">
        <f t="shared" si="3"/>
        <v>-</v>
      </c>
    </row>
    <row r="100" spans="1:8" ht="27" customHeight="1" x14ac:dyDescent="0.25">
      <c r="A100" s="79"/>
      <c r="B100" s="86" t="str">
        <f>IF(D100 &lt;&gt; "Paciente/Dia", "-", D100 &amp; COUNTIF( $D$7:D100, D100))</f>
        <v>-</v>
      </c>
      <c r="C100" s="35"/>
      <c r="D100" s="30"/>
      <c r="E100" s="31"/>
      <c r="F100" s="32"/>
      <c r="G100" s="80"/>
      <c r="H100" s="87" t="str">
        <f t="shared" si="3"/>
        <v>-</v>
      </c>
    </row>
    <row r="101" spans="1:8" ht="27" customHeight="1" x14ac:dyDescent="0.25">
      <c r="A101" s="79"/>
      <c r="B101" s="86" t="str">
        <f>IF(D101 &lt;&gt; "Paciente/Dia", "-", D101 &amp; COUNTIF( $D$7:D101, D101))</f>
        <v>-</v>
      </c>
      <c r="C101" s="35"/>
      <c r="D101" s="30"/>
      <c r="E101" s="31"/>
      <c r="F101" s="32"/>
      <c r="G101" s="80"/>
      <c r="H101" s="87" t="str">
        <f t="shared" si="3"/>
        <v>-</v>
      </c>
    </row>
    <row r="102" spans="1:8" ht="27" customHeight="1" x14ac:dyDescent="0.25">
      <c r="A102" s="79"/>
      <c r="B102" s="86" t="str">
        <f>IF(D102 &lt;&gt; "Paciente/Dia", "-", D102 &amp; COUNTIF( $D$7:D102, D102))</f>
        <v>-</v>
      </c>
      <c r="C102" s="35"/>
      <c r="D102" s="30"/>
      <c r="E102" s="31"/>
      <c r="F102" s="32"/>
      <c r="G102" s="80"/>
      <c r="H102" s="87" t="str">
        <f t="shared" si="3"/>
        <v>-</v>
      </c>
    </row>
    <row r="103" spans="1:8" ht="27" customHeight="1" x14ac:dyDescent="0.25">
      <c r="A103" s="79"/>
      <c r="B103" s="86" t="str">
        <f>IF(D103 &lt;&gt; "Paciente/Dia", "-", D103 &amp; COUNTIF( $D$7:D103, D103))</f>
        <v>-</v>
      </c>
      <c r="C103" s="35"/>
      <c r="D103" s="30"/>
      <c r="E103" s="31"/>
      <c r="F103" s="32"/>
      <c r="G103" s="80"/>
      <c r="H103" s="87" t="str">
        <f t="shared" si="3"/>
        <v>-</v>
      </c>
    </row>
    <row r="104" spans="1:8" ht="27" customHeight="1" x14ac:dyDescent="0.25">
      <c r="A104" s="79"/>
      <c r="B104" s="86" t="str">
        <f>IF(D104 &lt;&gt; "Paciente/Dia", "-", D104 &amp; COUNTIF( $D$7:D104, D104))</f>
        <v>-</v>
      </c>
      <c r="C104" s="35"/>
      <c r="D104" s="30"/>
      <c r="E104" s="31"/>
      <c r="F104" s="32"/>
      <c r="G104" s="80"/>
      <c r="H104" s="87" t="str">
        <f t="shared" si="3"/>
        <v>-</v>
      </c>
    </row>
    <row r="105" spans="1:8" ht="27" customHeight="1" x14ac:dyDescent="0.25">
      <c r="A105" s="79"/>
      <c r="B105" s="86" t="str">
        <f>IF(D105 &lt;&gt; "Paciente/Dia", "-", D105 &amp; COUNTIF( $D$7:D105, D105))</f>
        <v>-</v>
      </c>
      <c r="C105" s="35"/>
      <c r="D105" s="30"/>
      <c r="E105" s="31"/>
      <c r="F105" s="32"/>
      <c r="G105" s="80"/>
      <c r="H105" s="87" t="str">
        <f t="shared" si="3"/>
        <v>-</v>
      </c>
    </row>
    <row r="106" spans="1:8" ht="27" customHeight="1" x14ac:dyDescent="0.25">
      <c r="A106" s="79"/>
      <c r="B106" s="86" t="str">
        <f>IF(D106 &lt;&gt; "Paciente/Dia", "-", D106 &amp; COUNTIF( $D$7:D106, D106))</f>
        <v>-</v>
      </c>
      <c r="C106" s="35"/>
      <c r="D106" s="30"/>
      <c r="E106" s="31"/>
      <c r="F106" s="32"/>
      <c r="G106" s="80"/>
      <c r="H106" s="87" t="str">
        <f t="shared" si="3"/>
        <v>-</v>
      </c>
    </row>
    <row r="107" spans="1:8" ht="27" customHeight="1" x14ac:dyDescent="0.25">
      <c r="A107" s="79"/>
      <c r="B107" s="86" t="str">
        <f>IF(D107 &lt;&gt; "Paciente/Dia", "-", D107 &amp; COUNTIF( $D$7:D107, D107))</f>
        <v>-</v>
      </c>
      <c r="C107" s="35"/>
      <c r="D107" s="30"/>
      <c r="E107" s="31"/>
      <c r="F107" s="32"/>
      <c r="G107" s="80"/>
      <c r="H107" s="87" t="str">
        <f t="shared" si="3"/>
        <v>-</v>
      </c>
    </row>
    <row r="108" spans="1:8" ht="27" customHeight="1" x14ac:dyDescent="0.25">
      <c r="A108" s="79"/>
      <c r="B108" s="86" t="str">
        <f>IF(D108 &lt;&gt; "Paciente/Dia", "-", D108 &amp; COUNTIF( $D$7:D108, D108))</f>
        <v>-</v>
      </c>
      <c r="C108" s="35"/>
      <c r="D108" s="30"/>
      <c r="E108" s="31"/>
      <c r="F108" s="32"/>
      <c r="G108" s="80"/>
      <c r="H108" s="87" t="str">
        <f t="shared" si="3"/>
        <v>-</v>
      </c>
    </row>
    <row r="109" spans="1:8" ht="27" customHeight="1" x14ac:dyDescent="0.25">
      <c r="A109" s="79"/>
      <c r="B109" s="86" t="str">
        <f>IF(D109 &lt;&gt; "Paciente/Dia", "-", D109 &amp; COUNTIF( $D$7:D109, D109))</f>
        <v>-</v>
      </c>
      <c r="C109" s="35"/>
      <c r="D109" s="30"/>
      <c r="E109" s="31"/>
      <c r="F109" s="32"/>
      <c r="G109" s="80"/>
      <c r="H109" s="87" t="str">
        <f t="shared" si="3"/>
        <v>-</v>
      </c>
    </row>
    <row r="110" spans="1:8" ht="27" customHeight="1" x14ac:dyDescent="0.25">
      <c r="A110" s="79"/>
      <c r="B110" s="86" t="str">
        <f>IF(D110 &lt;&gt; "Paciente/Dia", "-", D110 &amp; COUNTIF( $D$7:D110, D110))</f>
        <v>-</v>
      </c>
      <c r="C110" s="35"/>
      <c r="D110" s="30"/>
      <c r="E110" s="31"/>
      <c r="F110" s="32"/>
      <c r="G110" s="80"/>
      <c r="H110" s="87" t="str">
        <f t="shared" si="3"/>
        <v>-</v>
      </c>
    </row>
    <row r="111" spans="1:8" ht="27" customHeight="1" x14ac:dyDescent="0.25">
      <c r="A111" s="79"/>
      <c r="B111" s="86" t="str">
        <f>IF(D111 &lt;&gt; "Paciente/Dia", "-", D111 &amp; COUNTIF( $D$7:D111, D111))</f>
        <v>-</v>
      </c>
      <c r="C111" s="35"/>
      <c r="D111" s="30"/>
      <c r="E111" s="31"/>
      <c r="F111" s="32"/>
      <c r="G111" s="80"/>
      <c r="H111" s="87" t="str">
        <f t="shared" si="3"/>
        <v>-</v>
      </c>
    </row>
    <row r="112" spans="1:8" ht="27" customHeight="1" x14ac:dyDescent="0.25">
      <c r="A112" s="79"/>
      <c r="B112" s="86" t="str">
        <f>IF(D112 &lt;&gt; "Paciente/Dia", "-", D112 &amp; COUNTIF( $D$7:D112, D112))</f>
        <v>-</v>
      </c>
      <c r="C112" s="35"/>
      <c r="D112" s="30"/>
      <c r="E112" s="31"/>
      <c r="F112" s="32"/>
      <c r="G112" s="80"/>
      <c r="H112" s="87" t="str">
        <f t="shared" si="3"/>
        <v>-</v>
      </c>
    </row>
    <row r="113" spans="1:8" ht="27" customHeight="1" x14ac:dyDescent="0.25">
      <c r="A113" s="79"/>
      <c r="B113" s="86" t="str">
        <f>IF(D113 &lt;&gt; "Paciente/Dia", "-", D113 &amp; COUNTIF( $D$7:D113, D113))</f>
        <v>-</v>
      </c>
      <c r="C113" s="35"/>
      <c r="D113" s="30"/>
      <c r="E113" s="31"/>
      <c r="F113" s="32"/>
      <c r="G113" s="80"/>
      <c r="H113" s="87" t="str">
        <f t="shared" si="3"/>
        <v>-</v>
      </c>
    </row>
    <row r="114" spans="1:8" ht="27" customHeight="1" x14ac:dyDescent="0.25">
      <c r="A114" s="79"/>
      <c r="B114" s="86" t="str">
        <f>IF(D114 &lt;&gt; "Paciente/Dia", "-", D114 &amp; COUNTIF( $D$7:D114, D114))</f>
        <v>-</v>
      </c>
      <c r="C114" s="35"/>
      <c r="D114" s="30"/>
      <c r="E114" s="31"/>
      <c r="F114" s="32"/>
      <c r="G114" s="80"/>
      <c r="H114" s="87" t="str">
        <f t="shared" si="3"/>
        <v>-</v>
      </c>
    </row>
    <row r="115" spans="1:8" ht="27" customHeight="1" x14ac:dyDescent="0.25">
      <c r="A115" s="79"/>
      <c r="B115" s="86" t="str">
        <f>IF(D115 &lt;&gt; "Paciente/Dia", "-", D115 &amp; COUNTIF( $D$7:D115, D115))</f>
        <v>-</v>
      </c>
      <c r="C115" s="35"/>
      <c r="D115" s="30"/>
      <c r="E115" s="31"/>
      <c r="F115" s="32"/>
      <c r="G115" s="80"/>
      <c r="H115" s="87" t="str">
        <f t="shared" si="3"/>
        <v>-</v>
      </c>
    </row>
    <row r="116" spans="1:8" ht="27" customHeight="1" x14ac:dyDescent="0.25">
      <c r="A116" s="79"/>
      <c r="B116" s="86" t="str">
        <f>IF(D116 &lt;&gt; "Paciente/Dia", "-", D116 &amp; COUNTIF( $D$7:D116, D116))</f>
        <v>-</v>
      </c>
      <c r="C116" s="35"/>
      <c r="D116" s="30"/>
      <c r="E116" s="31"/>
      <c r="F116" s="32"/>
      <c r="G116" s="80"/>
      <c r="H116" s="87" t="str">
        <f t="shared" si="3"/>
        <v>-</v>
      </c>
    </row>
    <row r="117" spans="1:8" ht="27" customHeight="1" x14ac:dyDescent="0.25">
      <c r="A117" s="79"/>
      <c r="B117" s="86" t="str">
        <f>IF(D117 &lt;&gt; "Paciente/Dia", "-", D117 &amp; COUNTIF( $D$7:D117, D117))</f>
        <v>-</v>
      </c>
      <c r="C117" s="35"/>
      <c r="D117" s="30"/>
      <c r="E117" s="31"/>
      <c r="F117" s="32"/>
      <c r="G117" s="80"/>
      <c r="H117" s="87" t="str">
        <f t="shared" si="3"/>
        <v>-</v>
      </c>
    </row>
    <row r="118" spans="1:8" ht="27" customHeight="1" x14ac:dyDescent="0.25">
      <c r="A118" s="79"/>
      <c r="B118" s="86" t="str">
        <f>IF(D118 &lt;&gt; "Paciente/Dia", "-", D118 &amp; COUNTIF( $D$7:D118, D118))</f>
        <v>-</v>
      </c>
      <c r="C118" s="35"/>
      <c r="D118" s="30"/>
      <c r="E118" s="31"/>
      <c r="F118" s="32"/>
      <c r="G118" s="80"/>
      <c r="H118" s="87" t="str">
        <f t="shared" si="3"/>
        <v>-</v>
      </c>
    </row>
    <row r="119" spans="1:8" ht="27" customHeight="1" x14ac:dyDescent="0.25">
      <c r="A119" s="79"/>
      <c r="B119" s="86" t="str">
        <f>IF(D119 &lt;&gt; "Paciente/Dia", "-", D119 &amp; COUNTIF( $D$7:D119, D119))</f>
        <v>-</v>
      </c>
      <c r="C119" s="35"/>
      <c r="D119" s="30"/>
      <c r="E119" s="31"/>
      <c r="F119" s="32"/>
      <c r="G119" s="80"/>
      <c r="H119" s="87" t="str">
        <f t="shared" si="3"/>
        <v>-</v>
      </c>
    </row>
    <row r="120" spans="1:8" ht="27" customHeight="1" x14ac:dyDescent="0.25">
      <c r="A120" s="79"/>
      <c r="B120" s="86" t="str">
        <f>IF(D120 &lt;&gt; "Paciente/Dia", "-", D120 &amp; COUNTIF( $D$7:D120, D120))</f>
        <v>-</v>
      </c>
      <c r="C120" s="35"/>
      <c r="D120" s="30"/>
      <c r="E120" s="31"/>
      <c r="F120" s="32"/>
      <c r="G120" s="80"/>
      <c r="H120" s="87" t="str">
        <f t="shared" si="3"/>
        <v>-</v>
      </c>
    </row>
    <row r="121" spans="1:8" ht="27" customHeight="1" x14ac:dyDescent="0.25">
      <c r="A121" s="79"/>
      <c r="B121" s="86" t="str">
        <f>IF(D121 &lt;&gt; "Paciente/Dia", "-", D121 &amp; COUNTIF( $D$7:D121, D121))</f>
        <v>-</v>
      </c>
      <c r="C121" s="35"/>
      <c r="D121" s="30"/>
      <c r="E121" s="31"/>
      <c r="F121" s="32"/>
      <c r="G121" s="80"/>
      <c r="H121" s="87" t="str">
        <f t="shared" si="3"/>
        <v>-</v>
      </c>
    </row>
    <row r="122" spans="1:8" ht="27" customHeight="1" x14ac:dyDescent="0.25">
      <c r="A122" s="79"/>
      <c r="B122" s="86" t="str">
        <f>IF(D122 &lt;&gt; "Paciente/Dia", "-", D122 &amp; COUNTIF( $D$7:D122, D122))</f>
        <v>-</v>
      </c>
      <c r="C122" s="35"/>
      <c r="D122" s="30"/>
      <c r="E122" s="31"/>
      <c r="F122" s="32"/>
      <c r="G122" s="80"/>
      <c r="H122" s="87" t="str">
        <f t="shared" si="3"/>
        <v>-</v>
      </c>
    </row>
    <row r="123" spans="1:8" ht="27" customHeight="1" x14ac:dyDescent="0.25">
      <c r="A123" s="79"/>
      <c r="B123" s="86" t="str">
        <f>IF(D123 &lt;&gt; "Paciente/Dia", "-", D123 &amp; COUNTIF( $D$7:D123, D123))</f>
        <v>-</v>
      </c>
      <c r="C123" s="35"/>
      <c r="D123" s="30"/>
      <c r="E123" s="31"/>
      <c r="F123" s="32"/>
      <c r="G123" s="80"/>
      <c r="H123" s="87" t="str">
        <f t="shared" si="3"/>
        <v>-</v>
      </c>
    </row>
    <row r="124" spans="1:8" ht="27" customHeight="1" x14ac:dyDescent="0.25">
      <c r="A124" s="79"/>
      <c r="B124" s="88" t="str">
        <f>IF(D124 &lt;&gt; "Paciente/Dia", "-", D124 &amp; COUNTIF( $D$7:D124, D124))</f>
        <v>-</v>
      </c>
      <c r="C124" s="35"/>
      <c r="D124" s="30"/>
      <c r="E124" s="31"/>
      <c r="F124" s="32"/>
      <c r="G124" s="80"/>
      <c r="H124" s="87" t="str">
        <f t="shared" si="3"/>
        <v>-</v>
      </c>
    </row>
    <row r="125" spans="1:8" ht="98.25" customHeight="1" x14ac:dyDescent="0.2">
      <c r="A125" s="80"/>
      <c r="B125" s="80"/>
      <c r="C125" s="80"/>
      <c r="D125" s="80"/>
      <c r="E125" s="80"/>
      <c r="F125" s="80"/>
      <c r="G125" s="80"/>
    </row>
  </sheetData>
  <sheetProtection algorithmName="SHA-512" hashValue="4ZJ73/vP0KoFqT0Qo0zesFhcR56S547VSqny7ZGOJeCRod2fWARO3GZzFCYKBLqAZm6a8cQApO7IgK9SjjiKog==" saltValue="2m9mA21ZcDxU3sPFLlh6gA==" spinCount="100000" sheet="1" objects="1" scenarios="1"/>
  <mergeCells count="2">
    <mergeCell ref="B1:B4"/>
    <mergeCell ref="C1:E1"/>
  </mergeCells>
  <conditionalFormatting sqref="C105:F124">
    <cfRule type="expression" dxfId="157" priority="11">
      <formula>AND($C105&lt;&gt; "Administrativo", $C105 &lt;&gt; "Intermediário", $C105 &lt;&gt; "Externo", $C105 &lt;&gt; "Final", ISTEXT($C105))</formula>
    </cfRule>
  </conditionalFormatting>
  <conditionalFormatting sqref="C105:F124">
    <cfRule type="expression" dxfId="156" priority="12">
      <formula>OR($C105= "Administrativo", $C105 = "Intermediário", $C105 = "Externo", $C105 = "Final")</formula>
    </cfRule>
  </conditionalFormatting>
  <conditionalFormatting sqref="C84:F104">
    <cfRule type="expression" dxfId="155" priority="9">
      <formula>AND($C84&lt;&gt; "Administrativo", $C84 &lt;&gt; "Intermediário", $C84 &lt;&gt; "Externo", $C84 &lt;&gt; "Final", ISTEXT($C84))</formula>
    </cfRule>
  </conditionalFormatting>
  <conditionalFormatting sqref="C84:F104">
    <cfRule type="expression" dxfId="154" priority="10">
      <formula>OR($C84= "Administrativo", $C84 = "Intermediário", $C84 = "Externo", $C84 = "Final")</formula>
    </cfRule>
  </conditionalFormatting>
  <conditionalFormatting sqref="C5">
    <cfRule type="containsText" dxfId="153" priority="8" stopIfTrue="1" operator="containsText" text="Centro de Custo">
      <formula>NOT(ISERROR(SEARCH("Centro de Custo",C5)))</formula>
    </cfRule>
  </conditionalFormatting>
  <conditionalFormatting sqref="D5">
    <cfRule type="containsText" dxfId="152" priority="7" stopIfTrue="1" operator="containsText" text="Item Produção">
      <formula>NOT(ISERROR(SEARCH("Item Produção",D5)))</formula>
    </cfRule>
  </conditionalFormatting>
  <conditionalFormatting sqref="E5">
    <cfRule type="containsText" dxfId="151" priority="6" stopIfTrue="1" operator="containsText" text="Quantidade">
      <formula>NOT(ISERROR(SEARCH("Quantidade",E5)))</formula>
    </cfRule>
  </conditionalFormatting>
  <conditionalFormatting sqref="F5">
    <cfRule type="containsText" dxfId="150" priority="5" stopIfTrue="1" operator="containsText" text="Valor Médio Unitário">
      <formula>NOT(ISERROR(SEARCH("Valor Médio Unitário",F5)))</formula>
    </cfRule>
  </conditionalFormatting>
  <conditionalFormatting sqref="C8:F124">
    <cfRule type="expression" dxfId="149" priority="3" stopIfTrue="1">
      <formula>AND($C8&lt;&gt; "Administrativo", $C8 &lt;&gt; "Intermediário", $C8 &lt;&gt; "Externo", $C8 &lt;&gt; "Final", ISTEXT($C8))</formula>
    </cfRule>
  </conditionalFormatting>
  <conditionalFormatting sqref="C7:F124">
    <cfRule type="expression" dxfId="148" priority="4" stopIfTrue="1">
      <formula>OR($C7= "Administrativo", $C7 = "Intermediário", $C7 = "Externo", $C7 = "Final")</formula>
    </cfRule>
  </conditionalFormatting>
  <conditionalFormatting sqref="C7:F7">
    <cfRule type="expression" dxfId="147" priority="2" stopIfTrue="1">
      <formula>AND($C7&lt;&gt; "Administrativo", $C7 &lt;&gt; "Intermediário", $C7 &lt;&gt; "Externo", $C7 &lt;&gt; "Final", ISTEXT($C7))</formula>
    </cfRule>
  </conditionalFormatting>
  <conditionalFormatting sqref="C7:F7">
    <cfRule type="expression" dxfId="146" priority="1" stopIfTrue="1">
      <formula>AND($C7&lt;&gt; "Administrativo", $C7 &lt;&gt; "Intermediário", $C7 &lt;&gt; "Externo", $C7 &lt;&gt; "Final", ISTEXT($C7))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3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7">
    <tabColor theme="8" tint="0.59999389629810485"/>
  </sheetPr>
  <dimension ref="A1:H125"/>
  <sheetViews>
    <sheetView showGridLines="0" showRowColHeaders="0" zoomScale="85" zoomScaleNormal="85" zoomScaleSheetLayoutView="120" workbookViewId="0">
      <pane xSplit="8" ySplit="5" topLeftCell="I7" activePane="bottomRight" state="frozen"/>
      <selection activeCell="C125" sqref="C125"/>
      <selection pane="topRight" activeCell="C125" sqref="C125"/>
      <selection pane="bottomLeft" activeCell="C125" sqref="C125"/>
      <selection pane="bottomRight" activeCell="C7" sqref="C7"/>
    </sheetView>
  </sheetViews>
  <sheetFormatPr defaultColWidth="8.88671875" defaultRowHeight="15" x14ac:dyDescent="0.2"/>
  <cols>
    <col min="1" max="1" width="20.77734375" style="78" customWidth="1"/>
    <col min="2" max="2" width="13.77734375" style="78" hidden="1" customWidth="1"/>
    <col min="3" max="3" width="74.21875" style="78" customWidth="1"/>
    <col min="4" max="4" width="25.21875" style="78" customWidth="1"/>
    <col min="5" max="5" width="12" style="78" customWidth="1"/>
    <col min="6" max="6" width="14.109375" style="290" customWidth="1"/>
    <col min="7" max="7" width="23.77734375" style="78" customWidth="1"/>
    <col min="8" max="8" width="9.21875" style="78" hidden="1" customWidth="1"/>
    <col min="9" max="9" width="8.88671875" style="78" customWidth="1"/>
    <col min="10" max="10" width="24.77734375" style="78" customWidth="1"/>
    <col min="11" max="16384" width="8.88671875" style="78"/>
  </cols>
  <sheetData>
    <row r="1" spans="1:8" ht="45.95" customHeight="1" x14ac:dyDescent="0.25">
      <c r="A1" s="79"/>
      <c r="B1" s="418" t="s">
        <v>5</v>
      </c>
      <c r="C1" s="421" t="s">
        <v>196</v>
      </c>
      <c r="D1" s="422"/>
      <c r="E1" s="422"/>
      <c r="F1" s="363" t="str">
        <f>IF(C6="", "", UPPER(TEXT(C6, "MMM-AA")))</f>
        <v>MAR-25</v>
      </c>
      <c r="G1" s="80"/>
      <c r="H1" s="81"/>
    </row>
    <row r="2" spans="1:8" ht="15.75" customHeight="1" x14ac:dyDescent="0.25">
      <c r="A2" s="79"/>
      <c r="B2" s="419"/>
      <c r="C2" s="23" t="s">
        <v>323</v>
      </c>
      <c r="D2" s="23"/>
      <c r="E2" s="23"/>
      <c r="F2" s="73"/>
      <c r="G2" s="80"/>
      <c r="H2" s="82"/>
    </row>
    <row r="3" spans="1:8" ht="15.75" customHeight="1" x14ac:dyDescent="0.25">
      <c r="A3" s="79"/>
      <c r="B3" s="419"/>
      <c r="C3" s="287" t="s">
        <v>15</v>
      </c>
      <c r="D3" s="25"/>
      <c r="E3" s="25"/>
      <c r="F3" s="74"/>
      <c r="G3" s="80"/>
      <c r="H3" s="82"/>
    </row>
    <row r="4" spans="1:8" ht="15.95" customHeight="1" x14ac:dyDescent="0.25">
      <c r="A4" s="79"/>
      <c r="B4" s="420"/>
      <c r="C4" s="287" t="s">
        <v>355</v>
      </c>
      <c r="D4" s="24"/>
      <c r="E4" s="24"/>
      <c r="F4" s="74"/>
      <c r="G4" s="80"/>
      <c r="H4" s="82"/>
    </row>
    <row r="5" spans="1:8" ht="27" customHeight="1" x14ac:dyDescent="0.25">
      <c r="A5" s="79"/>
      <c r="B5" s="83" t="s">
        <v>6</v>
      </c>
      <c r="C5" s="27" t="s">
        <v>15</v>
      </c>
      <c r="D5" s="27" t="s">
        <v>334</v>
      </c>
      <c r="E5" s="27" t="s">
        <v>16</v>
      </c>
      <c r="F5" s="28" t="s">
        <v>17</v>
      </c>
      <c r="G5" s="80"/>
      <c r="H5" s="82"/>
    </row>
    <row r="6" spans="1:8" ht="29.25" hidden="1" customHeight="1" x14ac:dyDescent="0.2">
      <c r="A6" s="84" t="s">
        <v>18</v>
      </c>
      <c r="B6" s="85" t="s">
        <v>3</v>
      </c>
      <c r="C6" s="34">
        <v>45717</v>
      </c>
      <c r="D6" s="25"/>
      <c r="E6" s="25"/>
      <c r="F6" s="29"/>
      <c r="G6" s="80"/>
      <c r="H6" s="82"/>
    </row>
    <row r="7" spans="1:8" ht="27" customHeight="1" x14ac:dyDescent="0.25">
      <c r="A7" s="79"/>
      <c r="B7" s="86" t="str">
        <f>IF(D7 &lt;&gt; "Paciente/Dia", "-", D7 &amp; COUNTIF( $D$7:D7, D7))</f>
        <v>-</v>
      </c>
      <c r="C7" s="35" t="s">
        <v>335</v>
      </c>
      <c r="D7" s="30"/>
      <c r="E7" s="31"/>
      <c r="F7" s="32"/>
      <c r="G7" s="80"/>
      <c r="H7" s="87"/>
    </row>
    <row r="8" spans="1:8" ht="27" customHeight="1" x14ac:dyDescent="0.25">
      <c r="A8" s="79"/>
      <c r="B8" s="86" t="str">
        <f>IF(D8 &lt;&gt; "Paciente/Dia", "-", D8 &amp; COUNTIF( $D$7:D8, D8))</f>
        <v>-</v>
      </c>
      <c r="C8" s="35" t="s">
        <v>336</v>
      </c>
      <c r="D8" s="30" t="s">
        <v>255</v>
      </c>
      <c r="E8" s="31">
        <v>1</v>
      </c>
      <c r="F8" s="32">
        <v>157358.39999999999</v>
      </c>
      <c r="G8" s="80"/>
      <c r="H8" s="87"/>
    </row>
    <row r="9" spans="1:8" ht="27" customHeight="1" x14ac:dyDescent="0.25">
      <c r="A9" s="79"/>
      <c r="B9" s="86" t="str">
        <f>IF(D9 &lt;&gt; "Paciente/Dia", "-", D9 &amp; COUNTIF( $D$7:D9, D9))</f>
        <v>-</v>
      </c>
      <c r="C9" s="35" t="s">
        <v>337</v>
      </c>
      <c r="D9" s="30"/>
      <c r="E9" s="31"/>
      <c r="F9" s="32"/>
      <c r="G9" s="80"/>
      <c r="H9" s="87" t="str">
        <f t="shared" ref="H9:H37" si="0">IF(OR(
C9="ADMINISTRATIVO",
C9="INTERMEDIÁRIO",
C9="EXTERNO",
C9="FINAL"),"GRUPO","-")</f>
        <v>GRUPO</v>
      </c>
    </row>
    <row r="10" spans="1:8" ht="27" customHeight="1" x14ac:dyDescent="0.25">
      <c r="A10" s="79"/>
      <c r="B10" s="86" t="str">
        <f>IF(D10 &lt;&gt; "Paciente/Dia", "-", D10 &amp; COUNTIF( $D$7:D10, D10))</f>
        <v>-</v>
      </c>
      <c r="C10" s="35" t="s">
        <v>338</v>
      </c>
      <c r="D10" s="30" t="s">
        <v>255</v>
      </c>
      <c r="E10" s="31">
        <v>124</v>
      </c>
      <c r="F10" s="32">
        <v>180.62</v>
      </c>
      <c r="G10" s="80"/>
      <c r="H10" s="87" t="str">
        <f t="shared" si="0"/>
        <v>-</v>
      </c>
    </row>
    <row r="11" spans="1:8" ht="27" customHeight="1" x14ac:dyDescent="0.25">
      <c r="A11" s="79"/>
      <c r="B11" s="86" t="str">
        <f>IF(D11 &lt;&gt; "Paciente/Dia", "-", D11 &amp; COUNTIF( $D$7:D11, D11))</f>
        <v>-</v>
      </c>
      <c r="C11" s="35" t="s">
        <v>339</v>
      </c>
      <c r="D11" s="30" t="s">
        <v>255</v>
      </c>
      <c r="E11" s="31">
        <v>747</v>
      </c>
      <c r="F11" s="32">
        <v>262.16000000000003</v>
      </c>
      <c r="G11" s="80"/>
      <c r="H11" s="87" t="str">
        <f t="shared" si="0"/>
        <v>-</v>
      </c>
    </row>
    <row r="12" spans="1:8" ht="27" customHeight="1" x14ac:dyDescent="0.25">
      <c r="A12" s="79"/>
      <c r="B12" s="86" t="str">
        <f>IF(D12 &lt;&gt; "Paciente/Dia", "-", D12 &amp; COUNTIF( $D$7:D12, D12))</f>
        <v>-</v>
      </c>
      <c r="C12" s="35" t="s">
        <v>340</v>
      </c>
      <c r="D12" s="30" t="s">
        <v>255</v>
      </c>
      <c r="E12" s="31">
        <v>1021</v>
      </c>
      <c r="F12" s="32">
        <v>120.97</v>
      </c>
      <c r="G12" s="80"/>
      <c r="H12" s="87" t="str">
        <f t="shared" si="0"/>
        <v>-</v>
      </c>
    </row>
    <row r="13" spans="1:8" ht="27" customHeight="1" x14ac:dyDescent="0.25">
      <c r="A13" s="79"/>
      <c r="B13" s="86" t="str">
        <f>IF(D13 &lt;&gt; "Paciente/Dia", "-", D13 &amp; COUNTIF( $D$7:D13, D13))</f>
        <v>-</v>
      </c>
      <c r="C13" s="35" t="s">
        <v>341</v>
      </c>
      <c r="D13" s="30" t="s">
        <v>255</v>
      </c>
      <c r="E13" s="31">
        <v>1413</v>
      </c>
      <c r="F13" s="32">
        <v>277.89999999999998</v>
      </c>
      <c r="G13" s="80"/>
      <c r="H13" s="87" t="str">
        <f t="shared" si="0"/>
        <v>-</v>
      </c>
    </row>
    <row r="14" spans="1:8" ht="27" customHeight="1" x14ac:dyDescent="0.25">
      <c r="A14" s="79"/>
      <c r="B14" s="86" t="str">
        <f>IF(D14 &lt;&gt; "Paciente/Dia", "-", D14 &amp; COUNTIF( $D$7:D14, D14))</f>
        <v>-</v>
      </c>
      <c r="C14" s="35" t="s">
        <v>342</v>
      </c>
      <c r="D14" s="30" t="s">
        <v>255</v>
      </c>
      <c r="E14" s="31">
        <v>78</v>
      </c>
      <c r="F14" s="32">
        <v>463.72</v>
      </c>
      <c r="G14" s="80"/>
      <c r="H14" s="87" t="str">
        <f t="shared" si="0"/>
        <v>-</v>
      </c>
    </row>
    <row r="15" spans="1:8" ht="27" customHeight="1" x14ac:dyDescent="0.25">
      <c r="A15" s="79"/>
      <c r="B15" s="86" t="str">
        <f>IF(D15 &lt;&gt; "Paciente/Dia", "-", D15 &amp; COUNTIF( $D$7:D15, D15))</f>
        <v>-</v>
      </c>
      <c r="C15" s="35" t="s">
        <v>343</v>
      </c>
      <c r="D15" s="30" t="s">
        <v>255</v>
      </c>
      <c r="E15" s="31">
        <v>415</v>
      </c>
      <c r="F15" s="32">
        <v>211.73</v>
      </c>
      <c r="G15" s="80"/>
      <c r="H15" s="87" t="str">
        <f t="shared" si="0"/>
        <v>-</v>
      </c>
    </row>
    <row r="16" spans="1:8" ht="27" customHeight="1" x14ac:dyDescent="0.25">
      <c r="A16" s="79"/>
      <c r="B16" s="86" t="str">
        <f>IF(D16 &lt;&gt; "Paciente/Dia", "-", D16 &amp; COUNTIF( $D$7:D16, D16))</f>
        <v>-</v>
      </c>
      <c r="C16" s="35" t="s">
        <v>344</v>
      </c>
      <c r="D16" s="30" t="s">
        <v>255</v>
      </c>
      <c r="E16" s="31">
        <v>126</v>
      </c>
      <c r="F16" s="32">
        <v>145.91</v>
      </c>
      <c r="G16" s="80"/>
      <c r="H16" s="87" t="str">
        <f t="shared" si="0"/>
        <v>-</v>
      </c>
    </row>
    <row r="17" spans="1:8" ht="27" customHeight="1" x14ac:dyDescent="0.25">
      <c r="A17" s="79"/>
      <c r="B17" s="86" t="str">
        <f>IF(D17 &lt;&gt; "Paciente/Dia", "-", D17 &amp; COUNTIF( $D$7:D17, D17))</f>
        <v>-</v>
      </c>
      <c r="C17" s="35" t="s">
        <v>345</v>
      </c>
      <c r="D17" s="30" t="s">
        <v>255</v>
      </c>
      <c r="E17" s="31">
        <v>456</v>
      </c>
      <c r="F17" s="32">
        <v>118.49</v>
      </c>
      <c r="G17" s="80"/>
      <c r="H17" s="87" t="str">
        <f t="shared" si="0"/>
        <v>-</v>
      </c>
    </row>
    <row r="18" spans="1:8" ht="27" customHeight="1" x14ac:dyDescent="0.25">
      <c r="A18" s="79"/>
      <c r="B18" s="86" t="str">
        <f>IF(D18 &lt;&gt; "Paciente/Dia", "-", D18 &amp; COUNTIF( $D$7:D18, D18))</f>
        <v>-</v>
      </c>
      <c r="C18" s="35" t="s">
        <v>346</v>
      </c>
      <c r="D18" s="30" t="s">
        <v>255</v>
      </c>
      <c r="E18" s="31">
        <v>29</v>
      </c>
      <c r="F18" s="32">
        <v>752.3</v>
      </c>
      <c r="G18" s="80"/>
      <c r="H18" s="87" t="str">
        <f t="shared" si="0"/>
        <v>-</v>
      </c>
    </row>
    <row r="19" spans="1:8" ht="27" customHeight="1" x14ac:dyDescent="0.25">
      <c r="A19" s="79"/>
      <c r="B19" s="86" t="str">
        <f>IF(D19 &lt;&gt; "Paciente/Dia", "-", D19 &amp; COUNTIF( $D$7:D19, D19))</f>
        <v>-</v>
      </c>
      <c r="C19" s="35" t="s">
        <v>347</v>
      </c>
      <c r="D19" s="30" t="s">
        <v>255</v>
      </c>
      <c r="E19" s="31">
        <v>318</v>
      </c>
      <c r="F19" s="32">
        <v>335.55</v>
      </c>
      <c r="G19" s="80"/>
      <c r="H19" s="87" t="str">
        <f t="shared" si="0"/>
        <v>-</v>
      </c>
    </row>
    <row r="20" spans="1:8" ht="27" customHeight="1" x14ac:dyDescent="0.25">
      <c r="A20" s="79"/>
      <c r="B20" s="86" t="str">
        <f>IF(D20 &lt;&gt; "Paciente/Dia", "-", D20 &amp; COUNTIF( $D$7:D20, D20))</f>
        <v>-</v>
      </c>
      <c r="C20" s="35" t="s">
        <v>349</v>
      </c>
      <c r="D20" s="30" t="s">
        <v>255</v>
      </c>
      <c r="E20" s="31">
        <v>79</v>
      </c>
      <c r="F20" s="32">
        <v>443.51</v>
      </c>
      <c r="G20" s="80"/>
      <c r="H20" s="87" t="str">
        <f t="shared" si="0"/>
        <v>-</v>
      </c>
    </row>
    <row r="21" spans="1:8" ht="27" customHeight="1" x14ac:dyDescent="0.25">
      <c r="A21" s="79"/>
      <c r="B21" s="86" t="str">
        <f>IF(D21 &lt;&gt; "Paciente/Dia", "-", D21 &amp; COUNTIF( $D$7:D21, D21))</f>
        <v>-</v>
      </c>
      <c r="C21" s="35" t="s">
        <v>350</v>
      </c>
      <c r="D21" s="30" t="s">
        <v>255</v>
      </c>
      <c r="E21" s="31">
        <v>48</v>
      </c>
      <c r="F21" s="32">
        <v>374.74</v>
      </c>
      <c r="G21" s="80"/>
      <c r="H21" s="87" t="str">
        <f t="shared" si="0"/>
        <v>-</v>
      </c>
    </row>
    <row r="22" spans="1:8" ht="27" customHeight="1" x14ac:dyDescent="0.25">
      <c r="A22" s="79"/>
      <c r="B22" s="86" t="str">
        <f>IF(D22 &lt;&gt; "Paciente/Dia", "-", D22 &amp; COUNTIF( $D$7:D22, D22))</f>
        <v>-</v>
      </c>
      <c r="C22" s="35" t="s">
        <v>351</v>
      </c>
      <c r="D22" s="30" t="s">
        <v>255</v>
      </c>
      <c r="E22" s="31">
        <v>69</v>
      </c>
      <c r="F22" s="32">
        <v>294.76</v>
      </c>
      <c r="G22" s="80"/>
      <c r="H22" s="87" t="str">
        <f t="shared" si="0"/>
        <v>-</v>
      </c>
    </row>
    <row r="23" spans="1:8" ht="27" customHeight="1" x14ac:dyDescent="0.25">
      <c r="A23" s="79"/>
      <c r="B23" s="86" t="str">
        <f>IF(D23 &lt;&gt; "Paciente/Dia", "-", D23 &amp; COUNTIF( $D$7:D23, D23))</f>
        <v>-</v>
      </c>
      <c r="C23" s="35" t="s">
        <v>352</v>
      </c>
      <c r="D23" s="30" t="s">
        <v>255</v>
      </c>
      <c r="E23" s="31">
        <v>2085</v>
      </c>
      <c r="F23" s="32">
        <v>240.02</v>
      </c>
      <c r="G23" s="80"/>
      <c r="H23" s="87" t="str">
        <f t="shared" si="0"/>
        <v>-</v>
      </c>
    </row>
    <row r="24" spans="1:8" ht="27" customHeight="1" x14ac:dyDescent="0.25">
      <c r="A24" s="79"/>
      <c r="B24" s="86" t="str">
        <f>IF(D24 &lt;&gt; "Paciente/Dia", "-", D24 &amp; COUNTIF( $D$7:D24, D24))</f>
        <v>-</v>
      </c>
      <c r="C24" s="35" t="s">
        <v>353</v>
      </c>
      <c r="D24" s="30" t="s">
        <v>307</v>
      </c>
      <c r="E24" s="31">
        <v>214</v>
      </c>
      <c r="F24" s="32">
        <v>275.56</v>
      </c>
      <c r="G24" s="80"/>
      <c r="H24" s="87" t="str">
        <f t="shared" si="0"/>
        <v>-</v>
      </c>
    </row>
    <row r="25" spans="1:8" ht="27" customHeight="1" x14ac:dyDescent="0.25">
      <c r="A25" s="79"/>
      <c r="B25" s="86" t="str">
        <f>IF(D25 &lt;&gt; "Paciente/Dia", "-", D25 &amp; COUNTIF( $D$7:D25, D25))</f>
        <v>-</v>
      </c>
      <c r="C25" s="35"/>
      <c r="D25" s="30"/>
      <c r="E25" s="31"/>
      <c r="F25" s="32"/>
      <c r="G25" s="80"/>
      <c r="H25" s="87" t="str">
        <f t="shared" si="0"/>
        <v>-</v>
      </c>
    </row>
    <row r="26" spans="1:8" ht="27" customHeight="1" x14ac:dyDescent="0.25">
      <c r="A26" s="79"/>
      <c r="B26" s="86" t="str">
        <f>IF(D26 &lt;&gt; "Paciente/Dia", "-", D26 &amp; COUNTIF( $D$7:D26, D26))</f>
        <v>-</v>
      </c>
      <c r="C26" s="35"/>
      <c r="D26" s="30"/>
      <c r="E26" s="31"/>
      <c r="F26" s="32"/>
      <c r="G26" s="80"/>
      <c r="H26" s="87" t="str">
        <f t="shared" si="0"/>
        <v>-</v>
      </c>
    </row>
    <row r="27" spans="1:8" ht="27" customHeight="1" x14ac:dyDescent="0.25">
      <c r="A27" s="79"/>
      <c r="B27" s="86" t="str">
        <f>IF(D27 &lt;&gt; "Paciente/Dia", "-", D27 &amp; COUNTIF( $D$7:D27, D27))</f>
        <v>-</v>
      </c>
      <c r="C27" s="35"/>
      <c r="D27" s="30"/>
      <c r="E27" s="31"/>
      <c r="F27" s="32"/>
      <c r="G27" s="80"/>
      <c r="H27" s="87" t="str">
        <f t="shared" si="0"/>
        <v>-</v>
      </c>
    </row>
    <row r="28" spans="1:8" ht="27" customHeight="1" x14ac:dyDescent="0.25">
      <c r="A28" s="79"/>
      <c r="B28" s="86" t="str">
        <f>IF(D28 &lt;&gt; "Paciente/Dia", "-", D28 &amp; COUNTIF( $D$7:D28, D28))</f>
        <v>-</v>
      </c>
      <c r="C28" s="35"/>
      <c r="D28" s="30"/>
      <c r="E28" s="31"/>
      <c r="F28" s="32"/>
      <c r="G28" s="80"/>
      <c r="H28" s="87" t="str">
        <f t="shared" si="0"/>
        <v>-</v>
      </c>
    </row>
    <row r="29" spans="1:8" ht="27" customHeight="1" x14ac:dyDescent="0.25">
      <c r="A29" s="79"/>
      <c r="B29" s="86" t="str">
        <f>IF(D29 &lt;&gt; "Paciente/Dia", "-", D29 &amp; COUNTIF( $D$7:D29, D29))</f>
        <v>-</v>
      </c>
      <c r="C29" s="35"/>
      <c r="D29" s="30"/>
      <c r="E29" s="31"/>
      <c r="F29" s="32"/>
      <c r="G29" s="80"/>
      <c r="H29" s="87" t="str">
        <f t="shared" si="0"/>
        <v>-</v>
      </c>
    </row>
    <row r="30" spans="1:8" ht="27" customHeight="1" x14ac:dyDescent="0.25">
      <c r="A30" s="79"/>
      <c r="B30" s="86" t="str">
        <f>IF(D30 &lt;&gt; "Paciente/Dia", "-", D30 &amp; COUNTIF( $D$7:D30, D30))</f>
        <v>-</v>
      </c>
      <c r="C30" s="35"/>
      <c r="D30" s="30"/>
      <c r="E30" s="31"/>
      <c r="F30" s="32"/>
      <c r="G30" s="80"/>
      <c r="H30" s="87" t="str">
        <f t="shared" si="0"/>
        <v>-</v>
      </c>
    </row>
    <row r="31" spans="1:8" ht="27" customHeight="1" x14ac:dyDescent="0.25">
      <c r="A31" s="79"/>
      <c r="B31" s="86" t="str">
        <f>IF(D31 &lt;&gt; "Paciente/Dia", "-", D31 &amp; COUNTIF( $D$7:D31, D31))</f>
        <v>-</v>
      </c>
      <c r="C31" s="35"/>
      <c r="D31" s="30"/>
      <c r="E31" s="31"/>
      <c r="F31" s="32"/>
      <c r="G31" s="80"/>
      <c r="H31" s="87" t="str">
        <f t="shared" si="0"/>
        <v>-</v>
      </c>
    </row>
    <row r="32" spans="1:8" ht="27" customHeight="1" x14ac:dyDescent="0.25">
      <c r="A32" s="79"/>
      <c r="B32" s="86" t="str">
        <f>IF(D32 &lt;&gt; "Paciente/Dia", "-", D32 &amp; COUNTIF( $D$7:D32, D32))</f>
        <v>-</v>
      </c>
      <c r="C32" s="35"/>
      <c r="D32" s="30"/>
      <c r="E32" s="31"/>
      <c r="F32" s="32"/>
      <c r="G32" s="80"/>
      <c r="H32" s="87" t="str">
        <f t="shared" si="0"/>
        <v>-</v>
      </c>
    </row>
    <row r="33" spans="1:8" ht="27" customHeight="1" x14ac:dyDescent="0.25">
      <c r="A33" s="79"/>
      <c r="B33" s="86" t="str">
        <f>IF(D33 &lt;&gt; "Paciente/Dia", "-", D33 &amp; COUNTIF( $D$7:D33, D33))</f>
        <v>-</v>
      </c>
      <c r="C33" s="35"/>
      <c r="D33" s="30"/>
      <c r="E33" s="31"/>
      <c r="F33" s="32"/>
      <c r="G33" s="80"/>
      <c r="H33" s="87" t="str">
        <f t="shared" si="0"/>
        <v>-</v>
      </c>
    </row>
    <row r="34" spans="1:8" ht="27" customHeight="1" x14ac:dyDescent="0.25">
      <c r="A34" s="79"/>
      <c r="B34" s="86" t="str">
        <f>IF(D34 &lt;&gt; "Paciente/Dia", "-", D34 &amp; COUNTIF( $D$7:D34, D34))</f>
        <v>-</v>
      </c>
      <c r="C34" s="35"/>
      <c r="D34" s="30"/>
      <c r="E34" s="31"/>
      <c r="F34" s="32"/>
      <c r="G34" s="80"/>
      <c r="H34" s="87" t="str">
        <f t="shared" si="0"/>
        <v>-</v>
      </c>
    </row>
    <row r="35" spans="1:8" ht="27" customHeight="1" x14ac:dyDescent="0.25">
      <c r="A35" s="79"/>
      <c r="B35" s="86" t="str">
        <f>IF(D35 &lt;&gt; "Paciente/Dia", "-", D35 &amp; COUNTIF( $D$7:D35, D35))</f>
        <v>-</v>
      </c>
      <c r="C35" s="35"/>
      <c r="D35" s="30"/>
      <c r="E35" s="31"/>
      <c r="F35" s="32"/>
      <c r="G35" s="80"/>
      <c r="H35" s="87" t="str">
        <f t="shared" si="0"/>
        <v>-</v>
      </c>
    </row>
    <row r="36" spans="1:8" ht="27" customHeight="1" x14ac:dyDescent="0.25">
      <c r="A36" s="79"/>
      <c r="B36" s="86" t="str">
        <f>IF(D36 &lt;&gt; "Paciente/Dia", "-", D36 &amp; COUNTIF( $D$7:D36, D36))</f>
        <v>-</v>
      </c>
      <c r="C36" s="35"/>
      <c r="D36" s="30"/>
      <c r="E36" s="31"/>
      <c r="F36" s="32"/>
      <c r="G36" s="80"/>
      <c r="H36" s="87" t="str">
        <f t="shared" si="0"/>
        <v>-</v>
      </c>
    </row>
    <row r="37" spans="1:8" ht="27" customHeight="1" x14ac:dyDescent="0.25">
      <c r="A37" s="79"/>
      <c r="B37" s="86" t="str">
        <f>IF(D37 &lt;&gt; "Paciente/Dia", "-", D37 &amp; COUNTIF( $D$7:D37, D37))</f>
        <v>-</v>
      </c>
      <c r="C37" s="35"/>
      <c r="D37" s="30"/>
      <c r="E37" s="31"/>
      <c r="F37" s="32"/>
      <c r="G37" s="80"/>
      <c r="H37" s="87" t="str">
        <f t="shared" si="0"/>
        <v>-</v>
      </c>
    </row>
    <row r="38" spans="1:8" ht="27" customHeight="1" x14ac:dyDescent="0.25">
      <c r="A38" s="79"/>
      <c r="B38" s="86" t="str">
        <f>IF(D38 &lt;&gt; "Paciente/Dia", "-", D38 &amp; COUNTIF( $D$7:D38, D38))</f>
        <v>-</v>
      </c>
      <c r="C38" s="35"/>
      <c r="D38" s="30"/>
      <c r="E38" s="31"/>
      <c r="F38" s="32"/>
      <c r="G38" s="80"/>
      <c r="H38" s="87" t="str">
        <f t="shared" ref="H38:H71" si="1">IF(OR(
C38="ADMINISTRATIVO",
C38="INTERMEDIÁRIO",
C38="EXTERNO",
C38="FINAL"),"GRUPO","-")</f>
        <v>-</v>
      </c>
    </row>
    <row r="39" spans="1:8" ht="27" customHeight="1" x14ac:dyDescent="0.25">
      <c r="A39" s="79"/>
      <c r="B39" s="86" t="str">
        <f>IF(D39 &lt;&gt; "Paciente/Dia", "-", D39 &amp; COUNTIF( $D$7:D39, D39))</f>
        <v>-</v>
      </c>
      <c r="C39" s="35"/>
      <c r="D39" s="30"/>
      <c r="E39" s="31"/>
      <c r="F39" s="32"/>
      <c r="G39" s="80"/>
      <c r="H39" s="87" t="str">
        <f t="shared" si="1"/>
        <v>-</v>
      </c>
    </row>
    <row r="40" spans="1:8" ht="27" customHeight="1" x14ac:dyDescent="0.25">
      <c r="A40" s="79"/>
      <c r="B40" s="86" t="str">
        <f>IF(D40 &lt;&gt; "Paciente/Dia", "-", D40 &amp; COUNTIF( $D$7:D40, D40))</f>
        <v>-</v>
      </c>
      <c r="C40" s="35"/>
      <c r="D40" s="30"/>
      <c r="E40" s="31"/>
      <c r="F40" s="32"/>
      <c r="G40" s="80"/>
      <c r="H40" s="87" t="str">
        <f t="shared" si="1"/>
        <v>-</v>
      </c>
    </row>
    <row r="41" spans="1:8" ht="27" customHeight="1" x14ac:dyDescent="0.25">
      <c r="A41" s="79"/>
      <c r="B41" s="86" t="str">
        <f>IF(D41 &lt;&gt; "Paciente/Dia", "-", D41 &amp; COUNTIF( $D$7:D41, D41))</f>
        <v>-</v>
      </c>
      <c r="C41" s="35"/>
      <c r="D41" s="30"/>
      <c r="E41" s="31"/>
      <c r="F41" s="32"/>
      <c r="G41" s="80"/>
      <c r="H41" s="87" t="str">
        <f t="shared" si="1"/>
        <v>-</v>
      </c>
    </row>
    <row r="42" spans="1:8" ht="27" customHeight="1" x14ac:dyDescent="0.25">
      <c r="A42" s="79"/>
      <c r="B42" s="86" t="str">
        <f>IF(D42 &lt;&gt; "Paciente/Dia", "-", D42 &amp; COUNTIF( $D$7:D42, D42))</f>
        <v>-</v>
      </c>
      <c r="C42" s="35"/>
      <c r="D42" s="30"/>
      <c r="E42" s="31"/>
      <c r="F42" s="32"/>
      <c r="G42" s="80"/>
      <c r="H42" s="87" t="str">
        <f t="shared" si="1"/>
        <v>-</v>
      </c>
    </row>
    <row r="43" spans="1:8" ht="27" customHeight="1" x14ac:dyDescent="0.25">
      <c r="A43" s="79"/>
      <c r="B43" s="86" t="str">
        <f>IF(D43 &lt;&gt; "Paciente/Dia", "-", D43 &amp; COUNTIF( $D$7:D43, D43))</f>
        <v>-</v>
      </c>
      <c r="C43" s="35"/>
      <c r="D43" s="30"/>
      <c r="E43" s="31"/>
      <c r="F43" s="32"/>
      <c r="G43" s="80"/>
      <c r="H43" s="87" t="str">
        <f t="shared" si="1"/>
        <v>-</v>
      </c>
    </row>
    <row r="44" spans="1:8" ht="27" customHeight="1" x14ac:dyDescent="0.25">
      <c r="A44" s="79"/>
      <c r="B44" s="86" t="str">
        <f>IF(D44 &lt;&gt; "Paciente/Dia", "-", D44 &amp; COUNTIF( $D$7:D44, D44))</f>
        <v>-</v>
      </c>
      <c r="C44" s="35"/>
      <c r="D44" s="30"/>
      <c r="E44" s="31"/>
      <c r="F44" s="32"/>
      <c r="G44" s="80"/>
      <c r="H44" s="87" t="str">
        <f t="shared" si="1"/>
        <v>-</v>
      </c>
    </row>
    <row r="45" spans="1:8" ht="27" customHeight="1" x14ac:dyDescent="0.25">
      <c r="A45" s="79"/>
      <c r="B45" s="86" t="str">
        <f>IF(D45 &lt;&gt; "Paciente/Dia", "-", D45 &amp; COUNTIF( $D$7:D45, D45))</f>
        <v>-</v>
      </c>
      <c r="C45" s="35"/>
      <c r="D45" s="30"/>
      <c r="E45" s="31"/>
      <c r="F45" s="32"/>
      <c r="G45" s="80"/>
      <c r="H45" s="87" t="str">
        <f t="shared" si="1"/>
        <v>-</v>
      </c>
    </row>
    <row r="46" spans="1:8" ht="27" customHeight="1" x14ac:dyDescent="0.25">
      <c r="A46" s="79"/>
      <c r="B46" s="86" t="str">
        <f>IF(D46 &lt;&gt; "Paciente/Dia", "-", D46 &amp; COUNTIF( $D$7:D46, D46))</f>
        <v>-</v>
      </c>
      <c r="C46" s="35"/>
      <c r="D46" s="30"/>
      <c r="E46" s="31"/>
      <c r="F46" s="32"/>
      <c r="G46" s="80"/>
      <c r="H46" s="87" t="str">
        <f t="shared" si="1"/>
        <v>-</v>
      </c>
    </row>
    <row r="47" spans="1:8" ht="27" customHeight="1" x14ac:dyDescent="0.25">
      <c r="A47" s="79"/>
      <c r="B47" s="86" t="str">
        <f>IF(D47 &lt;&gt; "Paciente/Dia", "-", D47 &amp; COUNTIF( $D$7:D47, D47))</f>
        <v>-</v>
      </c>
      <c r="C47" s="35"/>
      <c r="D47" s="30"/>
      <c r="E47" s="31"/>
      <c r="F47" s="32"/>
      <c r="G47" s="80"/>
      <c r="H47" s="87" t="str">
        <f t="shared" si="1"/>
        <v>-</v>
      </c>
    </row>
    <row r="48" spans="1:8" ht="27" customHeight="1" x14ac:dyDescent="0.25">
      <c r="A48" s="79"/>
      <c r="B48" s="86" t="str">
        <f>IF(D48 &lt;&gt; "Paciente/Dia", "-", D48 &amp; COUNTIF( $D$7:D48, D48))</f>
        <v>-</v>
      </c>
      <c r="C48" s="35"/>
      <c r="D48" s="30"/>
      <c r="E48" s="31"/>
      <c r="F48" s="32"/>
      <c r="G48" s="80"/>
      <c r="H48" s="87" t="str">
        <f t="shared" si="1"/>
        <v>-</v>
      </c>
    </row>
    <row r="49" spans="1:8" ht="27" customHeight="1" x14ac:dyDescent="0.25">
      <c r="A49" s="79"/>
      <c r="B49" s="86" t="str">
        <f>IF(D49 &lt;&gt; "Paciente/Dia", "-", D49 &amp; COUNTIF( $D$7:D49, D49))</f>
        <v>-</v>
      </c>
      <c r="C49" s="35"/>
      <c r="D49" s="30"/>
      <c r="E49" s="31"/>
      <c r="F49" s="32"/>
      <c r="G49" s="80"/>
      <c r="H49" s="87" t="str">
        <f t="shared" si="1"/>
        <v>-</v>
      </c>
    </row>
    <row r="50" spans="1:8" ht="27" customHeight="1" x14ac:dyDescent="0.25">
      <c r="A50" s="79"/>
      <c r="B50" s="86" t="str">
        <f>IF(D50 &lt;&gt; "Paciente/Dia", "-", D50 &amp; COUNTIF( $D$7:D50, D50))</f>
        <v>-</v>
      </c>
      <c r="C50" s="35"/>
      <c r="D50" s="30"/>
      <c r="E50" s="31"/>
      <c r="F50" s="32"/>
      <c r="G50" s="80"/>
      <c r="H50" s="87" t="str">
        <f t="shared" si="1"/>
        <v>-</v>
      </c>
    </row>
    <row r="51" spans="1:8" ht="27" customHeight="1" x14ac:dyDescent="0.25">
      <c r="A51" s="79"/>
      <c r="B51" s="86" t="str">
        <f>IF(D51 &lt;&gt; "Paciente/Dia", "-", D51 &amp; COUNTIF( $D$7:D51, D51))</f>
        <v>-</v>
      </c>
      <c r="C51" s="35"/>
      <c r="D51" s="30"/>
      <c r="E51" s="31"/>
      <c r="F51" s="32"/>
      <c r="G51" s="80"/>
      <c r="H51" s="87" t="str">
        <f t="shared" si="1"/>
        <v>-</v>
      </c>
    </row>
    <row r="52" spans="1:8" ht="27" customHeight="1" x14ac:dyDescent="0.25">
      <c r="A52" s="79"/>
      <c r="B52" s="86" t="str">
        <f>IF(D52 &lt;&gt; "Paciente/Dia", "-", D52 &amp; COUNTIF( $D$7:D52, D52))</f>
        <v>-</v>
      </c>
      <c r="C52" s="35"/>
      <c r="D52" s="30"/>
      <c r="E52" s="31"/>
      <c r="F52" s="32"/>
      <c r="G52" s="80"/>
      <c r="H52" s="87" t="str">
        <f t="shared" si="1"/>
        <v>-</v>
      </c>
    </row>
    <row r="53" spans="1:8" ht="27" customHeight="1" x14ac:dyDescent="0.25">
      <c r="A53" s="79"/>
      <c r="B53" s="86" t="str">
        <f>IF(D53 &lt;&gt; "Paciente/Dia", "-", D53 &amp; COUNTIF( $D$7:D53, D53))</f>
        <v>-</v>
      </c>
      <c r="C53" s="35"/>
      <c r="D53" s="30"/>
      <c r="E53" s="31"/>
      <c r="F53" s="32"/>
      <c r="G53" s="80"/>
      <c r="H53" s="87" t="str">
        <f t="shared" si="1"/>
        <v>-</v>
      </c>
    </row>
    <row r="54" spans="1:8" ht="27" customHeight="1" x14ac:dyDescent="0.25">
      <c r="A54" s="79"/>
      <c r="B54" s="86" t="str">
        <f>IF(D54 &lt;&gt; "Paciente/Dia", "-", D54 &amp; COUNTIF( $D$7:D54, D54))</f>
        <v>-</v>
      </c>
      <c r="C54" s="35"/>
      <c r="D54" s="30"/>
      <c r="E54" s="31"/>
      <c r="F54" s="32"/>
      <c r="G54" s="80"/>
      <c r="H54" s="87" t="str">
        <f t="shared" si="1"/>
        <v>-</v>
      </c>
    </row>
    <row r="55" spans="1:8" ht="27" customHeight="1" x14ac:dyDescent="0.25">
      <c r="A55" s="79"/>
      <c r="B55" s="86" t="str">
        <f>IF(D55 &lt;&gt; "Paciente/Dia", "-", D55 &amp; COUNTIF( $D$7:D55, D55))</f>
        <v>-</v>
      </c>
      <c r="C55" s="35"/>
      <c r="D55" s="30"/>
      <c r="E55" s="31"/>
      <c r="F55" s="32"/>
      <c r="G55" s="80"/>
      <c r="H55" s="87" t="str">
        <f t="shared" si="1"/>
        <v>-</v>
      </c>
    </row>
    <row r="56" spans="1:8" ht="27" customHeight="1" x14ac:dyDescent="0.25">
      <c r="A56" s="79"/>
      <c r="B56" s="86" t="str">
        <f>IF(D56 &lt;&gt; "Paciente/Dia", "-", D56 &amp; COUNTIF( $D$7:D56, D56))</f>
        <v>-</v>
      </c>
      <c r="C56" s="35"/>
      <c r="D56" s="30"/>
      <c r="E56" s="31"/>
      <c r="F56" s="32"/>
      <c r="G56" s="80"/>
      <c r="H56" s="87" t="str">
        <f t="shared" si="1"/>
        <v>-</v>
      </c>
    </row>
    <row r="57" spans="1:8" ht="27" customHeight="1" x14ac:dyDescent="0.25">
      <c r="A57" s="79"/>
      <c r="B57" s="86" t="str">
        <f>IF(D57 &lt;&gt; "Paciente/Dia", "-", D57 &amp; COUNTIF( $D$7:D57, D57))</f>
        <v>-</v>
      </c>
      <c r="C57" s="35"/>
      <c r="D57" s="30"/>
      <c r="E57" s="31"/>
      <c r="F57" s="32"/>
      <c r="G57" s="80"/>
      <c r="H57" s="87" t="str">
        <f t="shared" si="1"/>
        <v>-</v>
      </c>
    </row>
    <row r="58" spans="1:8" ht="27" customHeight="1" x14ac:dyDescent="0.25">
      <c r="A58" s="79"/>
      <c r="B58" s="86" t="str">
        <f>IF(D58 &lt;&gt; "Paciente/Dia", "-", D58 &amp; COUNTIF( $D$7:D58, D58))</f>
        <v>-</v>
      </c>
      <c r="C58" s="35"/>
      <c r="D58" s="30"/>
      <c r="E58" s="31"/>
      <c r="F58" s="32"/>
      <c r="G58" s="80"/>
      <c r="H58" s="87" t="str">
        <f t="shared" si="1"/>
        <v>-</v>
      </c>
    </row>
    <row r="59" spans="1:8" ht="27" customHeight="1" x14ac:dyDescent="0.25">
      <c r="A59" s="79"/>
      <c r="B59" s="86" t="str">
        <f>IF(D59 &lt;&gt; "Paciente/Dia", "-", D59 &amp; COUNTIF( $D$7:D59, D59))</f>
        <v>-</v>
      </c>
      <c r="C59" s="35"/>
      <c r="D59" s="30"/>
      <c r="E59" s="31"/>
      <c r="F59" s="32"/>
      <c r="G59" s="80"/>
      <c r="H59" s="87" t="str">
        <f t="shared" si="1"/>
        <v>-</v>
      </c>
    </row>
    <row r="60" spans="1:8" ht="27" customHeight="1" x14ac:dyDescent="0.25">
      <c r="A60" s="79"/>
      <c r="B60" s="86" t="str">
        <f>IF(D60 &lt;&gt; "Paciente/Dia", "-", D60 &amp; COUNTIF( $D$7:D60, D60))</f>
        <v>-</v>
      </c>
      <c r="C60" s="35"/>
      <c r="D60" s="30"/>
      <c r="E60" s="31"/>
      <c r="F60" s="32"/>
      <c r="G60" s="80"/>
      <c r="H60" s="87" t="str">
        <f t="shared" si="1"/>
        <v>-</v>
      </c>
    </row>
    <row r="61" spans="1:8" ht="27" customHeight="1" x14ac:dyDescent="0.25">
      <c r="A61" s="79"/>
      <c r="B61" s="86" t="str">
        <f>IF(D61 &lt;&gt; "Paciente/Dia", "-", D61 &amp; COUNTIF( $D$7:D61, D61))</f>
        <v>-</v>
      </c>
      <c r="C61" s="35"/>
      <c r="D61" s="30"/>
      <c r="E61" s="31"/>
      <c r="F61" s="32"/>
      <c r="G61" s="80"/>
      <c r="H61" s="87" t="str">
        <f t="shared" si="1"/>
        <v>-</v>
      </c>
    </row>
    <row r="62" spans="1:8" ht="27" customHeight="1" x14ac:dyDescent="0.25">
      <c r="A62" s="79"/>
      <c r="B62" s="86" t="str">
        <f>IF(D62 &lt;&gt; "Paciente/Dia", "-", D62 &amp; COUNTIF( $D$7:D62, D62))</f>
        <v>-</v>
      </c>
      <c r="C62" s="35"/>
      <c r="D62" s="30"/>
      <c r="E62" s="31"/>
      <c r="F62" s="32"/>
      <c r="G62" s="80"/>
      <c r="H62" s="87" t="str">
        <f t="shared" si="1"/>
        <v>-</v>
      </c>
    </row>
    <row r="63" spans="1:8" ht="27" customHeight="1" x14ac:dyDescent="0.25">
      <c r="A63" s="79"/>
      <c r="B63" s="86" t="str">
        <f>IF(D63 &lt;&gt; "Paciente/Dia", "-", D63 &amp; COUNTIF( $D$7:D63, D63))</f>
        <v>-</v>
      </c>
      <c r="C63" s="35"/>
      <c r="D63" s="30"/>
      <c r="E63" s="31"/>
      <c r="F63" s="32"/>
      <c r="G63" s="80"/>
      <c r="H63" s="87" t="str">
        <f t="shared" si="1"/>
        <v>-</v>
      </c>
    </row>
    <row r="64" spans="1:8" ht="27" customHeight="1" x14ac:dyDescent="0.25">
      <c r="A64" s="79"/>
      <c r="B64" s="86" t="str">
        <f>IF(D64 &lt;&gt; "Paciente/Dia", "-", D64 &amp; COUNTIF( $D$7:D64, D64))</f>
        <v>-</v>
      </c>
      <c r="C64" s="35"/>
      <c r="D64" s="30"/>
      <c r="E64" s="31"/>
      <c r="F64" s="32"/>
      <c r="G64" s="80"/>
      <c r="H64" s="87" t="str">
        <f t="shared" si="1"/>
        <v>-</v>
      </c>
    </row>
    <row r="65" spans="1:8" ht="27" customHeight="1" x14ac:dyDescent="0.25">
      <c r="A65" s="79"/>
      <c r="B65" s="86" t="str">
        <f>IF(D65 &lt;&gt; "Paciente/Dia", "-", D65 &amp; COUNTIF( $D$7:D65, D65))</f>
        <v>-</v>
      </c>
      <c r="C65" s="35"/>
      <c r="D65" s="30"/>
      <c r="E65" s="31"/>
      <c r="F65" s="32"/>
      <c r="G65" s="80"/>
      <c r="H65" s="87" t="str">
        <f t="shared" si="1"/>
        <v>-</v>
      </c>
    </row>
    <row r="66" spans="1:8" ht="27" customHeight="1" x14ac:dyDescent="0.25">
      <c r="A66" s="79"/>
      <c r="B66" s="86" t="str">
        <f>IF(D66 &lt;&gt; "Paciente/Dia", "-", D66 &amp; COUNTIF( $D$7:D66, D66))</f>
        <v>-</v>
      </c>
      <c r="C66" s="35"/>
      <c r="D66" s="30"/>
      <c r="E66" s="31"/>
      <c r="F66" s="32"/>
      <c r="G66" s="80"/>
      <c r="H66" s="87" t="str">
        <f t="shared" si="1"/>
        <v>-</v>
      </c>
    </row>
    <row r="67" spans="1:8" ht="27" customHeight="1" x14ac:dyDescent="0.25">
      <c r="A67" s="79"/>
      <c r="B67" s="86" t="str">
        <f>IF(D67 &lt;&gt; "Paciente/Dia", "-", D67 &amp; COUNTIF( $D$7:D67, D67))</f>
        <v>-</v>
      </c>
      <c r="C67" s="35"/>
      <c r="D67" s="30"/>
      <c r="E67" s="31"/>
      <c r="F67" s="32"/>
      <c r="G67" s="80"/>
      <c r="H67" s="87" t="str">
        <f t="shared" si="1"/>
        <v>-</v>
      </c>
    </row>
    <row r="68" spans="1:8" ht="27" customHeight="1" x14ac:dyDescent="0.25">
      <c r="A68" s="79"/>
      <c r="B68" s="86" t="str">
        <f>IF(D68 &lt;&gt; "Paciente/Dia", "-", D68 &amp; COUNTIF( $D$7:D68, D68))</f>
        <v>-</v>
      </c>
      <c r="C68" s="35"/>
      <c r="D68" s="30"/>
      <c r="E68" s="31"/>
      <c r="F68" s="32"/>
      <c r="G68" s="80"/>
      <c r="H68" s="87" t="str">
        <f t="shared" si="1"/>
        <v>-</v>
      </c>
    </row>
    <row r="69" spans="1:8" ht="27" customHeight="1" x14ac:dyDescent="0.25">
      <c r="A69" s="79"/>
      <c r="B69" s="86" t="str">
        <f>IF(D69 &lt;&gt; "Paciente/Dia", "-", D69 &amp; COUNTIF( $D$7:D69, D69))</f>
        <v>-</v>
      </c>
      <c r="C69" s="35"/>
      <c r="D69" s="30"/>
      <c r="E69" s="31"/>
      <c r="F69" s="32"/>
      <c r="G69" s="80"/>
      <c r="H69" s="87" t="str">
        <f t="shared" si="1"/>
        <v>-</v>
      </c>
    </row>
    <row r="70" spans="1:8" ht="27" customHeight="1" x14ac:dyDescent="0.25">
      <c r="A70" s="79"/>
      <c r="B70" s="86" t="str">
        <f>IF(D70 &lt;&gt; "Paciente/Dia", "-", D70 &amp; COUNTIF( $D$7:D70, D70))</f>
        <v>-</v>
      </c>
      <c r="C70" s="35"/>
      <c r="D70" s="30"/>
      <c r="E70" s="31"/>
      <c r="F70" s="32"/>
      <c r="G70" s="80"/>
      <c r="H70" s="87" t="str">
        <f t="shared" si="1"/>
        <v>-</v>
      </c>
    </row>
    <row r="71" spans="1:8" ht="27" customHeight="1" x14ac:dyDescent="0.25">
      <c r="A71" s="79"/>
      <c r="B71" s="86" t="str">
        <f>IF(D71 &lt;&gt; "Paciente/Dia", "-", D71 &amp; COUNTIF( $D$7:D71, D71))</f>
        <v>-</v>
      </c>
      <c r="C71" s="35"/>
      <c r="D71" s="30"/>
      <c r="E71" s="31"/>
      <c r="F71" s="32"/>
      <c r="G71" s="80"/>
      <c r="H71" s="87" t="str">
        <f t="shared" si="1"/>
        <v>-</v>
      </c>
    </row>
    <row r="72" spans="1:8" ht="27" customHeight="1" x14ac:dyDescent="0.25">
      <c r="A72" s="79"/>
      <c r="B72" s="86" t="str">
        <f>IF(D72 &lt;&gt; "Paciente/Dia", "-", D72 &amp; COUNTIF( $D$7:D72, D72))</f>
        <v>-</v>
      </c>
      <c r="C72" s="35"/>
      <c r="D72" s="30"/>
      <c r="E72" s="31"/>
      <c r="F72" s="32"/>
      <c r="G72" s="80"/>
      <c r="H72" s="87" t="str">
        <f t="shared" ref="H72:H124" si="2">IF(OR(
C72="ADMINISTRATIVO",
C72="INTERMEDIÁRIO",
C72="EXTERNO",
C72="FINAL"),"GRUPO","-")</f>
        <v>-</v>
      </c>
    </row>
    <row r="73" spans="1:8" ht="27" customHeight="1" x14ac:dyDescent="0.25">
      <c r="A73" s="79"/>
      <c r="B73" s="86" t="str">
        <f>IF(D73 &lt;&gt; "Paciente/Dia", "-", D73 &amp; COUNTIF( $D$7:D73, D73))</f>
        <v>-</v>
      </c>
      <c r="C73" s="35"/>
      <c r="D73" s="30"/>
      <c r="E73" s="31"/>
      <c r="F73" s="32"/>
      <c r="G73" s="80"/>
      <c r="H73" s="87" t="str">
        <f t="shared" si="2"/>
        <v>-</v>
      </c>
    </row>
    <row r="74" spans="1:8" ht="27" customHeight="1" x14ac:dyDescent="0.25">
      <c r="A74" s="79"/>
      <c r="B74" s="86" t="str">
        <f>IF(D74 &lt;&gt; "Paciente/Dia", "-", D74 &amp; COUNTIF( $D$7:D74, D74))</f>
        <v>-</v>
      </c>
      <c r="C74" s="35"/>
      <c r="D74" s="30"/>
      <c r="E74" s="31"/>
      <c r="F74" s="32"/>
      <c r="G74" s="80"/>
      <c r="H74" s="87" t="str">
        <f t="shared" si="2"/>
        <v>-</v>
      </c>
    </row>
    <row r="75" spans="1:8" ht="27" customHeight="1" x14ac:dyDescent="0.25">
      <c r="A75" s="79"/>
      <c r="B75" s="86" t="str">
        <f>IF(D75 &lt;&gt; "Paciente/Dia", "-", D75 &amp; COUNTIF( $D$7:D75, D75))</f>
        <v>-</v>
      </c>
      <c r="C75" s="35"/>
      <c r="D75" s="30"/>
      <c r="E75" s="31"/>
      <c r="F75" s="32"/>
      <c r="G75" s="80"/>
      <c r="H75" s="87" t="str">
        <f t="shared" si="2"/>
        <v>-</v>
      </c>
    </row>
    <row r="76" spans="1:8" ht="27" customHeight="1" x14ac:dyDescent="0.25">
      <c r="A76" s="79"/>
      <c r="B76" s="86" t="str">
        <f>IF(D76 &lt;&gt; "Paciente/Dia", "-", D76 &amp; COUNTIF( $D$7:D76, D76))</f>
        <v>-</v>
      </c>
      <c r="C76" s="35"/>
      <c r="D76" s="30"/>
      <c r="E76" s="31"/>
      <c r="F76" s="32"/>
      <c r="G76" s="80"/>
      <c r="H76" s="87" t="str">
        <f t="shared" si="2"/>
        <v>-</v>
      </c>
    </row>
    <row r="77" spans="1:8" ht="27" customHeight="1" x14ac:dyDescent="0.25">
      <c r="A77" s="79"/>
      <c r="B77" s="86" t="str">
        <f>IF(D77 &lt;&gt; "Paciente/Dia", "-", D77 &amp; COUNTIF( $D$7:D77, D77))</f>
        <v>-</v>
      </c>
      <c r="C77" s="35"/>
      <c r="D77" s="30"/>
      <c r="E77" s="31"/>
      <c r="F77" s="32"/>
      <c r="G77" s="80"/>
      <c r="H77" s="87" t="str">
        <f t="shared" si="2"/>
        <v>-</v>
      </c>
    </row>
    <row r="78" spans="1:8" ht="27" customHeight="1" x14ac:dyDescent="0.25">
      <c r="A78" s="79"/>
      <c r="B78" s="86" t="str">
        <f>IF(D78 &lt;&gt; "Paciente/Dia", "-", D78 &amp; COUNTIF( $D$7:D78, D78))</f>
        <v>-</v>
      </c>
      <c r="C78" s="35"/>
      <c r="D78" s="30"/>
      <c r="E78" s="31"/>
      <c r="F78" s="32"/>
      <c r="G78" s="80"/>
      <c r="H78" s="87" t="str">
        <f t="shared" si="2"/>
        <v>-</v>
      </c>
    </row>
    <row r="79" spans="1:8" ht="27" customHeight="1" x14ac:dyDescent="0.25">
      <c r="A79" s="79"/>
      <c r="B79" s="86" t="str">
        <f>IF(D79 &lt;&gt; "Paciente/Dia", "-", D79 &amp; COUNTIF( $D$7:D79, D79))</f>
        <v>-</v>
      </c>
      <c r="C79" s="35"/>
      <c r="D79" s="30"/>
      <c r="E79" s="31"/>
      <c r="F79" s="32"/>
      <c r="G79" s="80"/>
      <c r="H79" s="87" t="str">
        <f t="shared" si="2"/>
        <v>-</v>
      </c>
    </row>
    <row r="80" spans="1:8" ht="27" customHeight="1" x14ac:dyDescent="0.25">
      <c r="A80" s="79"/>
      <c r="B80" s="86" t="str">
        <f>IF(D80 &lt;&gt; "Paciente/Dia", "-", D80 &amp; COUNTIF( $D$7:D80, D80))</f>
        <v>-</v>
      </c>
      <c r="C80" s="35"/>
      <c r="D80" s="30"/>
      <c r="E80" s="31"/>
      <c r="F80" s="32"/>
      <c r="G80" s="80"/>
      <c r="H80" s="87" t="str">
        <f t="shared" si="2"/>
        <v>-</v>
      </c>
    </row>
    <row r="81" spans="1:8" ht="27" customHeight="1" x14ac:dyDescent="0.25">
      <c r="A81" s="79"/>
      <c r="B81" s="86" t="str">
        <f>IF(D81 &lt;&gt; "Paciente/Dia", "-", D81 &amp; COUNTIF( $D$7:D81, D81))</f>
        <v>-</v>
      </c>
      <c r="C81" s="35"/>
      <c r="D81" s="30"/>
      <c r="E81" s="31"/>
      <c r="F81" s="32"/>
      <c r="G81" s="80"/>
      <c r="H81" s="87" t="str">
        <f t="shared" si="2"/>
        <v>-</v>
      </c>
    </row>
    <row r="82" spans="1:8" ht="27" customHeight="1" x14ac:dyDescent="0.25">
      <c r="A82" s="79"/>
      <c r="B82" s="86" t="str">
        <f>IF(D82 &lt;&gt; "Paciente/Dia", "-", D82 &amp; COUNTIF( $D$7:D82, D82))</f>
        <v>-</v>
      </c>
      <c r="C82" s="35"/>
      <c r="D82" s="30"/>
      <c r="E82" s="31"/>
      <c r="F82" s="32"/>
      <c r="G82" s="80"/>
      <c r="H82" s="87" t="str">
        <f t="shared" si="2"/>
        <v>-</v>
      </c>
    </row>
    <row r="83" spans="1:8" ht="27" customHeight="1" x14ac:dyDescent="0.25">
      <c r="A83" s="79"/>
      <c r="B83" s="86" t="str">
        <f>IF(D83 &lt;&gt; "Paciente/Dia", "-", D83 &amp; COUNTIF( $D$7:D83, D83))</f>
        <v>-</v>
      </c>
      <c r="C83" s="35"/>
      <c r="D83" s="30"/>
      <c r="E83" s="31"/>
      <c r="F83" s="32"/>
      <c r="G83" s="80"/>
      <c r="H83" s="87" t="str">
        <f t="shared" si="2"/>
        <v>-</v>
      </c>
    </row>
    <row r="84" spans="1:8" ht="27" customHeight="1" x14ac:dyDescent="0.25">
      <c r="A84" s="79"/>
      <c r="B84" s="86" t="str">
        <f>IF(D84 &lt;&gt; "Paciente/Dia", "-", D84 &amp; COUNTIF( $D$7:D84, D84))</f>
        <v>-</v>
      </c>
      <c r="C84" s="35"/>
      <c r="D84" s="30"/>
      <c r="E84" s="31"/>
      <c r="F84" s="32"/>
      <c r="G84" s="80"/>
      <c r="H84" s="87" t="str">
        <f t="shared" si="2"/>
        <v>-</v>
      </c>
    </row>
    <row r="85" spans="1:8" ht="27" customHeight="1" x14ac:dyDescent="0.25">
      <c r="A85" s="79"/>
      <c r="B85" s="86" t="str">
        <f>IF(D85 &lt;&gt; "Paciente/Dia", "-", D85 &amp; COUNTIF( $D$7:D85, D85))</f>
        <v>-</v>
      </c>
      <c r="C85" s="35"/>
      <c r="D85" s="30"/>
      <c r="E85" s="31"/>
      <c r="F85" s="32"/>
      <c r="G85" s="80"/>
      <c r="H85" s="87" t="str">
        <f t="shared" si="2"/>
        <v>-</v>
      </c>
    </row>
    <row r="86" spans="1:8" ht="27" customHeight="1" x14ac:dyDescent="0.25">
      <c r="A86" s="79"/>
      <c r="B86" s="86" t="str">
        <f>IF(D86 &lt;&gt; "Paciente/Dia", "-", D86 &amp; COUNTIF( $D$7:D86, D86))</f>
        <v>-</v>
      </c>
      <c r="C86" s="35"/>
      <c r="D86" s="30"/>
      <c r="E86" s="31"/>
      <c r="F86" s="32"/>
      <c r="G86" s="80"/>
      <c r="H86" s="87" t="str">
        <f t="shared" si="2"/>
        <v>-</v>
      </c>
    </row>
    <row r="87" spans="1:8" ht="27" customHeight="1" x14ac:dyDescent="0.25">
      <c r="A87" s="79"/>
      <c r="B87" s="86" t="str">
        <f>IF(D87 &lt;&gt; "Paciente/Dia", "-", D87 &amp; COUNTIF( $D$7:D87, D87))</f>
        <v>-</v>
      </c>
      <c r="C87" s="35"/>
      <c r="D87" s="30"/>
      <c r="E87" s="31"/>
      <c r="F87" s="32"/>
      <c r="G87" s="80"/>
      <c r="H87" s="87" t="str">
        <f t="shared" si="2"/>
        <v>-</v>
      </c>
    </row>
    <row r="88" spans="1:8" ht="27" customHeight="1" x14ac:dyDescent="0.25">
      <c r="A88" s="79"/>
      <c r="B88" s="86" t="str">
        <f>IF(D88 &lt;&gt; "Paciente/Dia", "-", D88 &amp; COUNTIF( $D$7:D88, D88))</f>
        <v>-</v>
      </c>
      <c r="C88" s="35"/>
      <c r="D88" s="30"/>
      <c r="E88" s="31"/>
      <c r="F88" s="32"/>
      <c r="G88" s="80"/>
      <c r="H88" s="87" t="str">
        <f t="shared" si="2"/>
        <v>-</v>
      </c>
    </row>
    <row r="89" spans="1:8" ht="27" customHeight="1" x14ac:dyDescent="0.25">
      <c r="A89" s="79"/>
      <c r="B89" s="86" t="str">
        <f>IF(D89 &lt;&gt; "Paciente/Dia", "-", D89 &amp; COUNTIF( $D$7:D89, D89))</f>
        <v>-</v>
      </c>
      <c r="C89" s="35"/>
      <c r="D89" s="30"/>
      <c r="E89" s="31"/>
      <c r="F89" s="32"/>
      <c r="G89" s="80"/>
      <c r="H89" s="87" t="str">
        <f t="shared" si="2"/>
        <v>-</v>
      </c>
    </row>
    <row r="90" spans="1:8" ht="27" customHeight="1" x14ac:dyDescent="0.25">
      <c r="A90" s="79"/>
      <c r="B90" s="86" t="str">
        <f>IF(D90 &lt;&gt; "Paciente/Dia", "-", D90 &amp; COUNTIF( $D$7:D90, D90))</f>
        <v>-</v>
      </c>
      <c r="C90" s="35"/>
      <c r="D90" s="30"/>
      <c r="E90" s="31"/>
      <c r="F90" s="32"/>
      <c r="G90" s="80"/>
      <c r="H90" s="87" t="str">
        <f t="shared" si="2"/>
        <v>-</v>
      </c>
    </row>
    <row r="91" spans="1:8" ht="27" customHeight="1" x14ac:dyDescent="0.25">
      <c r="A91" s="79"/>
      <c r="B91" s="86" t="str">
        <f>IF(D91 &lt;&gt; "Paciente/Dia", "-", D91 &amp; COUNTIF( $D$7:D91, D91))</f>
        <v>-</v>
      </c>
      <c r="C91" s="35"/>
      <c r="D91" s="30"/>
      <c r="E91" s="31"/>
      <c r="F91" s="32"/>
      <c r="G91" s="80"/>
      <c r="H91" s="87" t="str">
        <f t="shared" si="2"/>
        <v>-</v>
      </c>
    </row>
    <row r="92" spans="1:8" ht="27" customHeight="1" x14ac:dyDescent="0.25">
      <c r="A92" s="79"/>
      <c r="B92" s="86" t="str">
        <f>IF(D92 &lt;&gt; "Paciente/Dia", "-", D92 &amp; COUNTIF( $D$7:D92, D92))</f>
        <v>-</v>
      </c>
      <c r="C92" s="35"/>
      <c r="D92" s="30"/>
      <c r="E92" s="31"/>
      <c r="F92" s="32"/>
      <c r="G92" s="80"/>
      <c r="H92" s="87" t="str">
        <f t="shared" si="2"/>
        <v>-</v>
      </c>
    </row>
    <row r="93" spans="1:8" ht="27" customHeight="1" x14ac:dyDescent="0.25">
      <c r="A93" s="79"/>
      <c r="B93" s="86" t="str">
        <f>IF(D93 &lt;&gt; "Paciente/Dia", "-", D93 &amp; COUNTIF( $D$7:D93, D93))</f>
        <v>-</v>
      </c>
      <c r="C93" s="35"/>
      <c r="D93" s="30"/>
      <c r="E93" s="31"/>
      <c r="F93" s="32"/>
      <c r="G93" s="80"/>
      <c r="H93" s="87" t="str">
        <f t="shared" si="2"/>
        <v>-</v>
      </c>
    </row>
    <row r="94" spans="1:8" ht="27" customHeight="1" x14ac:dyDescent="0.25">
      <c r="A94" s="79"/>
      <c r="B94" s="86" t="str">
        <f>IF(D94 &lt;&gt; "Paciente/Dia", "-", D94 &amp; COUNTIF( $D$7:D94, D94))</f>
        <v>-</v>
      </c>
      <c r="C94" s="35"/>
      <c r="D94" s="30"/>
      <c r="E94" s="31"/>
      <c r="F94" s="32"/>
      <c r="G94" s="80"/>
      <c r="H94" s="87" t="str">
        <f t="shared" si="2"/>
        <v>-</v>
      </c>
    </row>
    <row r="95" spans="1:8" ht="27" customHeight="1" x14ac:dyDescent="0.25">
      <c r="A95" s="79"/>
      <c r="B95" s="86" t="str">
        <f>IF(D95 &lt;&gt; "Paciente/Dia", "-", D95 &amp; COUNTIF( $D$7:D95, D95))</f>
        <v>-</v>
      </c>
      <c r="C95" s="35"/>
      <c r="D95" s="30"/>
      <c r="E95" s="31"/>
      <c r="F95" s="32"/>
      <c r="G95" s="80"/>
      <c r="H95" s="87" t="str">
        <f t="shared" si="2"/>
        <v>-</v>
      </c>
    </row>
    <row r="96" spans="1:8" ht="27" customHeight="1" x14ac:dyDescent="0.25">
      <c r="A96" s="79"/>
      <c r="B96" s="86" t="str">
        <f>IF(D96 &lt;&gt; "Paciente/Dia", "-", D96 &amp; COUNTIF( $D$7:D96, D96))</f>
        <v>-</v>
      </c>
      <c r="C96" s="35"/>
      <c r="D96" s="30"/>
      <c r="E96" s="31"/>
      <c r="F96" s="32"/>
      <c r="G96" s="80"/>
      <c r="H96" s="87" t="str">
        <f t="shared" si="2"/>
        <v>-</v>
      </c>
    </row>
    <row r="97" spans="1:8" ht="27" customHeight="1" x14ac:dyDescent="0.25">
      <c r="A97" s="79"/>
      <c r="B97" s="86" t="str">
        <f>IF(D97 &lt;&gt; "Paciente/Dia", "-", D97 &amp; COUNTIF( $D$7:D97, D97))</f>
        <v>-</v>
      </c>
      <c r="C97" s="35"/>
      <c r="D97" s="30"/>
      <c r="E97" s="31"/>
      <c r="F97" s="32"/>
      <c r="G97" s="80"/>
      <c r="H97" s="87" t="str">
        <f t="shared" si="2"/>
        <v>-</v>
      </c>
    </row>
    <row r="98" spans="1:8" ht="27" customHeight="1" x14ac:dyDescent="0.25">
      <c r="A98" s="79"/>
      <c r="B98" s="86" t="str">
        <f>IF(D98 &lt;&gt; "Paciente/Dia", "-", D98 &amp; COUNTIF( $D$7:D98, D98))</f>
        <v>-</v>
      </c>
      <c r="C98" s="35"/>
      <c r="D98" s="30"/>
      <c r="E98" s="31"/>
      <c r="F98" s="32"/>
      <c r="G98" s="80"/>
      <c r="H98" s="87" t="str">
        <f t="shared" si="2"/>
        <v>-</v>
      </c>
    </row>
    <row r="99" spans="1:8" ht="27" customHeight="1" x14ac:dyDescent="0.25">
      <c r="A99" s="79"/>
      <c r="B99" s="86" t="str">
        <f>IF(D99 &lt;&gt; "Paciente/Dia", "-", D99 &amp; COUNTIF( $D$7:D99, D99))</f>
        <v>-</v>
      </c>
      <c r="C99" s="35"/>
      <c r="D99" s="30"/>
      <c r="E99" s="31"/>
      <c r="F99" s="32"/>
      <c r="G99" s="80"/>
      <c r="H99" s="87" t="str">
        <f t="shared" si="2"/>
        <v>-</v>
      </c>
    </row>
    <row r="100" spans="1:8" ht="27" customHeight="1" x14ac:dyDescent="0.25">
      <c r="A100" s="79"/>
      <c r="B100" s="86" t="str">
        <f>IF(D100 &lt;&gt; "Paciente/Dia", "-", D100 &amp; COUNTIF( $D$7:D100, D100))</f>
        <v>-</v>
      </c>
      <c r="C100" s="35"/>
      <c r="D100" s="30"/>
      <c r="E100" s="31"/>
      <c r="F100" s="32"/>
      <c r="G100" s="80"/>
      <c r="H100" s="87" t="str">
        <f t="shared" si="2"/>
        <v>-</v>
      </c>
    </row>
    <row r="101" spans="1:8" ht="27" customHeight="1" x14ac:dyDescent="0.25">
      <c r="A101" s="79"/>
      <c r="B101" s="86" t="str">
        <f>IF(D101 &lt;&gt; "Paciente/Dia", "-", D101 &amp; COUNTIF( $D$7:D101, D101))</f>
        <v>-</v>
      </c>
      <c r="C101" s="35"/>
      <c r="D101" s="30"/>
      <c r="E101" s="31"/>
      <c r="F101" s="32"/>
      <c r="G101" s="80"/>
      <c r="H101" s="87" t="str">
        <f t="shared" si="2"/>
        <v>-</v>
      </c>
    </row>
    <row r="102" spans="1:8" ht="27" customHeight="1" x14ac:dyDescent="0.25">
      <c r="A102" s="79"/>
      <c r="B102" s="86" t="str">
        <f>IF(D102 &lt;&gt; "Paciente/Dia", "-", D102 &amp; COUNTIF( $D$7:D102, D102))</f>
        <v>-</v>
      </c>
      <c r="C102" s="35"/>
      <c r="D102" s="30"/>
      <c r="E102" s="31"/>
      <c r="F102" s="32"/>
      <c r="G102" s="80"/>
      <c r="H102" s="87" t="str">
        <f t="shared" si="2"/>
        <v>-</v>
      </c>
    </row>
    <row r="103" spans="1:8" ht="27" customHeight="1" x14ac:dyDescent="0.25">
      <c r="A103" s="79"/>
      <c r="B103" s="86" t="str">
        <f>IF(D103 &lt;&gt; "Paciente/Dia", "-", D103 &amp; COUNTIF( $D$7:D103, D103))</f>
        <v>-</v>
      </c>
      <c r="C103" s="35"/>
      <c r="D103" s="30"/>
      <c r="E103" s="31"/>
      <c r="F103" s="32"/>
      <c r="G103" s="80"/>
      <c r="H103" s="87" t="str">
        <f t="shared" si="2"/>
        <v>-</v>
      </c>
    </row>
    <row r="104" spans="1:8" ht="27" customHeight="1" x14ac:dyDescent="0.25">
      <c r="A104" s="79"/>
      <c r="B104" s="86" t="str">
        <f>IF(D104 &lt;&gt; "Paciente/Dia", "-", D104 &amp; COUNTIF( $D$7:D104, D104))</f>
        <v>-</v>
      </c>
      <c r="C104" s="35"/>
      <c r="D104" s="30"/>
      <c r="E104" s="31"/>
      <c r="F104" s="32"/>
      <c r="G104" s="80"/>
      <c r="H104" s="87" t="str">
        <f t="shared" si="2"/>
        <v>-</v>
      </c>
    </row>
    <row r="105" spans="1:8" ht="27" customHeight="1" x14ac:dyDescent="0.25">
      <c r="A105" s="79"/>
      <c r="B105" s="86" t="str">
        <f>IF(D105 &lt;&gt; "Paciente/Dia", "-", D105 &amp; COUNTIF( $D$7:D105, D105))</f>
        <v>-</v>
      </c>
      <c r="C105" s="35"/>
      <c r="D105" s="30"/>
      <c r="E105" s="31"/>
      <c r="F105" s="32"/>
      <c r="G105" s="80"/>
      <c r="H105" s="87" t="str">
        <f t="shared" si="2"/>
        <v>-</v>
      </c>
    </row>
    <row r="106" spans="1:8" ht="27" customHeight="1" x14ac:dyDescent="0.25">
      <c r="A106" s="79"/>
      <c r="B106" s="86" t="str">
        <f>IF(D106 &lt;&gt; "Paciente/Dia", "-", D106 &amp; COUNTIF( $D$7:D106, D106))</f>
        <v>-</v>
      </c>
      <c r="C106" s="35"/>
      <c r="D106" s="30"/>
      <c r="E106" s="31"/>
      <c r="F106" s="32"/>
      <c r="G106" s="80"/>
      <c r="H106" s="87" t="str">
        <f t="shared" si="2"/>
        <v>-</v>
      </c>
    </row>
    <row r="107" spans="1:8" ht="27" customHeight="1" x14ac:dyDescent="0.25">
      <c r="A107" s="79"/>
      <c r="B107" s="86" t="str">
        <f>IF(D107 &lt;&gt; "Paciente/Dia", "-", D107 &amp; COUNTIF( $D$7:D107, D107))</f>
        <v>-</v>
      </c>
      <c r="C107" s="35"/>
      <c r="D107" s="30"/>
      <c r="E107" s="31"/>
      <c r="F107" s="32"/>
      <c r="G107" s="80"/>
      <c r="H107" s="87" t="str">
        <f t="shared" si="2"/>
        <v>-</v>
      </c>
    </row>
    <row r="108" spans="1:8" ht="27" customHeight="1" x14ac:dyDescent="0.25">
      <c r="A108" s="79"/>
      <c r="B108" s="86" t="str">
        <f>IF(D108 &lt;&gt; "Paciente/Dia", "-", D108 &amp; COUNTIF( $D$7:D108, D108))</f>
        <v>-</v>
      </c>
      <c r="C108" s="35"/>
      <c r="D108" s="30"/>
      <c r="E108" s="31"/>
      <c r="F108" s="32"/>
      <c r="G108" s="80"/>
      <c r="H108" s="87" t="str">
        <f t="shared" si="2"/>
        <v>-</v>
      </c>
    </row>
    <row r="109" spans="1:8" ht="27" customHeight="1" x14ac:dyDescent="0.25">
      <c r="A109" s="79"/>
      <c r="B109" s="86" t="str">
        <f>IF(D109 &lt;&gt; "Paciente/Dia", "-", D109 &amp; COUNTIF( $D$7:D109, D109))</f>
        <v>-</v>
      </c>
      <c r="C109" s="35"/>
      <c r="D109" s="30"/>
      <c r="E109" s="31"/>
      <c r="F109" s="32"/>
      <c r="G109" s="80"/>
      <c r="H109" s="87" t="str">
        <f t="shared" si="2"/>
        <v>-</v>
      </c>
    </row>
    <row r="110" spans="1:8" ht="27" customHeight="1" x14ac:dyDescent="0.25">
      <c r="A110" s="79"/>
      <c r="B110" s="86" t="str">
        <f>IF(D110 &lt;&gt; "Paciente/Dia", "-", D110 &amp; COUNTIF( $D$7:D110, D110))</f>
        <v>-</v>
      </c>
      <c r="C110" s="35"/>
      <c r="D110" s="30"/>
      <c r="E110" s="31"/>
      <c r="F110" s="32"/>
      <c r="G110" s="80"/>
      <c r="H110" s="87" t="str">
        <f t="shared" si="2"/>
        <v>-</v>
      </c>
    </row>
    <row r="111" spans="1:8" ht="27" customHeight="1" x14ac:dyDescent="0.25">
      <c r="A111" s="79"/>
      <c r="B111" s="86" t="str">
        <f>IF(D111 &lt;&gt; "Paciente/Dia", "-", D111 &amp; COUNTIF( $D$7:D111, D111))</f>
        <v>-</v>
      </c>
      <c r="C111" s="35"/>
      <c r="D111" s="30"/>
      <c r="E111" s="31"/>
      <c r="F111" s="32"/>
      <c r="G111" s="80"/>
      <c r="H111" s="87" t="str">
        <f t="shared" si="2"/>
        <v>-</v>
      </c>
    </row>
    <row r="112" spans="1:8" ht="27" customHeight="1" x14ac:dyDescent="0.25">
      <c r="A112" s="79"/>
      <c r="B112" s="86" t="str">
        <f>IF(D112 &lt;&gt; "Paciente/Dia", "-", D112 &amp; COUNTIF( $D$7:D112, D112))</f>
        <v>-</v>
      </c>
      <c r="C112" s="35"/>
      <c r="D112" s="30"/>
      <c r="E112" s="31"/>
      <c r="F112" s="32"/>
      <c r="G112" s="80"/>
      <c r="H112" s="87" t="str">
        <f t="shared" si="2"/>
        <v>-</v>
      </c>
    </row>
    <row r="113" spans="1:8" ht="27" customHeight="1" x14ac:dyDescent="0.25">
      <c r="A113" s="79"/>
      <c r="B113" s="86" t="str">
        <f>IF(D113 &lt;&gt; "Paciente/Dia", "-", D113 &amp; COUNTIF( $D$7:D113, D113))</f>
        <v>-</v>
      </c>
      <c r="C113" s="35"/>
      <c r="D113" s="30"/>
      <c r="E113" s="31"/>
      <c r="F113" s="32"/>
      <c r="G113" s="80"/>
      <c r="H113" s="87" t="str">
        <f t="shared" si="2"/>
        <v>-</v>
      </c>
    </row>
    <row r="114" spans="1:8" ht="27" customHeight="1" x14ac:dyDescent="0.25">
      <c r="A114" s="79"/>
      <c r="B114" s="86" t="str">
        <f>IF(D114 &lt;&gt; "Paciente/Dia", "-", D114 &amp; COUNTIF( $D$7:D114, D114))</f>
        <v>-</v>
      </c>
      <c r="C114" s="35"/>
      <c r="D114" s="30"/>
      <c r="E114" s="31"/>
      <c r="F114" s="32"/>
      <c r="G114" s="80"/>
      <c r="H114" s="87" t="str">
        <f t="shared" si="2"/>
        <v>-</v>
      </c>
    </row>
    <row r="115" spans="1:8" ht="27" customHeight="1" x14ac:dyDescent="0.25">
      <c r="A115" s="79"/>
      <c r="B115" s="86" t="str">
        <f>IF(D115 &lt;&gt; "Paciente/Dia", "-", D115 &amp; COUNTIF( $D$7:D115, D115))</f>
        <v>-</v>
      </c>
      <c r="C115" s="35"/>
      <c r="D115" s="30"/>
      <c r="E115" s="31"/>
      <c r="F115" s="32"/>
      <c r="G115" s="80"/>
      <c r="H115" s="87" t="str">
        <f t="shared" si="2"/>
        <v>-</v>
      </c>
    </row>
    <row r="116" spans="1:8" ht="27" customHeight="1" x14ac:dyDescent="0.25">
      <c r="A116" s="79"/>
      <c r="B116" s="86" t="str">
        <f>IF(D116 &lt;&gt; "Paciente/Dia", "-", D116 &amp; COUNTIF( $D$7:D116, D116))</f>
        <v>-</v>
      </c>
      <c r="C116" s="35"/>
      <c r="D116" s="30"/>
      <c r="E116" s="31"/>
      <c r="F116" s="32"/>
      <c r="G116" s="80"/>
      <c r="H116" s="87" t="str">
        <f t="shared" si="2"/>
        <v>-</v>
      </c>
    </row>
    <row r="117" spans="1:8" ht="27" customHeight="1" x14ac:dyDescent="0.25">
      <c r="A117" s="79"/>
      <c r="B117" s="86" t="str">
        <f>IF(D117 &lt;&gt; "Paciente/Dia", "-", D117 &amp; COUNTIF( $D$7:D117, D117))</f>
        <v>-</v>
      </c>
      <c r="C117" s="35"/>
      <c r="D117" s="30"/>
      <c r="E117" s="31"/>
      <c r="F117" s="32"/>
      <c r="G117" s="80"/>
      <c r="H117" s="87" t="str">
        <f t="shared" si="2"/>
        <v>-</v>
      </c>
    </row>
    <row r="118" spans="1:8" ht="27" customHeight="1" x14ac:dyDescent="0.25">
      <c r="A118" s="79"/>
      <c r="B118" s="86" t="str">
        <f>IF(D118 &lt;&gt; "Paciente/Dia", "-", D118 &amp; COUNTIF( $D$7:D118, D118))</f>
        <v>-</v>
      </c>
      <c r="C118" s="35"/>
      <c r="D118" s="30"/>
      <c r="E118" s="31"/>
      <c r="F118" s="32"/>
      <c r="G118" s="80"/>
      <c r="H118" s="87" t="str">
        <f t="shared" si="2"/>
        <v>-</v>
      </c>
    </row>
    <row r="119" spans="1:8" ht="27" customHeight="1" x14ac:dyDescent="0.25">
      <c r="A119" s="79"/>
      <c r="B119" s="86" t="str">
        <f>IF(D119 &lt;&gt; "Paciente/Dia", "-", D119 &amp; COUNTIF( $D$7:D119, D119))</f>
        <v>-</v>
      </c>
      <c r="C119" s="35"/>
      <c r="D119" s="30"/>
      <c r="E119" s="31"/>
      <c r="F119" s="32"/>
      <c r="G119" s="80"/>
      <c r="H119" s="87" t="str">
        <f t="shared" si="2"/>
        <v>-</v>
      </c>
    </row>
    <row r="120" spans="1:8" ht="27" customHeight="1" x14ac:dyDescent="0.25">
      <c r="A120" s="79"/>
      <c r="B120" s="86" t="str">
        <f>IF(D120 &lt;&gt; "Paciente/Dia", "-", D120 &amp; COUNTIF( $D$7:D120, D120))</f>
        <v>-</v>
      </c>
      <c r="C120" s="35"/>
      <c r="D120" s="30"/>
      <c r="E120" s="31"/>
      <c r="F120" s="32"/>
      <c r="G120" s="80"/>
      <c r="H120" s="87" t="str">
        <f t="shared" si="2"/>
        <v>-</v>
      </c>
    </row>
    <row r="121" spans="1:8" ht="27" customHeight="1" x14ac:dyDescent="0.25">
      <c r="A121" s="79"/>
      <c r="B121" s="86" t="str">
        <f>IF(D121 &lt;&gt; "Paciente/Dia", "-", D121 &amp; COUNTIF( $D$7:D121, D121))</f>
        <v>-</v>
      </c>
      <c r="C121" s="35"/>
      <c r="D121" s="30"/>
      <c r="E121" s="31"/>
      <c r="F121" s="32"/>
      <c r="G121" s="80"/>
      <c r="H121" s="87" t="str">
        <f t="shared" si="2"/>
        <v>-</v>
      </c>
    </row>
    <row r="122" spans="1:8" ht="27" customHeight="1" x14ac:dyDescent="0.25">
      <c r="A122" s="79"/>
      <c r="B122" s="86" t="str">
        <f>IF(D122 &lt;&gt; "Paciente/Dia", "-", D122 &amp; COUNTIF( $D$7:D122, D122))</f>
        <v>-</v>
      </c>
      <c r="C122" s="35"/>
      <c r="D122" s="30"/>
      <c r="E122" s="31"/>
      <c r="F122" s="32"/>
      <c r="G122" s="80"/>
      <c r="H122" s="87" t="str">
        <f t="shared" si="2"/>
        <v>-</v>
      </c>
    </row>
    <row r="123" spans="1:8" ht="27" customHeight="1" x14ac:dyDescent="0.25">
      <c r="A123" s="79"/>
      <c r="B123" s="86" t="str">
        <f>IF(D123 &lt;&gt; "Paciente/Dia", "-", D123 &amp; COUNTIF( $D$7:D123, D123))</f>
        <v>-</v>
      </c>
      <c r="C123" s="35"/>
      <c r="D123" s="30"/>
      <c r="E123" s="31"/>
      <c r="F123" s="32"/>
      <c r="G123" s="80"/>
      <c r="H123" s="87" t="str">
        <f t="shared" si="2"/>
        <v>-</v>
      </c>
    </row>
    <row r="124" spans="1:8" ht="27" customHeight="1" x14ac:dyDescent="0.25">
      <c r="A124" s="79"/>
      <c r="B124" s="88" t="str">
        <f>IF(D124 &lt;&gt; "Paciente/Dia", "-", D124 &amp; COUNTIF( $D$7:D124, D124))</f>
        <v>-</v>
      </c>
      <c r="C124" s="35"/>
      <c r="D124" s="30"/>
      <c r="E124" s="31"/>
      <c r="F124" s="32"/>
      <c r="G124" s="80"/>
      <c r="H124" s="87" t="str">
        <f t="shared" si="2"/>
        <v>-</v>
      </c>
    </row>
    <row r="125" spans="1:8" ht="98.25" customHeight="1" x14ac:dyDescent="0.2">
      <c r="A125" s="80"/>
      <c r="B125" s="80"/>
      <c r="C125" s="80"/>
      <c r="D125" s="80"/>
      <c r="E125" s="80"/>
      <c r="F125" s="289"/>
      <c r="G125" s="80"/>
    </row>
  </sheetData>
  <sheetProtection algorithmName="SHA-512" hashValue="Ojp9yTUVCwu2hPhDs3pSYdVo1IlHIYLwfPDk24eWtUR5jx1cj5JWDCWO7puEpPsszy/r/DyM03Y18QMs7jwBcQ==" saltValue="8XLKaP5fdX3x3f4W03Lb5Q==" spinCount="100000" sheet="1" objects="1" scenarios="1"/>
  <mergeCells count="2">
    <mergeCell ref="B1:B4"/>
    <mergeCell ref="C1:E1"/>
  </mergeCells>
  <conditionalFormatting sqref="C105:F124">
    <cfRule type="expression" dxfId="145" priority="12">
      <formula>OR($C105= "Administrativo", $C105 = "Intermediário", $C105 = "Externo", $C105 = "Final")</formula>
    </cfRule>
  </conditionalFormatting>
  <conditionalFormatting sqref="C105:F124">
    <cfRule type="expression" dxfId="144" priority="11">
      <formula>AND($C105&lt;&gt; "Administrativo", $C105 &lt;&gt; "Intermediário", $C105 &lt;&gt; "Externo", $C105 &lt;&gt; "Final", ISTEXT($C105))</formula>
    </cfRule>
  </conditionalFormatting>
  <conditionalFormatting sqref="C84:F104">
    <cfRule type="expression" dxfId="143" priority="9">
      <formula>AND($C84&lt;&gt; "Administrativo", $C84 &lt;&gt; "Intermediário", $C84 &lt;&gt; "Externo", $C84 &lt;&gt; "Final", ISTEXT($C84))</formula>
    </cfRule>
  </conditionalFormatting>
  <conditionalFormatting sqref="C84:F104">
    <cfRule type="expression" dxfId="142" priority="10">
      <formula>OR($C84= "Administrativo", $C84 = "Intermediário", $C84 = "Externo", $C84 = "Final")</formula>
    </cfRule>
  </conditionalFormatting>
  <conditionalFormatting sqref="C5">
    <cfRule type="containsText" dxfId="141" priority="8" stopIfTrue="1" operator="containsText" text="Centro de Custo">
      <formula>NOT(ISERROR(SEARCH("Centro de Custo",C5)))</formula>
    </cfRule>
  </conditionalFormatting>
  <conditionalFormatting sqref="D5">
    <cfRule type="containsText" dxfId="140" priority="7" stopIfTrue="1" operator="containsText" text="Item Produção">
      <formula>NOT(ISERROR(SEARCH("Item Produção",D5)))</formula>
    </cfRule>
  </conditionalFormatting>
  <conditionalFormatting sqref="E5">
    <cfRule type="containsText" dxfId="139" priority="6" stopIfTrue="1" operator="containsText" text="Quantidade">
      <formula>NOT(ISERROR(SEARCH("Quantidade",E5)))</formula>
    </cfRule>
  </conditionalFormatting>
  <conditionalFormatting sqref="F5">
    <cfRule type="containsText" dxfId="138" priority="5" stopIfTrue="1" operator="containsText" text="Valor Médio Unitário">
      <formula>NOT(ISERROR(SEARCH("Valor Médio Unitário",F5)))</formula>
    </cfRule>
  </conditionalFormatting>
  <conditionalFormatting sqref="C8:F124">
    <cfRule type="expression" dxfId="137" priority="3" stopIfTrue="1">
      <formula>AND($C8&lt;&gt; "Administrativo", $C8 &lt;&gt; "Intermediário", $C8 &lt;&gt; "Externo", $C8 &lt;&gt; "Final", ISTEXT($C8))</formula>
    </cfRule>
  </conditionalFormatting>
  <conditionalFormatting sqref="C7:F124">
    <cfRule type="expression" dxfId="136" priority="4" stopIfTrue="1">
      <formula>OR($C7= "Administrativo", $C7 = "Intermediário", $C7 = "Externo", $C7 = "Final")</formula>
    </cfRule>
  </conditionalFormatting>
  <conditionalFormatting sqref="C7:F7">
    <cfRule type="expression" dxfId="135" priority="2" stopIfTrue="1">
      <formula>AND($C7&lt;&gt; "Administrativo", $C7 &lt;&gt; "Intermediário", $C7 &lt;&gt; "Externo", $C7 &lt;&gt; "Final", ISTEXT($C7))</formula>
    </cfRule>
  </conditionalFormatting>
  <conditionalFormatting sqref="C7:F7">
    <cfRule type="expression" dxfId="134" priority="1" stopIfTrue="1">
      <formula>AND($C7&lt;&gt; "Administrativo", $C7 &lt;&gt; "Intermediário", $C7 &lt;&gt; "Externo", $C7 &lt;&gt; "Final", ISTEXT($C7))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3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5">
    <tabColor theme="8" tint="0.59999389629810485"/>
  </sheetPr>
  <dimension ref="A1:XEZ125"/>
  <sheetViews>
    <sheetView showGridLines="0" showRowColHeaders="0" zoomScale="85" zoomScaleNormal="85" zoomScaleSheetLayoutView="120" workbookViewId="0">
      <pane xSplit="8" ySplit="5" topLeftCell="I6" activePane="bottomRight" state="frozen"/>
      <selection activeCell="C7" sqref="C7"/>
      <selection pane="topRight" activeCell="C7" sqref="C7"/>
      <selection pane="bottomLeft" activeCell="C7" sqref="C7"/>
      <selection pane="bottomRight" activeCell="C7" sqref="C7"/>
    </sheetView>
  </sheetViews>
  <sheetFormatPr defaultColWidth="8.88671875" defaultRowHeight="15" x14ac:dyDescent="0.2"/>
  <cols>
    <col min="1" max="1" width="20.77734375" style="78" customWidth="1"/>
    <col min="2" max="2" width="24" style="78" hidden="1" customWidth="1"/>
    <col min="3" max="3" width="74.21875" style="78" customWidth="1"/>
    <col min="4" max="4" width="25.21875" style="78" customWidth="1"/>
    <col min="5" max="5" width="12" style="78" customWidth="1"/>
    <col min="6" max="6" width="14.109375" style="78" customWidth="1"/>
    <col min="7" max="7" width="23.77734375" style="78" customWidth="1"/>
    <col min="8" max="8" width="9.21875" style="78" hidden="1" customWidth="1"/>
    <col min="9" max="9" width="8.88671875" style="78" customWidth="1"/>
    <col min="10" max="10" width="24.77734375" style="78" hidden="1" customWidth="1"/>
    <col min="11" max="16376" width="0" style="78" hidden="1" customWidth="1"/>
    <col min="16377" max="16379" width="8.88671875" style="78" hidden="1" customWidth="1"/>
    <col min="16380" max="16380" width="8.77734375" style="78" hidden="1" customWidth="1"/>
    <col min="16381" max="16384" width="8.88671875" style="78" hidden="1" customWidth="1"/>
  </cols>
  <sheetData>
    <row r="1" spans="1:8" ht="45.95" customHeight="1" x14ac:dyDescent="0.25">
      <c r="A1" s="79"/>
      <c r="B1" s="418" t="s">
        <v>5</v>
      </c>
      <c r="C1" s="421" t="s">
        <v>195</v>
      </c>
      <c r="D1" s="422"/>
      <c r="E1" s="422"/>
      <c r="F1" s="362" t="str">
        <f>IF(C6="", "", UPPER(TEXT(C6, "MMM-AA")))</f>
        <v>ABR-25</v>
      </c>
      <c r="G1" s="80"/>
      <c r="H1" s="81"/>
    </row>
    <row r="2" spans="1:8" ht="15.75" customHeight="1" x14ac:dyDescent="0.25">
      <c r="A2" s="79"/>
      <c r="B2" s="419"/>
      <c r="C2" s="23" t="s">
        <v>323</v>
      </c>
      <c r="D2" s="23"/>
      <c r="E2" s="23"/>
      <c r="F2" s="23"/>
      <c r="G2" s="80"/>
      <c r="H2" s="82"/>
    </row>
    <row r="3" spans="1:8" ht="15.75" customHeight="1" x14ac:dyDescent="0.25">
      <c r="A3" s="79"/>
      <c r="B3" s="419"/>
      <c r="C3" s="287" t="s">
        <v>15</v>
      </c>
      <c r="D3" s="25"/>
      <c r="E3" s="25"/>
      <c r="F3" s="26"/>
      <c r="G3" s="80"/>
      <c r="H3" s="82"/>
    </row>
    <row r="4" spans="1:8" ht="15.95" customHeight="1" x14ac:dyDescent="0.25">
      <c r="A4" s="79"/>
      <c r="B4" s="420"/>
      <c r="C4" s="287" t="s">
        <v>356</v>
      </c>
      <c r="D4" s="24"/>
      <c r="E4" s="24"/>
      <c r="F4" s="26"/>
      <c r="G4" s="80"/>
      <c r="H4" s="82"/>
    </row>
    <row r="5" spans="1:8" ht="27" customHeight="1" x14ac:dyDescent="0.25">
      <c r="A5" s="79"/>
      <c r="B5" s="83" t="s">
        <v>6</v>
      </c>
      <c r="C5" s="27" t="s">
        <v>15</v>
      </c>
      <c r="D5" s="27" t="s">
        <v>334</v>
      </c>
      <c r="E5" s="27" t="s">
        <v>16</v>
      </c>
      <c r="F5" s="28" t="s">
        <v>17</v>
      </c>
      <c r="G5" s="80"/>
      <c r="H5" s="82"/>
    </row>
    <row r="6" spans="1:8" ht="27.75" hidden="1" customHeight="1" x14ac:dyDescent="0.2">
      <c r="A6" s="84" t="s">
        <v>18</v>
      </c>
      <c r="B6" s="85" t="s">
        <v>3</v>
      </c>
      <c r="C6" s="34">
        <v>45748</v>
      </c>
      <c r="D6" s="25"/>
      <c r="E6" s="25"/>
      <c r="F6" s="29"/>
      <c r="G6" s="80"/>
      <c r="H6" s="82"/>
    </row>
    <row r="7" spans="1:8" ht="27" customHeight="1" x14ac:dyDescent="0.25">
      <c r="A7" s="79"/>
      <c r="B7" s="86" t="str">
        <f>IF(D7 &lt;&gt; "Paciente/Dia", "-", D7 &amp; COUNTIF( $D$7:D7, D7))</f>
        <v>-</v>
      </c>
      <c r="C7" s="35" t="s">
        <v>335</v>
      </c>
      <c r="D7" s="30"/>
      <c r="E7" s="31"/>
      <c r="F7" s="32"/>
      <c r="G7" s="80"/>
      <c r="H7" s="87" t="str">
        <f>IF(OR(
C7="ADMINISTRATIVO",
C7="INTERMEDIÁRIO",
C7="EXTERNO",
C7="FINAL"),"GRUPO","-")</f>
        <v>GRUPO</v>
      </c>
    </row>
    <row r="8" spans="1:8" ht="27" customHeight="1" x14ac:dyDescent="0.25">
      <c r="A8" s="79"/>
      <c r="B8" s="86" t="str">
        <f>IF(D8 &lt;&gt; "Paciente/Dia", "-", D8 &amp; COUNTIF( $D$7:D8, D8))</f>
        <v>-</v>
      </c>
      <c r="C8" s="35" t="s">
        <v>336</v>
      </c>
      <c r="D8" s="30" t="s">
        <v>255</v>
      </c>
      <c r="E8" s="31">
        <v>1</v>
      </c>
      <c r="F8" s="32">
        <v>18242.509999999998</v>
      </c>
      <c r="G8" s="80"/>
      <c r="H8" s="87" t="str">
        <f t="shared" ref="H8:H37" si="0">IF(OR(
C8="ADMINISTRATIVO",
C8="INTERMEDIÁRIO",
C8="EXTERNO",
C8="FINAL"),"GRUPO","-")</f>
        <v>-</v>
      </c>
    </row>
    <row r="9" spans="1:8" ht="27" customHeight="1" x14ac:dyDescent="0.25">
      <c r="A9" s="79"/>
      <c r="B9" s="86" t="str">
        <f>IF(D9 &lt;&gt; "Paciente/Dia", "-", D9 &amp; COUNTIF( $D$7:D9, D9))</f>
        <v>-</v>
      </c>
      <c r="C9" s="35" t="s">
        <v>337</v>
      </c>
      <c r="D9" s="30"/>
      <c r="E9" s="31"/>
      <c r="F9" s="32"/>
      <c r="G9" s="80"/>
      <c r="H9" s="87" t="str">
        <f t="shared" si="0"/>
        <v>GRUPO</v>
      </c>
    </row>
    <row r="10" spans="1:8" ht="27" customHeight="1" x14ac:dyDescent="0.25">
      <c r="A10" s="79"/>
      <c r="B10" s="86" t="str">
        <f>IF(D10 &lt;&gt; "Paciente/Dia", "-", D10 &amp; COUNTIF( $D$7:D10, D10))</f>
        <v>-</v>
      </c>
      <c r="C10" s="35" t="s">
        <v>338</v>
      </c>
      <c r="D10" s="30" t="s">
        <v>255</v>
      </c>
      <c r="E10" s="31">
        <v>327</v>
      </c>
      <c r="F10" s="32">
        <v>67.56</v>
      </c>
      <c r="G10" s="80"/>
      <c r="H10" s="87" t="str">
        <f t="shared" si="0"/>
        <v>-</v>
      </c>
    </row>
    <row r="11" spans="1:8" ht="27" customHeight="1" x14ac:dyDescent="0.25">
      <c r="A11" s="79"/>
      <c r="B11" s="86" t="str">
        <f>IF(D11 &lt;&gt; "Paciente/Dia", "-", D11 &amp; COUNTIF( $D$7:D11, D11))</f>
        <v>-</v>
      </c>
      <c r="C11" s="35" t="s">
        <v>339</v>
      </c>
      <c r="D11" s="30" t="s">
        <v>255</v>
      </c>
      <c r="E11" s="31">
        <v>829</v>
      </c>
      <c r="F11" s="32">
        <v>189.65</v>
      </c>
      <c r="G11" s="80"/>
      <c r="H11" s="87" t="str">
        <f t="shared" si="0"/>
        <v>-</v>
      </c>
    </row>
    <row r="12" spans="1:8" ht="27" customHeight="1" x14ac:dyDescent="0.25">
      <c r="A12" s="79"/>
      <c r="B12" s="86" t="str">
        <f>IF(D12 &lt;&gt; "Paciente/Dia", "-", D12 &amp; COUNTIF( $D$7:D12, D12))</f>
        <v>-</v>
      </c>
      <c r="C12" s="35" t="s">
        <v>340</v>
      </c>
      <c r="D12" s="30" t="s">
        <v>255</v>
      </c>
      <c r="E12" s="31">
        <v>927</v>
      </c>
      <c r="F12" s="32">
        <v>131.55000000000001</v>
      </c>
      <c r="G12" s="80"/>
      <c r="H12" s="87" t="str">
        <f t="shared" si="0"/>
        <v>-</v>
      </c>
    </row>
    <row r="13" spans="1:8" ht="27" customHeight="1" x14ac:dyDescent="0.25">
      <c r="A13" s="79"/>
      <c r="B13" s="86" t="str">
        <f>IF(D13 &lt;&gt; "Paciente/Dia", "-", D13 &amp; COUNTIF( $D$7:D13, D13))</f>
        <v>-</v>
      </c>
      <c r="C13" s="35" t="s">
        <v>341</v>
      </c>
      <c r="D13" s="30" t="s">
        <v>255</v>
      </c>
      <c r="E13" s="31">
        <v>1326</v>
      </c>
      <c r="F13" s="32">
        <v>304.97000000000003</v>
      </c>
      <c r="G13" s="80"/>
      <c r="H13" s="87" t="str">
        <f t="shared" si="0"/>
        <v>-</v>
      </c>
    </row>
    <row r="14" spans="1:8" ht="27" customHeight="1" x14ac:dyDescent="0.25">
      <c r="A14" s="79"/>
      <c r="B14" s="86" t="str">
        <f>IF(D14 &lt;&gt; "Paciente/Dia", "-", D14 &amp; COUNTIF( $D$7:D14, D14))</f>
        <v>-</v>
      </c>
      <c r="C14" s="35" t="s">
        <v>342</v>
      </c>
      <c r="D14" s="30" t="s">
        <v>255</v>
      </c>
      <c r="E14" s="31">
        <v>90</v>
      </c>
      <c r="F14" s="32">
        <v>536.51</v>
      </c>
      <c r="G14" s="80"/>
      <c r="H14" s="87" t="str">
        <f t="shared" si="0"/>
        <v>-</v>
      </c>
    </row>
    <row r="15" spans="1:8" ht="27" customHeight="1" x14ac:dyDescent="0.25">
      <c r="A15" s="79"/>
      <c r="B15" s="86" t="str">
        <f>IF(D15 &lt;&gt; "Paciente/Dia", "-", D15 &amp; COUNTIF( $D$7:D15, D15))</f>
        <v>-</v>
      </c>
      <c r="C15" s="35" t="s">
        <v>343</v>
      </c>
      <c r="D15" s="30" t="s">
        <v>255</v>
      </c>
      <c r="E15" s="31">
        <v>404</v>
      </c>
      <c r="F15" s="32">
        <v>206.56</v>
      </c>
      <c r="G15" s="80"/>
      <c r="H15" s="87" t="str">
        <f t="shared" si="0"/>
        <v>-</v>
      </c>
    </row>
    <row r="16" spans="1:8" ht="27" customHeight="1" x14ac:dyDescent="0.25">
      <c r="A16" s="79"/>
      <c r="B16" s="86" t="str">
        <f>IF(D16 &lt;&gt; "Paciente/Dia", "-", D16 &amp; COUNTIF( $D$7:D16, D16))</f>
        <v>-</v>
      </c>
      <c r="C16" s="35" t="s">
        <v>344</v>
      </c>
      <c r="D16" s="30" t="s">
        <v>255</v>
      </c>
      <c r="E16" s="31">
        <v>182</v>
      </c>
      <c r="F16" s="32">
        <v>175.48</v>
      </c>
      <c r="G16" s="80"/>
      <c r="H16" s="87" t="str">
        <f t="shared" si="0"/>
        <v>-</v>
      </c>
    </row>
    <row r="17" spans="1:8" ht="27" customHeight="1" x14ac:dyDescent="0.25">
      <c r="A17" s="79"/>
      <c r="B17" s="86" t="str">
        <f>IF(D17 &lt;&gt; "Paciente/Dia", "-", D17 &amp; COUNTIF( $D$7:D17, D17))</f>
        <v>-</v>
      </c>
      <c r="C17" s="35" t="s">
        <v>345</v>
      </c>
      <c r="D17" s="30" t="s">
        <v>255</v>
      </c>
      <c r="E17" s="31">
        <v>875</v>
      </c>
      <c r="F17" s="32">
        <v>76.11</v>
      </c>
      <c r="G17" s="80"/>
      <c r="H17" s="87" t="str">
        <f t="shared" si="0"/>
        <v>-</v>
      </c>
    </row>
    <row r="18" spans="1:8" ht="27" customHeight="1" x14ac:dyDescent="0.25">
      <c r="A18" s="79"/>
      <c r="B18" s="86" t="str">
        <f>IF(D18 &lt;&gt; "Paciente/Dia", "-", D18 &amp; COUNTIF( $D$7:D18, D18))</f>
        <v>-</v>
      </c>
      <c r="C18" s="35" t="s">
        <v>346</v>
      </c>
      <c r="D18" s="30" t="s">
        <v>255</v>
      </c>
      <c r="E18" s="31">
        <v>38</v>
      </c>
      <c r="F18" s="32">
        <v>567.66999999999996</v>
      </c>
      <c r="G18" s="80"/>
      <c r="H18" s="87" t="str">
        <f t="shared" si="0"/>
        <v>-</v>
      </c>
    </row>
    <row r="19" spans="1:8" ht="27" customHeight="1" x14ac:dyDescent="0.25">
      <c r="A19" s="79"/>
      <c r="B19" s="86" t="str">
        <f>IF(D19 &lt;&gt; "Paciente/Dia", "-", D19 &amp; COUNTIF( $D$7:D19, D19))</f>
        <v>-</v>
      </c>
      <c r="C19" s="35" t="s">
        <v>347</v>
      </c>
      <c r="D19" s="30" t="s">
        <v>255</v>
      </c>
      <c r="E19" s="31">
        <v>303</v>
      </c>
      <c r="F19" s="32">
        <v>341.91</v>
      </c>
      <c r="G19" s="80"/>
      <c r="H19" s="87" t="str">
        <f t="shared" si="0"/>
        <v>-</v>
      </c>
    </row>
    <row r="20" spans="1:8" ht="27" customHeight="1" x14ac:dyDescent="0.25">
      <c r="A20" s="79"/>
      <c r="B20" s="86" t="str">
        <f>IF(D20 &lt;&gt; "Paciente/Dia", "-", D20 &amp; COUNTIF( $D$7:D20, D20))</f>
        <v>-</v>
      </c>
      <c r="C20" s="35" t="s">
        <v>348</v>
      </c>
      <c r="D20" s="30" t="s">
        <v>255</v>
      </c>
      <c r="E20" s="31">
        <v>93</v>
      </c>
      <c r="F20" s="32">
        <v>393.65</v>
      </c>
      <c r="G20" s="80"/>
      <c r="H20" s="87" t="str">
        <f t="shared" si="0"/>
        <v>-</v>
      </c>
    </row>
    <row r="21" spans="1:8" ht="27" customHeight="1" x14ac:dyDescent="0.25">
      <c r="A21" s="79"/>
      <c r="B21" s="86" t="str">
        <f>IF(D21 &lt;&gt; "Paciente/Dia", "-", D21 &amp; COUNTIF( $D$7:D21, D21))</f>
        <v>-</v>
      </c>
      <c r="C21" s="35" t="s">
        <v>349</v>
      </c>
      <c r="D21" s="30" t="s">
        <v>255</v>
      </c>
      <c r="E21" s="31">
        <v>114</v>
      </c>
      <c r="F21" s="32">
        <v>315.95999999999998</v>
      </c>
      <c r="G21" s="80"/>
      <c r="H21" s="87" t="str">
        <f t="shared" si="0"/>
        <v>-</v>
      </c>
    </row>
    <row r="22" spans="1:8" ht="27" customHeight="1" x14ac:dyDescent="0.25">
      <c r="A22" s="79"/>
      <c r="B22" s="86" t="str">
        <f>IF(D22 &lt;&gt; "Paciente/Dia", "-", D22 &amp; COUNTIF( $D$7:D22, D22))</f>
        <v>-</v>
      </c>
      <c r="C22" s="35" t="s">
        <v>350</v>
      </c>
      <c r="D22" s="30" t="s">
        <v>255</v>
      </c>
      <c r="E22" s="31">
        <v>33</v>
      </c>
      <c r="F22" s="32">
        <v>973.6</v>
      </c>
      <c r="G22" s="80"/>
      <c r="H22" s="87" t="str">
        <f t="shared" si="0"/>
        <v>-</v>
      </c>
    </row>
    <row r="23" spans="1:8" ht="27" customHeight="1" x14ac:dyDescent="0.25">
      <c r="A23" s="79"/>
      <c r="B23" s="86" t="str">
        <f>IF(D23 &lt;&gt; "Paciente/Dia", "-", D23 &amp; COUNTIF( $D$7:D23, D23))</f>
        <v>-</v>
      </c>
      <c r="C23" s="35" t="s">
        <v>351</v>
      </c>
      <c r="D23" s="30" t="s">
        <v>255</v>
      </c>
      <c r="E23" s="31">
        <v>27</v>
      </c>
      <c r="F23" s="32">
        <v>734.26</v>
      </c>
      <c r="G23" s="80"/>
      <c r="H23" s="87" t="str">
        <f t="shared" si="0"/>
        <v>-</v>
      </c>
    </row>
    <row r="24" spans="1:8" ht="27" customHeight="1" x14ac:dyDescent="0.25">
      <c r="A24" s="79"/>
      <c r="B24" s="86" t="str">
        <f>IF(D24 &lt;&gt; "Paciente/Dia", "-", D24 &amp; COUNTIF( $D$7:D24, D24))</f>
        <v>-</v>
      </c>
      <c r="C24" s="35" t="s">
        <v>352</v>
      </c>
      <c r="D24" s="30" t="s">
        <v>255</v>
      </c>
      <c r="E24" s="31">
        <v>2451</v>
      </c>
      <c r="F24" s="32">
        <v>231.33</v>
      </c>
      <c r="G24" s="80"/>
      <c r="H24" s="87" t="str">
        <f t="shared" si="0"/>
        <v>-</v>
      </c>
    </row>
    <row r="25" spans="1:8" ht="27" customHeight="1" x14ac:dyDescent="0.25">
      <c r="A25" s="79"/>
      <c r="B25" s="86" t="str">
        <f>IF(D25 &lt;&gt; "Paciente/Dia", "-", D25 &amp; COUNTIF( $D$7:D25, D25))</f>
        <v>-</v>
      </c>
      <c r="C25" s="35" t="s">
        <v>353</v>
      </c>
      <c r="D25" s="30" t="s">
        <v>307</v>
      </c>
      <c r="E25" s="31">
        <v>229</v>
      </c>
      <c r="F25" s="32">
        <v>251.24</v>
      </c>
      <c r="G25" s="80"/>
      <c r="H25" s="87" t="str">
        <f t="shared" si="0"/>
        <v>-</v>
      </c>
    </row>
    <row r="26" spans="1:8" ht="27" customHeight="1" x14ac:dyDescent="0.25">
      <c r="A26" s="79"/>
      <c r="B26" s="86" t="str">
        <f>IF(D26 &lt;&gt; "Paciente/Dia", "-", D26 &amp; COUNTIF( $D$7:D26, D26))</f>
        <v>-</v>
      </c>
      <c r="C26" s="35"/>
      <c r="D26" s="30"/>
      <c r="E26" s="31"/>
      <c r="F26" s="32"/>
      <c r="G26" s="80"/>
      <c r="H26" s="87" t="str">
        <f t="shared" si="0"/>
        <v>-</v>
      </c>
    </row>
    <row r="27" spans="1:8" ht="27" customHeight="1" x14ac:dyDescent="0.25">
      <c r="A27" s="79"/>
      <c r="B27" s="86" t="str">
        <f>IF(D27 &lt;&gt; "Paciente/Dia", "-", D27 &amp; COUNTIF( $D$7:D27, D27))</f>
        <v>-</v>
      </c>
      <c r="C27" s="35"/>
      <c r="D27" s="30"/>
      <c r="E27" s="31"/>
      <c r="F27" s="32"/>
      <c r="G27" s="80"/>
      <c r="H27" s="87" t="str">
        <f t="shared" si="0"/>
        <v>-</v>
      </c>
    </row>
    <row r="28" spans="1:8" ht="27" customHeight="1" x14ac:dyDescent="0.25">
      <c r="A28" s="79"/>
      <c r="B28" s="86" t="str">
        <f>IF(D28 &lt;&gt; "Paciente/Dia", "-", D28 &amp; COUNTIF( $D$7:D28, D28))</f>
        <v>-</v>
      </c>
      <c r="C28" s="35"/>
      <c r="D28" s="30"/>
      <c r="E28" s="31"/>
      <c r="F28" s="32"/>
      <c r="G28" s="80"/>
      <c r="H28" s="87" t="str">
        <f t="shared" si="0"/>
        <v>-</v>
      </c>
    </row>
    <row r="29" spans="1:8" ht="27" customHeight="1" x14ac:dyDescent="0.25">
      <c r="A29" s="79"/>
      <c r="B29" s="86" t="str">
        <f>IF(D29 &lt;&gt; "Paciente/Dia", "-", D29 &amp; COUNTIF( $D$7:D29, D29))</f>
        <v>-</v>
      </c>
      <c r="C29" s="35"/>
      <c r="D29" s="30"/>
      <c r="E29" s="31"/>
      <c r="F29" s="32"/>
      <c r="G29" s="80"/>
      <c r="H29" s="87" t="str">
        <f t="shared" si="0"/>
        <v>-</v>
      </c>
    </row>
    <row r="30" spans="1:8" ht="27" customHeight="1" x14ac:dyDescent="0.25">
      <c r="A30" s="79"/>
      <c r="B30" s="86" t="str">
        <f>IF(D30 &lt;&gt; "Paciente/Dia", "-", D30 &amp; COUNTIF( $D$7:D30, D30))</f>
        <v>-</v>
      </c>
      <c r="C30" s="35"/>
      <c r="D30" s="30"/>
      <c r="E30" s="31"/>
      <c r="F30" s="32"/>
      <c r="G30" s="80"/>
      <c r="H30" s="87" t="str">
        <f t="shared" si="0"/>
        <v>-</v>
      </c>
    </row>
    <row r="31" spans="1:8" ht="27" customHeight="1" x14ac:dyDescent="0.25">
      <c r="A31" s="79"/>
      <c r="B31" s="86" t="str">
        <f>IF(D31 &lt;&gt; "Paciente/Dia", "-", D31 &amp; COUNTIF( $D$7:D31, D31))</f>
        <v>-</v>
      </c>
      <c r="C31" s="35"/>
      <c r="D31" s="30"/>
      <c r="E31" s="31"/>
      <c r="F31" s="32"/>
      <c r="G31" s="80"/>
      <c r="H31" s="87" t="str">
        <f t="shared" si="0"/>
        <v>-</v>
      </c>
    </row>
    <row r="32" spans="1:8" ht="27" customHeight="1" x14ac:dyDescent="0.25">
      <c r="A32" s="79"/>
      <c r="B32" s="86" t="str">
        <f>IF(D32 &lt;&gt; "Paciente/Dia", "-", D32 &amp; COUNTIF( $D$7:D32, D32))</f>
        <v>-</v>
      </c>
      <c r="C32" s="35"/>
      <c r="D32" s="30"/>
      <c r="E32" s="31"/>
      <c r="F32" s="32"/>
      <c r="G32" s="80"/>
      <c r="H32" s="87" t="str">
        <f t="shared" si="0"/>
        <v>-</v>
      </c>
    </row>
    <row r="33" spans="1:8" ht="27" customHeight="1" x14ac:dyDescent="0.25">
      <c r="A33" s="79"/>
      <c r="B33" s="86" t="str">
        <f>IF(D33 &lt;&gt; "Paciente/Dia", "-", D33 &amp; COUNTIF( $D$7:D33, D33))</f>
        <v>-</v>
      </c>
      <c r="C33" s="35"/>
      <c r="D33" s="30"/>
      <c r="E33" s="31"/>
      <c r="F33" s="32"/>
      <c r="G33" s="80"/>
      <c r="H33" s="87" t="str">
        <f t="shared" si="0"/>
        <v>-</v>
      </c>
    </row>
    <row r="34" spans="1:8" ht="27" customHeight="1" x14ac:dyDescent="0.25">
      <c r="A34" s="79"/>
      <c r="B34" s="86" t="str">
        <f>IF(D34 &lt;&gt; "Paciente/Dia", "-", D34 &amp; COUNTIF( $D$7:D34, D34))</f>
        <v>-</v>
      </c>
      <c r="C34" s="35"/>
      <c r="D34" s="30"/>
      <c r="E34" s="31"/>
      <c r="F34" s="32"/>
      <c r="G34" s="80"/>
      <c r="H34" s="87" t="str">
        <f t="shared" si="0"/>
        <v>-</v>
      </c>
    </row>
    <row r="35" spans="1:8" ht="27" customHeight="1" x14ac:dyDescent="0.25">
      <c r="A35" s="79"/>
      <c r="B35" s="86" t="str">
        <f>IF(D35 &lt;&gt; "Paciente/Dia", "-", D35 &amp; COUNTIF( $D$7:D35, D35))</f>
        <v>-</v>
      </c>
      <c r="C35" s="35"/>
      <c r="D35" s="30"/>
      <c r="E35" s="31"/>
      <c r="F35" s="32"/>
      <c r="G35" s="80"/>
      <c r="H35" s="87" t="str">
        <f t="shared" si="0"/>
        <v>-</v>
      </c>
    </row>
    <row r="36" spans="1:8" ht="27" customHeight="1" x14ac:dyDescent="0.25">
      <c r="A36" s="79"/>
      <c r="B36" s="86" t="str">
        <f>IF(D36 &lt;&gt; "Paciente/Dia", "-", D36 &amp; COUNTIF( $D$7:D36, D36))</f>
        <v>-</v>
      </c>
      <c r="C36" s="35"/>
      <c r="D36" s="30"/>
      <c r="E36" s="31"/>
      <c r="F36" s="32"/>
      <c r="G36" s="80"/>
      <c r="H36" s="87" t="str">
        <f t="shared" si="0"/>
        <v>-</v>
      </c>
    </row>
    <row r="37" spans="1:8" ht="27" customHeight="1" x14ac:dyDescent="0.25">
      <c r="A37" s="79"/>
      <c r="B37" s="86" t="str">
        <f>IF(D37 &lt;&gt; "Paciente/Dia", "-", D37 &amp; COUNTIF( $D$7:D37, D37))</f>
        <v>-</v>
      </c>
      <c r="C37" s="35"/>
      <c r="D37" s="30"/>
      <c r="E37" s="31"/>
      <c r="F37" s="32"/>
      <c r="G37" s="80"/>
      <c r="H37" s="87" t="str">
        <f t="shared" si="0"/>
        <v>-</v>
      </c>
    </row>
    <row r="38" spans="1:8" ht="27" customHeight="1" x14ac:dyDescent="0.25">
      <c r="A38" s="79"/>
      <c r="B38" s="86" t="str">
        <f>IF(D38 &lt;&gt; "Paciente/Dia", "-", D38 &amp; COUNTIF( $D$7:D38, D38))</f>
        <v>-</v>
      </c>
      <c r="C38" s="35"/>
      <c r="D38" s="30"/>
      <c r="E38" s="31"/>
      <c r="F38" s="32"/>
      <c r="G38" s="80"/>
      <c r="H38" s="87" t="str">
        <f t="shared" ref="H38:H71" si="1">IF(OR(
C38="ADMINISTRATIVO",
C38="INTERMEDIÁRIO",
C38="EXTERNO",
C38="FINAL"),"GRUPO","-")</f>
        <v>-</v>
      </c>
    </row>
    <row r="39" spans="1:8" ht="27" customHeight="1" x14ac:dyDescent="0.25">
      <c r="A39" s="79"/>
      <c r="B39" s="86" t="str">
        <f>IF(D39 &lt;&gt; "Paciente/Dia", "-", D39 &amp; COUNTIF( $D$7:D39, D39))</f>
        <v>-</v>
      </c>
      <c r="C39" s="35"/>
      <c r="D39" s="30"/>
      <c r="E39" s="31"/>
      <c r="F39" s="32"/>
      <c r="G39" s="80"/>
      <c r="H39" s="87" t="str">
        <f t="shared" si="1"/>
        <v>-</v>
      </c>
    </row>
    <row r="40" spans="1:8" ht="27" customHeight="1" x14ac:dyDescent="0.25">
      <c r="A40" s="79"/>
      <c r="B40" s="86" t="str">
        <f>IF(D40 &lt;&gt; "Paciente/Dia", "-", D40 &amp; COUNTIF( $D$7:D40, D40))</f>
        <v>-</v>
      </c>
      <c r="C40" s="35"/>
      <c r="D40" s="30"/>
      <c r="E40" s="31"/>
      <c r="F40" s="32"/>
      <c r="G40" s="80"/>
      <c r="H40" s="87" t="str">
        <f t="shared" si="1"/>
        <v>-</v>
      </c>
    </row>
    <row r="41" spans="1:8" ht="27" customHeight="1" x14ac:dyDescent="0.25">
      <c r="A41" s="79"/>
      <c r="B41" s="86" t="str">
        <f>IF(D41 &lt;&gt; "Paciente/Dia", "-", D41 &amp; COUNTIF( $D$7:D41, D41))</f>
        <v>-</v>
      </c>
      <c r="C41" s="35"/>
      <c r="D41" s="30"/>
      <c r="E41" s="31"/>
      <c r="F41" s="32"/>
      <c r="G41" s="80"/>
      <c r="H41" s="87" t="str">
        <f t="shared" si="1"/>
        <v>-</v>
      </c>
    </row>
    <row r="42" spans="1:8" ht="27" customHeight="1" x14ac:dyDescent="0.25">
      <c r="A42" s="79"/>
      <c r="B42" s="86" t="str">
        <f>IF(D42 &lt;&gt; "Paciente/Dia", "-", D42 &amp; COUNTIF( $D$7:D42, D42))</f>
        <v>-</v>
      </c>
      <c r="C42" s="35"/>
      <c r="D42" s="30"/>
      <c r="E42" s="31"/>
      <c r="F42" s="32"/>
      <c r="G42" s="80"/>
      <c r="H42" s="87" t="str">
        <f t="shared" si="1"/>
        <v>-</v>
      </c>
    </row>
    <row r="43" spans="1:8" ht="27" customHeight="1" x14ac:dyDescent="0.25">
      <c r="A43" s="79"/>
      <c r="B43" s="86" t="str">
        <f>IF(D43 &lt;&gt; "Paciente/Dia", "-", D43 &amp; COUNTIF( $D$7:D43, D43))</f>
        <v>-</v>
      </c>
      <c r="C43" s="35"/>
      <c r="D43" s="30"/>
      <c r="E43" s="31"/>
      <c r="F43" s="32"/>
      <c r="G43" s="80"/>
      <c r="H43" s="87" t="str">
        <f t="shared" si="1"/>
        <v>-</v>
      </c>
    </row>
    <row r="44" spans="1:8" ht="27" customHeight="1" x14ac:dyDescent="0.25">
      <c r="A44" s="79"/>
      <c r="B44" s="86" t="str">
        <f>IF(D44 &lt;&gt; "Paciente/Dia", "-", D44 &amp; COUNTIF( $D$7:D44, D44))</f>
        <v>-</v>
      </c>
      <c r="C44" s="35"/>
      <c r="D44" s="30"/>
      <c r="E44" s="31"/>
      <c r="F44" s="32"/>
      <c r="G44" s="80"/>
      <c r="H44" s="87" t="str">
        <f t="shared" si="1"/>
        <v>-</v>
      </c>
    </row>
    <row r="45" spans="1:8" ht="27" customHeight="1" x14ac:dyDescent="0.25">
      <c r="A45" s="79"/>
      <c r="B45" s="86" t="str">
        <f>IF(D45 &lt;&gt; "Paciente/Dia", "-", D45 &amp; COUNTIF( $D$7:D45, D45))</f>
        <v>-</v>
      </c>
      <c r="C45" s="35"/>
      <c r="D45" s="30"/>
      <c r="E45" s="31"/>
      <c r="F45" s="32"/>
      <c r="G45" s="80"/>
      <c r="H45" s="87" t="str">
        <f t="shared" si="1"/>
        <v>-</v>
      </c>
    </row>
    <row r="46" spans="1:8" ht="27" customHeight="1" x14ac:dyDescent="0.25">
      <c r="A46" s="79"/>
      <c r="B46" s="86" t="str">
        <f>IF(D46 &lt;&gt; "Paciente/Dia", "-", D46 &amp; COUNTIF( $D$7:D46, D46))</f>
        <v>-</v>
      </c>
      <c r="C46" s="35"/>
      <c r="D46" s="30"/>
      <c r="E46" s="31"/>
      <c r="F46" s="32"/>
      <c r="G46" s="80"/>
      <c r="H46" s="87" t="str">
        <f t="shared" si="1"/>
        <v>-</v>
      </c>
    </row>
    <row r="47" spans="1:8" ht="27" customHeight="1" x14ac:dyDescent="0.25">
      <c r="A47" s="79"/>
      <c r="B47" s="86" t="str">
        <f>IF(D47 &lt;&gt; "Paciente/Dia", "-", D47 &amp; COUNTIF( $D$7:D47, D47))</f>
        <v>-</v>
      </c>
      <c r="C47" s="35"/>
      <c r="D47" s="30"/>
      <c r="E47" s="31"/>
      <c r="F47" s="32"/>
      <c r="G47" s="80"/>
      <c r="H47" s="87" t="str">
        <f t="shared" si="1"/>
        <v>-</v>
      </c>
    </row>
    <row r="48" spans="1:8" ht="27" customHeight="1" x14ac:dyDescent="0.25">
      <c r="A48" s="79"/>
      <c r="B48" s="86" t="str">
        <f>IF(D48 &lt;&gt; "Paciente/Dia", "-", D48 &amp; COUNTIF( $D$7:D48, D48))</f>
        <v>-</v>
      </c>
      <c r="C48" s="35"/>
      <c r="D48" s="30"/>
      <c r="E48" s="31"/>
      <c r="F48" s="32"/>
      <c r="G48" s="80"/>
      <c r="H48" s="87" t="str">
        <f t="shared" si="1"/>
        <v>-</v>
      </c>
    </row>
    <row r="49" spans="1:8" ht="27" customHeight="1" x14ac:dyDescent="0.25">
      <c r="A49" s="79"/>
      <c r="B49" s="86" t="str">
        <f>IF(D49 &lt;&gt; "Paciente/Dia", "-", D49 &amp; COUNTIF( $D$7:D49, D49))</f>
        <v>-</v>
      </c>
      <c r="C49" s="35"/>
      <c r="D49" s="30"/>
      <c r="E49" s="31"/>
      <c r="F49" s="32"/>
      <c r="G49" s="80"/>
      <c r="H49" s="87" t="str">
        <f t="shared" si="1"/>
        <v>-</v>
      </c>
    </row>
    <row r="50" spans="1:8" ht="27" customHeight="1" x14ac:dyDescent="0.25">
      <c r="A50" s="79"/>
      <c r="B50" s="86" t="str">
        <f>IF(D50 &lt;&gt; "Paciente/Dia", "-", D50 &amp; COUNTIF( $D$7:D50, D50))</f>
        <v>-</v>
      </c>
      <c r="C50" s="35"/>
      <c r="D50" s="30"/>
      <c r="E50" s="31"/>
      <c r="F50" s="32"/>
      <c r="G50" s="80"/>
      <c r="H50" s="87" t="str">
        <f t="shared" si="1"/>
        <v>-</v>
      </c>
    </row>
    <row r="51" spans="1:8" ht="27" customHeight="1" x14ac:dyDescent="0.25">
      <c r="A51" s="79"/>
      <c r="B51" s="86" t="str">
        <f>IF(D51 &lt;&gt; "Paciente/Dia", "-", D51 &amp; COUNTIF( $D$7:D51, D51))</f>
        <v>-</v>
      </c>
      <c r="C51" s="35"/>
      <c r="D51" s="30"/>
      <c r="E51" s="31"/>
      <c r="F51" s="32"/>
      <c r="G51" s="80"/>
      <c r="H51" s="87" t="str">
        <f t="shared" si="1"/>
        <v>-</v>
      </c>
    </row>
    <row r="52" spans="1:8" ht="27" customHeight="1" x14ac:dyDescent="0.25">
      <c r="A52" s="79"/>
      <c r="B52" s="86" t="str">
        <f>IF(D52 &lt;&gt; "Paciente/Dia", "-", D52 &amp; COUNTIF( $D$7:D52, D52))</f>
        <v>-</v>
      </c>
      <c r="C52" s="35"/>
      <c r="D52" s="30"/>
      <c r="E52" s="31"/>
      <c r="F52" s="32"/>
      <c r="G52" s="80"/>
      <c r="H52" s="87" t="str">
        <f t="shared" si="1"/>
        <v>-</v>
      </c>
    </row>
    <row r="53" spans="1:8" ht="27" customHeight="1" x14ac:dyDescent="0.25">
      <c r="A53" s="79"/>
      <c r="B53" s="86" t="str">
        <f>IF(D53 &lt;&gt; "Paciente/Dia", "-", D53 &amp; COUNTIF( $D$7:D53, D53))</f>
        <v>-</v>
      </c>
      <c r="C53" s="35"/>
      <c r="D53" s="30"/>
      <c r="E53" s="31"/>
      <c r="F53" s="32"/>
      <c r="G53" s="80"/>
      <c r="H53" s="87" t="str">
        <f t="shared" si="1"/>
        <v>-</v>
      </c>
    </row>
    <row r="54" spans="1:8" ht="27" customHeight="1" x14ac:dyDescent="0.25">
      <c r="A54" s="79"/>
      <c r="B54" s="86" t="str">
        <f>IF(D54 &lt;&gt; "Paciente/Dia", "-", D54 &amp; COUNTIF( $D$7:D54, D54))</f>
        <v>-</v>
      </c>
      <c r="C54" s="35"/>
      <c r="D54" s="30"/>
      <c r="E54" s="31"/>
      <c r="F54" s="32"/>
      <c r="G54" s="80"/>
      <c r="H54" s="87" t="str">
        <f t="shared" si="1"/>
        <v>-</v>
      </c>
    </row>
    <row r="55" spans="1:8" ht="27" customHeight="1" x14ac:dyDescent="0.25">
      <c r="A55" s="79"/>
      <c r="B55" s="86" t="str">
        <f>IF(D55 &lt;&gt; "Paciente/Dia", "-", D55 &amp; COUNTIF( $D$7:D55, D55))</f>
        <v>-</v>
      </c>
      <c r="C55" s="35"/>
      <c r="D55" s="30"/>
      <c r="E55" s="31"/>
      <c r="F55" s="32"/>
      <c r="G55" s="80"/>
      <c r="H55" s="87" t="str">
        <f t="shared" si="1"/>
        <v>-</v>
      </c>
    </row>
    <row r="56" spans="1:8" ht="27" customHeight="1" x14ac:dyDescent="0.25">
      <c r="A56" s="79"/>
      <c r="B56" s="86" t="str">
        <f>IF(D56 &lt;&gt; "Paciente/Dia", "-", D56 &amp; COUNTIF( $D$7:D56, D56))</f>
        <v>-</v>
      </c>
      <c r="C56" s="35"/>
      <c r="D56" s="30"/>
      <c r="E56" s="31"/>
      <c r="F56" s="32"/>
      <c r="G56" s="80"/>
      <c r="H56" s="87" t="str">
        <f t="shared" si="1"/>
        <v>-</v>
      </c>
    </row>
    <row r="57" spans="1:8" ht="27" customHeight="1" x14ac:dyDescent="0.25">
      <c r="A57" s="79"/>
      <c r="B57" s="86" t="str">
        <f>IF(D57 &lt;&gt; "Paciente/Dia", "-", D57 &amp; COUNTIF( $D$7:D57, D57))</f>
        <v>-</v>
      </c>
      <c r="C57" s="35"/>
      <c r="D57" s="30"/>
      <c r="E57" s="31"/>
      <c r="F57" s="32"/>
      <c r="G57" s="80"/>
      <c r="H57" s="87" t="str">
        <f t="shared" si="1"/>
        <v>-</v>
      </c>
    </row>
    <row r="58" spans="1:8" ht="27" customHeight="1" x14ac:dyDescent="0.25">
      <c r="A58" s="79"/>
      <c r="B58" s="86" t="str">
        <f>IF(D58 &lt;&gt; "Paciente/Dia", "-", D58 &amp; COUNTIF( $D$7:D58, D58))</f>
        <v>-</v>
      </c>
      <c r="C58" s="35"/>
      <c r="D58" s="30"/>
      <c r="E58" s="31"/>
      <c r="F58" s="32"/>
      <c r="G58" s="80"/>
      <c r="H58" s="87" t="str">
        <f t="shared" si="1"/>
        <v>-</v>
      </c>
    </row>
    <row r="59" spans="1:8" ht="27" customHeight="1" x14ac:dyDescent="0.25">
      <c r="A59" s="79"/>
      <c r="B59" s="86" t="str">
        <f>IF(D59 &lt;&gt; "Paciente/Dia", "-", D59 &amp; COUNTIF( $D$7:D59, D59))</f>
        <v>-</v>
      </c>
      <c r="C59" s="35"/>
      <c r="D59" s="30"/>
      <c r="E59" s="31"/>
      <c r="F59" s="32"/>
      <c r="G59" s="80"/>
      <c r="H59" s="87" t="str">
        <f t="shared" si="1"/>
        <v>-</v>
      </c>
    </row>
    <row r="60" spans="1:8" ht="27" customHeight="1" x14ac:dyDescent="0.25">
      <c r="A60" s="79"/>
      <c r="B60" s="86" t="str">
        <f>IF(D60 &lt;&gt; "Paciente/Dia", "-", D60 &amp; COUNTIF( $D$7:D60, D60))</f>
        <v>-</v>
      </c>
      <c r="C60" s="35"/>
      <c r="D60" s="30"/>
      <c r="E60" s="31"/>
      <c r="F60" s="32"/>
      <c r="G60" s="80"/>
      <c r="H60" s="87" t="str">
        <f t="shared" si="1"/>
        <v>-</v>
      </c>
    </row>
    <row r="61" spans="1:8" ht="27" customHeight="1" x14ac:dyDescent="0.25">
      <c r="A61" s="79"/>
      <c r="B61" s="86" t="str">
        <f>IF(D61 &lt;&gt; "Paciente/Dia", "-", D61 &amp; COUNTIF( $D$7:D61, D61))</f>
        <v>-</v>
      </c>
      <c r="C61" s="35"/>
      <c r="D61" s="30"/>
      <c r="E61" s="31"/>
      <c r="F61" s="32"/>
      <c r="G61" s="80"/>
      <c r="H61" s="87" t="str">
        <f t="shared" si="1"/>
        <v>-</v>
      </c>
    </row>
    <row r="62" spans="1:8" ht="27" customHeight="1" x14ac:dyDescent="0.25">
      <c r="A62" s="79"/>
      <c r="B62" s="86" t="str">
        <f>IF(D62 &lt;&gt; "Paciente/Dia", "-", D62 &amp; COUNTIF( $D$7:D62, D62))</f>
        <v>-</v>
      </c>
      <c r="C62" s="35"/>
      <c r="D62" s="30"/>
      <c r="E62" s="31"/>
      <c r="F62" s="32"/>
      <c r="G62" s="80"/>
      <c r="H62" s="87" t="str">
        <f t="shared" si="1"/>
        <v>-</v>
      </c>
    </row>
    <row r="63" spans="1:8" ht="27" customHeight="1" x14ac:dyDescent="0.25">
      <c r="A63" s="79"/>
      <c r="B63" s="86" t="str">
        <f>IF(D63 &lt;&gt; "Paciente/Dia", "-", D63 &amp; COUNTIF( $D$7:D63, D63))</f>
        <v>-</v>
      </c>
      <c r="C63" s="35"/>
      <c r="D63" s="30"/>
      <c r="E63" s="31"/>
      <c r="F63" s="32"/>
      <c r="G63" s="80"/>
      <c r="H63" s="87" t="str">
        <f t="shared" si="1"/>
        <v>-</v>
      </c>
    </row>
    <row r="64" spans="1:8" ht="27" customHeight="1" x14ac:dyDescent="0.25">
      <c r="A64" s="79"/>
      <c r="B64" s="86" t="str">
        <f>IF(D64 &lt;&gt; "Paciente/Dia", "-", D64 &amp; COUNTIF( $D$7:D64, D64))</f>
        <v>-</v>
      </c>
      <c r="C64" s="35"/>
      <c r="D64" s="30"/>
      <c r="E64" s="31"/>
      <c r="F64" s="32"/>
      <c r="G64" s="80"/>
      <c r="H64" s="87" t="str">
        <f t="shared" si="1"/>
        <v>-</v>
      </c>
    </row>
    <row r="65" spans="1:8" ht="27" customHeight="1" x14ac:dyDescent="0.25">
      <c r="A65" s="79"/>
      <c r="B65" s="86" t="str">
        <f>IF(D65 &lt;&gt; "Paciente/Dia", "-", D65 &amp; COUNTIF( $D$7:D65, D65))</f>
        <v>-</v>
      </c>
      <c r="C65" s="35"/>
      <c r="D65" s="30"/>
      <c r="E65" s="31"/>
      <c r="F65" s="32"/>
      <c r="G65" s="80"/>
      <c r="H65" s="87" t="str">
        <f t="shared" si="1"/>
        <v>-</v>
      </c>
    </row>
    <row r="66" spans="1:8" ht="27" customHeight="1" x14ac:dyDescent="0.25">
      <c r="A66" s="79"/>
      <c r="B66" s="86" t="str">
        <f>IF(D66 &lt;&gt; "Paciente/Dia", "-", D66 &amp; COUNTIF( $D$7:D66, D66))</f>
        <v>-</v>
      </c>
      <c r="C66" s="35"/>
      <c r="D66" s="30"/>
      <c r="E66" s="31"/>
      <c r="F66" s="32"/>
      <c r="G66" s="80"/>
      <c r="H66" s="87" t="str">
        <f t="shared" si="1"/>
        <v>-</v>
      </c>
    </row>
    <row r="67" spans="1:8" ht="27" customHeight="1" x14ac:dyDescent="0.25">
      <c r="A67" s="79"/>
      <c r="B67" s="86" t="str">
        <f>IF(D67 &lt;&gt; "Paciente/Dia", "-", D67 &amp; COUNTIF( $D$7:D67, D67))</f>
        <v>-</v>
      </c>
      <c r="C67" s="35"/>
      <c r="D67" s="30"/>
      <c r="E67" s="31"/>
      <c r="F67" s="32"/>
      <c r="G67" s="80"/>
      <c r="H67" s="87" t="str">
        <f t="shared" si="1"/>
        <v>-</v>
      </c>
    </row>
    <row r="68" spans="1:8" ht="27" customHeight="1" x14ac:dyDescent="0.25">
      <c r="A68" s="79"/>
      <c r="B68" s="86" t="str">
        <f>IF(D68 &lt;&gt; "Paciente/Dia", "-", D68 &amp; COUNTIF( $D$7:D68, D68))</f>
        <v>-</v>
      </c>
      <c r="C68" s="35"/>
      <c r="D68" s="30"/>
      <c r="E68" s="31"/>
      <c r="F68" s="32"/>
      <c r="G68" s="80"/>
      <c r="H68" s="87" t="str">
        <f t="shared" si="1"/>
        <v>-</v>
      </c>
    </row>
    <row r="69" spans="1:8" ht="27" customHeight="1" x14ac:dyDescent="0.25">
      <c r="A69" s="79"/>
      <c r="B69" s="86" t="str">
        <f>IF(D69 &lt;&gt; "Paciente/Dia", "-", D69 &amp; COUNTIF( $D$7:D69, D69))</f>
        <v>-</v>
      </c>
      <c r="C69" s="35"/>
      <c r="D69" s="30"/>
      <c r="E69" s="31"/>
      <c r="F69" s="32"/>
      <c r="G69" s="80"/>
      <c r="H69" s="87" t="str">
        <f t="shared" si="1"/>
        <v>-</v>
      </c>
    </row>
    <row r="70" spans="1:8" ht="27" customHeight="1" x14ac:dyDescent="0.25">
      <c r="A70" s="79"/>
      <c r="B70" s="86" t="str">
        <f>IF(D70 &lt;&gt; "Paciente/Dia", "-", D70 &amp; COUNTIF( $D$7:D70, D70))</f>
        <v>-</v>
      </c>
      <c r="C70" s="35"/>
      <c r="D70" s="30"/>
      <c r="E70" s="31"/>
      <c r="F70" s="32"/>
      <c r="G70" s="80"/>
      <c r="H70" s="87" t="str">
        <f t="shared" si="1"/>
        <v>-</v>
      </c>
    </row>
    <row r="71" spans="1:8" ht="27" customHeight="1" x14ac:dyDescent="0.25">
      <c r="A71" s="79"/>
      <c r="B71" s="86" t="str">
        <f>IF(D71 &lt;&gt; "Paciente/Dia", "-", D71 &amp; COUNTIF( $D$7:D71, D71))</f>
        <v>-</v>
      </c>
      <c r="C71" s="35"/>
      <c r="D71" s="30"/>
      <c r="E71" s="31"/>
      <c r="F71" s="32"/>
      <c r="G71" s="80"/>
      <c r="H71" s="87" t="str">
        <f t="shared" si="1"/>
        <v>-</v>
      </c>
    </row>
    <row r="72" spans="1:8" ht="27" customHeight="1" x14ac:dyDescent="0.25">
      <c r="A72" s="79"/>
      <c r="B72" s="86" t="str">
        <f>IF(D72 &lt;&gt; "Paciente/Dia", "-", D72 &amp; COUNTIF( $D$7:D72, D72))</f>
        <v>-</v>
      </c>
      <c r="C72" s="35"/>
      <c r="D72" s="30"/>
      <c r="E72" s="31"/>
      <c r="F72" s="32"/>
      <c r="G72" s="80"/>
      <c r="H72" s="87" t="str">
        <f t="shared" ref="H72:H124" si="2">IF(OR(
C72="ADMINISTRATIVO",
C72="INTERMEDIÁRIO",
C72="EXTERNO",
C72="FINAL"),"GRUPO","-")</f>
        <v>-</v>
      </c>
    </row>
    <row r="73" spans="1:8" ht="27" customHeight="1" x14ac:dyDescent="0.25">
      <c r="A73" s="79"/>
      <c r="B73" s="86" t="str">
        <f>IF(D73 &lt;&gt; "Paciente/Dia", "-", D73 &amp; COUNTIF( $D$7:D73, D73))</f>
        <v>-</v>
      </c>
      <c r="C73" s="35"/>
      <c r="D73" s="30"/>
      <c r="E73" s="31"/>
      <c r="F73" s="32"/>
      <c r="G73" s="80"/>
      <c r="H73" s="87" t="str">
        <f t="shared" si="2"/>
        <v>-</v>
      </c>
    </row>
    <row r="74" spans="1:8" ht="27" customHeight="1" x14ac:dyDescent="0.25">
      <c r="A74" s="79"/>
      <c r="B74" s="86" t="str">
        <f>IF(D74 &lt;&gt; "Paciente/Dia", "-", D74 &amp; COUNTIF( $D$7:D74, D74))</f>
        <v>-</v>
      </c>
      <c r="C74" s="35"/>
      <c r="D74" s="30"/>
      <c r="E74" s="31"/>
      <c r="F74" s="32"/>
      <c r="G74" s="80"/>
      <c r="H74" s="87" t="str">
        <f t="shared" si="2"/>
        <v>-</v>
      </c>
    </row>
    <row r="75" spans="1:8" ht="27" customHeight="1" x14ac:dyDescent="0.25">
      <c r="A75" s="79"/>
      <c r="B75" s="86" t="str">
        <f>IF(D75 &lt;&gt; "Paciente/Dia", "-", D75 &amp; COUNTIF( $D$7:D75, D75))</f>
        <v>-</v>
      </c>
      <c r="C75" s="35"/>
      <c r="D75" s="30"/>
      <c r="E75" s="31"/>
      <c r="F75" s="32"/>
      <c r="G75" s="80"/>
      <c r="H75" s="87" t="str">
        <f t="shared" si="2"/>
        <v>-</v>
      </c>
    </row>
    <row r="76" spans="1:8" ht="27" customHeight="1" x14ac:dyDescent="0.25">
      <c r="A76" s="79"/>
      <c r="B76" s="86" t="str">
        <f>IF(D76 &lt;&gt; "Paciente/Dia", "-", D76 &amp; COUNTIF( $D$7:D76, D76))</f>
        <v>-</v>
      </c>
      <c r="C76" s="35"/>
      <c r="D76" s="30"/>
      <c r="E76" s="31"/>
      <c r="F76" s="32"/>
      <c r="G76" s="80"/>
      <c r="H76" s="87" t="str">
        <f t="shared" si="2"/>
        <v>-</v>
      </c>
    </row>
    <row r="77" spans="1:8" ht="27" customHeight="1" x14ac:dyDescent="0.25">
      <c r="A77" s="79"/>
      <c r="B77" s="86" t="str">
        <f>IF(D77 &lt;&gt; "Paciente/Dia", "-", D77 &amp; COUNTIF( $D$7:D77, D77))</f>
        <v>-</v>
      </c>
      <c r="C77" s="35"/>
      <c r="D77" s="30"/>
      <c r="E77" s="31"/>
      <c r="F77" s="32"/>
      <c r="G77" s="80"/>
      <c r="H77" s="87" t="str">
        <f t="shared" si="2"/>
        <v>-</v>
      </c>
    </row>
    <row r="78" spans="1:8" ht="27" customHeight="1" x14ac:dyDescent="0.25">
      <c r="A78" s="79"/>
      <c r="B78" s="86" t="str">
        <f>IF(D78 &lt;&gt; "Paciente/Dia", "-", D78 &amp; COUNTIF( $D$7:D78, D78))</f>
        <v>-</v>
      </c>
      <c r="C78" s="35"/>
      <c r="D78" s="30"/>
      <c r="E78" s="31"/>
      <c r="F78" s="32"/>
      <c r="G78" s="80"/>
      <c r="H78" s="87" t="str">
        <f t="shared" si="2"/>
        <v>-</v>
      </c>
    </row>
    <row r="79" spans="1:8" ht="27" customHeight="1" x14ac:dyDescent="0.25">
      <c r="A79" s="79"/>
      <c r="B79" s="86" t="str">
        <f>IF(D79 &lt;&gt; "Paciente/Dia", "-", D79 &amp; COUNTIF( $D$7:D79, D79))</f>
        <v>-</v>
      </c>
      <c r="C79" s="35"/>
      <c r="D79" s="30"/>
      <c r="E79" s="31"/>
      <c r="F79" s="32"/>
      <c r="G79" s="80"/>
      <c r="H79" s="87" t="str">
        <f t="shared" si="2"/>
        <v>-</v>
      </c>
    </row>
    <row r="80" spans="1:8" ht="27" customHeight="1" x14ac:dyDescent="0.25">
      <c r="A80" s="79"/>
      <c r="B80" s="86" t="str">
        <f>IF(D80 &lt;&gt; "Paciente/Dia", "-", D80 &amp; COUNTIF( $D$7:D80, D80))</f>
        <v>-</v>
      </c>
      <c r="C80" s="35"/>
      <c r="D80" s="30"/>
      <c r="E80" s="31"/>
      <c r="F80" s="32"/>
      <c r="G80" s="80"/>
      <c r="H80" s="87" t="str">
        <f t="shared" si="2"/>
        <v>-</v>
      </c>
    </row>
    <row r="81" spans="1:8" ht="27" customHeight="1" x14ac:dyDescent="0.25">
      <c r="A81" s="79"/>
      <c r="B81" s="86" t="str">
        <f>IF(D81 &lt;&gt; "Paciente/Dia", "-", D81 &amp; COUNTIF( $D$7:D81, D81))</f>
        <v>-</v>
      </c>
      <c r="C81" s="35"/>
      <c r="D81" s="30"/>
      <c r="E81" s="31"/>
      <c r="F81" s="32"/>
      <c r="G81" s="80"/>
      <c r="H81" s="87" t="str">
        <f t="shared" si="2"/>
        <v>-</v>
      </c>
    </row>
    <row r="82" spans="1:8" ht="27" customHeight="1" x14ac:dyDescent="0.25">
      <c r="A82" s="79"/>
      <c r="B82" s="86" t="str">
        <f>IF(D82 &lt;&gt; "Paciente/Dia", "-", D82 &amp; COUNTIF( $D$7:D82, D82))</f>
        <v>-</v>
      </c>
      <c r="C82" s="35"/>
      <c r="D82" s="30"/>
      <c r="E82" s="31"/>
      <c r="F82" s="32"/>
      <c r="G82" s="80"/>
      <c r="H82" s="87" t="str">
        <f t="shared" si="2"/>
        <v>-</v>
      </c>
    </row>
    <row r="83" spans="1:8" ht="27" customHeight="1" x14ac:dyDescent="0.25">
      <c r="A83" s="79"/>
      <c r="B83" s="86" t="str">
        <f>IF(D83 &lt;&gt; "Paciente/Dia", "-", D83 &amp; COUNTIF( $D$7:D83, D83))</f>
        <v>-</v>
      </c>
      <c r="C83" s="35"/>
      <c r="D83" s="30"/>
      <c r="E83" s="31"/>
      <c r="F83" s="32"/>
      <c r="G83" s="80"/>
      <c r="H83" s="87" t="str">
        <f t="shared" si="2"/>
        <v>-</v>
      </c>
    </row>
    <row r="84" spans="1:8" ht="27" customHeight="1" x14ac:dyDescent="0.25">
      <c r="A84" s="79"/>
      <c r="B84" s="86" t="str">
        <f>IF(D84 &lt;&gt; "Paciente/Dia", "-", D84 &amp; COUNTIF( $D$7:D84, D84))</f>
        <v>-</v>
      </c>
      <c r="C84" s="35"/>
      <c r="D84" s="30"/>
      <c r="E84" s="31"/>
      <c r="F84" s="32"/>
      <c r="G84" s="80"/>
      <c r="H84" s="87" t="str">
        <f t="shared" si="2"/>
        <v>-</v>
      </c>
    </row>
    <row r="85" spans="1:8" ht="27" customHeight="1" x14ac:dyDescent="0.25">
      <c r="A85" s="79"/>
      <c r="B85" s="86" t="str">
        <f>IF(D85 &lt;&gt; "Paciente/Dia", "-", D85 &amp; COUNTIF( $D$7:D85, D85))</f>
        <v>-</v>
      </c>
      <c r="C85" s="35"/>
      <c r="D85" s="30"/>
      <c r="E85" s="31"/>
      <c r="F85" s="32"/>
      <c r="G85" s="80"/>
      <c r="H85" s="87" t="str">
        <f t="shared" si="2"/>
        <v>-</v>
      </c>
    </row>
    <row r="86" spans="1:8" ht="27" customHeight="1" x14ac:dyDescent="0.25">
      <c r="A86" s="79"/>
      <c r="B86" s="86" t="str">
        <f>IF(D86 &lt;&gt; "Paciente/Dia", "-", D86 &amp; COUNTIF( $D$7:D86, D86))</f>
        <v>-</v>
      </c>
      <c r="C86" s="35"/>
      <c r="D86" s="30"/>
      <c r="E86" s="31"/>
      <c r="F86" s="32"/>
      <c r="G86" s="80"/>
      <c r="H86" s="87" t="str">
        <f t="shared" si="2"/>
        <v>-</v>
      </c>
    </row>
    <row r="87" spans="1:8" ht="27" customHeight="1" x14ac:dyDescent="0.25">
      <c r="A87" s="79"/>
      <c r="B87" s="86" t="str">
        <f>IF(D87 &lt;&gt; "Paciente/Dia", "-", D87 &amp; COUNTIF( $D$7:D87, D87))</f>
        <v>-</v>
      </c>
      <c r="C87" s="35"/>
      <c r="D87" s="30"/>
      <c r="E87" s="31"/>
      <c r="F87" s="32"/>
      <c r="G87" s="80"/>
      <c r="H87" s="87" t="str">
        <f t="shared" si="2"/>
        <v>-</v>
      </c>
    </row>
    <row r="88" spans="1:8" ht="27" customHeight="1" x14ac:dyDescent="0.25">
      <c r="A88" s="79"/>
      <c r="B88" s="86" t="str">
        <f>IF(D88 &lt;&gt; "Paciente/Dia", "-", D88 &amp; COUNTIF( $D$7:D88, D88))</f>
        <v>-</v>
      </c>
      <c r="C88" s="35"/>
      <c r="D88" s="30"/>
      <c r="E88" s="31"/>
      <c r="F88" s="32"/>
      <c r="G88" s="80"/>
      <c r="H88" s="87" t="str">
        <f t="shared" si="2"/>
        <v>-</v>
      </c>
    </row>
    <row r="89" spans="1:8" ht="27" customHeight="1" x14ac:dyDescent="0.25">
      <c r="A89" s="79"/>
      <c r="B89" s="86" t="str">
        <f>IF(D89 &lt;&gt; "Paciente/Dia", "-", D89 &amp; COUNTIF( $D$7:D89, D89))</f>
        <v>-</v>
      </c>
      <c r="C89" s="35"/>
      <c r="D89" s="30"/>
      <c r="E89" s="31"/>
      <c r="F89" s="32"/>
      <c r="G89" s="80"/>
      <c r="H89" s="87" t="str">
        <f t="shared" si="2"/>
        <v>-</v>
      </c>
    </row>
    <row r="90" spans="1:8" ht="27" customHeight="1" x14ac:dyDescent="0.25">
      <c r="A90" s="79"/>
      <c r="B90" s="86" t="str">
        <f>IF(D90 &lt;&gt; "Paciente/Dia", "-", D90 &amp; COUNTIF( $D$7:D90, D90))</f>
        <v>-</v>
      </c>
      <c r="C90" s="35"/>
      <c r="D90" s="30"/>
      <c r="E90" s="31"/>
      <c r="F90" s="32"/>
      <c r="G90" s="80"/>
      <c r="H90" s="87" t="str">
        <f t="shared" si="2"/>
        <v>-</v>
      </c>
    </row>
    <row r="91" spans="1:8" ht="27" customHeight="1" x14ac:dyDescent="0.25">
      <c r="A91" s="79"/>
      <c r="B91" s="86" t="str">
        <f>IF(D91 &lt;&gt; "Paciente/Dia", "-", D91 &amp; COUNTIF( $D$7:D91, D91))</f>
        <v>-</v>
      </c>
      <c r="C91" s="35"/>
      <c r="D91" s="30"/>
      <c r="E91" s="31"/>
      <c r="F91" s="32"/>
      <c r="G91" s="80"/>
      <c r="H91" s="87" t="str">
        <f t="shared" si="2"/>
        <v>-</v>
      </c>
    </row>
    <row r="92" spans="1:8" ht="27" customHeight="1" x14ac:dyDescent="0.25">
      <c r="A92" s="79"/>
      <c r="B92" s="86" t="str">
        <f>IF(D92 &lt;&gt; "Paciente/Dia", "-", D92 &amp; COUNTIF( $D$7:D92, D92))</f>
        <v>-</v>
      </c>
      <c r="C92" s="35"/>
      <c r="D92" s="30"/>
      <c r="E92" s="31"/>
      <c r="F92" s="32"/>
      <c r="G92" s="80"/>
      <c r="H92" s="87" t="str">
        <f t="shared" si="2"/>
        <v>-</v>
      </c>
    </row>
    <row r="93" spans="1:8" ht="27" customHeight="1" x14ac:dyDescent="0.25">
      <c r="A93" s="79"/>
      <c r="B93" s="86" t="str">
        <f>IF(D93 &lt;&gt; "Paciente/Dia", "-", D93 &amp; COUNTIF( $D$7:D93, D93))</f>
        <v>-</v>
      </c>
      <c r="C93" s="35"/>
      <c r="D93" s="30"/>
      <c r="E93" s="31"/>
      <c r="F93" s="32"/>
      <c r="G93" s="80"/>
      <c r="H93" s="87" t="str">
        <f t="shared" si="2"/>
        <v>-</v>
      </c>
    </row>
    <row r="94" spans="1:8" ht="27" customHeight="1" x14ac:dyDescent="0.25">
      <c r="A94" s="79"/>
      <c r="B94" s="86" t="str">
        <f>IF(D94 &lt;&gt; "Paciente/Dia", "-", D94 &amp; COUNTIF( $D$7:D94, D94))</f>
        <v>-</v>
      </c>
      <c r="C94" s="35"/>
      <c r="D94" s="30"/>
      <c r="E94" s="31"/>
      <c r="F94" s="32"/>
      <c r="G94" s="80"/>
      <c r="H94" s="87" t="str">
        <f t="shared" si="2"/>
        <v>-</v>
      </c>
    </row>
    <row r="95" spans="1:8" ht="27" customHeight="1" x14ac:dyDescent="0.25">
      <c r="A95" s="79"/>
      <c r="B95" s="86" t="str">
        <f>IF(D95 &lt;&gt; "Paciente/Dia", "-", D95 &amp; COUNTIF( $D$7:D95, D95))</f>
        <v>-</v>
      </c>
      <c r="C95" s="35"/>
      <c r="D95" s="30"/>
      <c r="E95" s="31"/>
      <c r="F95" s="32"/>
      <c r="G95" s="80"/>
      <c r="H95" s="87" t="str">
        <f t="shared" si="2"/>
        <v>-</v>
      </c>
    </row>
    <row r="96" spans="1:8" ht="27" customHeight="1" x14ac:dyDescent="0.25">
      <c r="A96" s="79"/>
      <c r="B96" s="86" t="str">
        <f>IF(D96 &lt;&gt; "Paciente/Dia", "-", D96 &amp; COUNTIF( $D$7:D96, D96))</f>
        <v>-</v>
      </c>
      <c r="C96" s="35"/>
      <c r="D96" s="30"/>
      <c r="E96" s="31"/>
      <c r="F96" s="32"/>
      <c r="G96" s="80"/>
      <c r="H96" s="87" t="str">
        <f t="shared" si="2"/>
        <v>-</v>
      </c>
    </row>
    <row r="97" spans="1:8" ht="27" customHeight="1" x14ac:dyDescent="0.25">
      <c r="A97" s="79"/>
      <c r="B97" s="86" t="str">
        <f>IF(D97 &lt;&gt; "Paciente/Dia", "-", D97 &amp; COUNTIF( $D$7:D97, D97))</f>
        <v>-</v>
      </c>
      <c r="C97" s="35"/>
      <c r="D97" s="30"/>
      <c r="E97" s="31"/>
      <c r="F97" s="32"/>
      <c r="G97" s="80"/>
      <c r="H97" s="87" t="str">
        <f t="shared" si="2"/>
        <v>-</v>
      </c>
    </row>
    <row r="98" spans="1:8" ht="27" customHeight="1" x14ac:dyDescent="0.25">
      <c r="A98" s="79"/>
      <c r="B98" s="86" t="str">
        <f>IF(D98 &lt;&gt; "Paciente/Dia", "-", D98 &amp; COUNTIF( $D$7:D98, D98))</f>
        <v>-</v>
      </c>
      <c r="C98" s="35"/>
      <c r="D98" s="30"/>
      <c r="E98" s="31"/>
      <c r="F98" s="32"/>
      <c r="G98" s="80"/>
      <c r="H98" s="87" t="str">
        <f t="shared" si="2"/>
        <v>-</v>
      </c>
    </row>
    <row r="99" spans="1:8" ht="27" customHeight="1" x14ac:dyDescent="0.25">
      <c r="A99" s="79"/>
      <c r="B99" s="86" t="str">
        <f>IF(D99 &lt;&gt; "Paciente/Dia", "-", D99 &amp; COUNTIF( $D$7:D99, D99))</f>
        <v>-</v>
      </c>
      <c r="C99" s="35"/>
      <c r="D99" s="30"/>
      <c r="E99" s="31"/>
      <c r="F99" s="32"/>
      <c r="G99" s="80"/>
      <c r="H99" s="87" t="str">
        <f t="shared" si="2"/>
        <v>-</v>
      </c>
    </row>
    <row r="100" spans="1:8" ht="27" customHeight="1" x14ac:dyDescent="0.25">
      <c r="A100" s="79"/>
      <c r="B100" s="86" t="str">
        <f>IF(D100 &lt;&gt; "Paciente/Dia", "-", D100 &amp; COUNTIF( $D$7:D100, D100))</f>
        <v>-</v>
      </c>
      <c r="C100" s="35"/>
      <c r="D100" s="30"/>
      <c r="E100" s="31"/>
      <c r="F100" s="32"/>
      <c r="G100" s="80"/>
      <c r="H100" s="87" t="str">
        <f t="shared" si="2"/>
        <v>-</v>
      </c>
    </row>
    <row r="101" spans="1:8" ht="27" customHeight="1" x14ac:dyDescent="0.25">
      <c r="A101" s="79"/>
      <c r="B101" s="86" t="str">
        <f>IF(D101 &lt;&gt; "Paciente/Dia", "-", D101 &amp; COUNTIF( $D$7:D101, D101))</f>
        <v>-</v>
      </c>
      <c r="C101" s="35"/>
      <c r="D101" s="30"/>
      <c r="E101" s="31"/>
      <c r="F101" s="32"/>
      <c r="G101" s="80"/>
      <c r="H101" s="87" t="str">
        <f t="shared" si="2"/>
        <v>-</v>
      </c>
    </row>
    <row r="102" spans="1:8" ht="27" customHeight="1" x14ac:dyDescent="0.25">
      <c r="A102" s="79"/>
      <c r="B102" s="86" t="str">
        <f>IF(D102 &lt;&gt; "Paciente/Dia", "-", D102 &amp; COUNTIF( $D$7:D102, D102))</f>
        <v>-</v>
      </c>
      <c r="C102" s="35"/>
      <c r="D102" s="30"/>
      <c r="E102" s="31"/>
      <c r="F102" s="32"/>
      <c r="G102" s="80"/>
      <c r="H102" s="87" t="str">
        <f t="shared" si="2"/>
        <v>-</v>
      </c>
    </row>
    <row r="103" spans="1:8" ht="27" customHeight="1" x14ac:dyDescent="0.25">
      <c r="A103" s="79"/>
      <c r="B103" s="86" t="str">
        <f>IF(D103 &lt;&gt; "Paciente/Dia", "-", D103 &amp; COUNTIF( $D$7:D103, D103))</f>
        <v>-</v>
      </c>
      <c r="C103" s="35"/>
      <c r="D103" s="30"/>
      <c r="E103" s="31"/>
      <c r="F103" s="32"/>
      <c r="G103" s="80"/>
      <c r="H103" s="87" t="str">
        <f t="shared" si="2"/>
        <v>-</v>
      </c>
    </row>
    <row r="104" spans="1:8" ht="27" customHeight="1" x14ac:dyDescent="0.25">
      <c r="A104" s="79"/>
      <c r="B104" s="86" t="str">
        <f>IF(D104 &lt;&gt; "Paciente/Dia", "-", D104 &amp; COUNTIF( $D$7:D104, D104))</f>
        <v>-</v>
      </c>
      <c r="C104" s="35"/>
      <c r="D104" s="30"/>
      <c r="E104" s="31"/>
      <c r="F104" s="32"/>
      <c r="G104" s="80"/>
      <c r="H104" s="87" t="str">
        <f t="shared" si="2"/>
        <v>-</v>
      </c>
    </row>
    <row r="105" spans="1:8" ht="27" customHeight="1" x14ac:dyDescent="0.25">
      <c r="A105" s="79"/>
      <c r="B105" s="86" t="str">
        <f>IF(D105 &lt;&gt; "Paciente/Dia", "-", D105 &amp; COUNTIF( $D$7:D105, D105))</f>
        <v>-</v>
      </c>
      <c r="C105" s="35"/>
      <c r="D105" s="30"/>
      <c r="E105" s="31"/>
      <c r="F105" s="32"/>
      <c r="G105" s="80"/>
      <c r="H105" s="87" t="str">
        <f t="shared" si="2"/>
        <v>-</v>
      </c>
    </row>
    <row r="106" spans="1:8" ht="27" customHeight="1" x14ac:dyDescent="0.25">
      <c r="A106" s="79"/>
      <c r="B106" s="86" t="str">
        <f>IF(D106 &lt;&gt; "Paciente/Dia", "-", D106 &amp; COUNTIF( $D$7:D106, D106))</f>
        <v>-</v>
      </c>
      <c r="C106" s="35"/>
      <c r="D106" s="30"/>
      <c r="E106" s="31"/>
      <c r="F106" s="32"/>
      <c r="G106" s="80"/>
      <c r="H106" s="87" t="str">
        <f t="shared" si="2"/>
        <v>-</v>
      </c>
    </row>
    <row r="107" spans="1:8" ht="27" customHeight="1" x14ac:dyDescent="0.25">
      <c r="A107" s="79"/>
      <c r="B107" s="86" t="str">
        <f>IF(D107 &lt;&gt; "Paciente/Dia", "-", D107 &amp; COUNTIF( $D$7:D107, D107))</f>
        <v>-</v>
      </c>
      <c r="C107" s="35"/>
      <c r="D107" s="30"/>
      <c r="E107" s="31"/>
      <c r="F107" s="32"/>
      <c r="G107" s="80"/>
      <c r="H107" s="87" t="str">
        <f t="shared" si="2"/>
        <v>-</v>
      </c>
    </row>
    <row r="108" spans="1:8" ht="27" customHeight="1" x14ac:dyDescent="0.25">
      <c r="A108" s="79"/>
      <c r="B108" s="86" t="str">
        <f>IF(D108 &lt;&gt; "Paciente/Dia", "-", D108 &amp; COUNTIF( $D$7:D108, D108))</f>
        <v>-</v>
      </c>
      <c r="C108" s="35"/>
      <c r="D108" s="30"/>
      <c r="E108" s="31"/>
      <c r="F108" s="32"/>
      <c r="G108" s="80"/>
      <c r="H108" s="87" t="str">
        <f t="shared" si="2"/>
        <v>-</v>
      </c>
    </row>
    <row r="109" spans="1:8" ht="27" customHeight="1" x14ac:dyDescent="0.25">
      <c r="A109" s="79"/>
      <c r="B109" s="86" t="str">
        <f>IF(D109 &lt;&gt; "Paciente/Dia", "-", D109 &amp; COUNTIF( $D$7:D109, D109))</f>
        <v>-</v>
      </c>
      <c r="C109" s="35"/>
      <c r="D109" s="30"/>
      <c r="E109" s="31"/>
      <c r="F109" s="32"/>
      <c r="G109" s="80"/>
      <c r="H109" s="87" t="str">
        <f t="shared" si="2"/>
        <v>-</v>
      </c>
    </row>
    <row r="110" spans="1:8" ht="27" customHeight="1" x14ac:dyDescent="0.25">
      <c r="A110" s="79"/>
      <c r="B110" s="86" t="str">
        <f>IF(D110 &lt;&gt; "Paciente/Dia", "-", D110 &amp; COUNTIF( $D$7:D110, D110))</f>
        <v>-</v>
      </c>
      <c r="C110" s="35"/>
      <c r="D110" s="30"/>
      <c r="E110" s="31"/>
      <c r="F110" s="32"/>
      <c r="G110" s="80"/>
      <c r="H110" s="87" t="str">
        <f t="shared" si="2"/>
        <v>-</v>
      </c>
    </row>
    <row r="111" spans="1:8" ht="27" customHeight="1" x14ac:dyDescent="0.25">
      <c r="A111" s="79"/>
      <c r="B111" s="86" t="str">
        <f>IF(D111 &lt;&gt; "Paciente/Dia", "-", D111 &amp; COUNTIF( $D$7:D111, D111))</f>
        <v>-</v>
      </c>
      <c r="C111" s="35"/>
      <c r="D111" s="30"/>
      <c r="E111" s="31"/>
      <c r="F111" s="32"/>
      <c r="G111" s="80"/>
      <c r="H111" s="87" t="str">
        <f t="shared" si="2"/>
        <v>-</v>
      </c>
    </row>
    <row r="112" spans="1:8" ht="27" customHeight="1" x14ac:dyDescent="0.25">
      <c r="A112" s="79"/>
      <c r="B112" s="86" t="str">
        <f>IF(D112 &lt;&gt; "Paciente/Dia", "-", D112 &amp; COUNTIF( $D$7:D112, D112))</f>
        <v>-</v>
      </c>
      <c r="C112" s="35"/>
      <c r="D112" s="30"/>
      <c r="E112" s="31"/>
      <c r="F112" s="32"/>
      <c r="G112" s="80"/>
      <c r="H112" s="87" t="str">
        <f t="shared" si="2"/>
        <v>-</v>
      </c>
    </row>
    <row r="113" spans="1:8" ht="27" customHeight="1" x14ac:dyDescent="0.25">
      <c r="A113" s="79"/>
      <c r="B113" s="86" t="str">
        <f>IF(D113 &lt;&gt; "Paciente/Dia", "-", D113 &amp; COUNTIF( $D$7:D113, D113))</f>
        <v>-</v>
      </c>
      <c r="C113" s="35"/>
      <c r="D113" s="30"/>
      <c r="E113" s="31"/>
      <c r="F113" s="32"/>
      <c r="G113" s="80"/>
      <c r="H113" s="87" t="str">
        <f t="shared" si="2"/>
        <v>-</v>
      </c>
    </row>
    <row r="114" spans="1:8" ht="27" customHeight="1" x14ac:dyDescent="0.25">
      <c r="A114" s="79"/>
      <c r="B114" s="86" t="str">
        <f>IF(D114 &lt;&gt; "Paciente/Dia", "-", D114 &amp; COUNTIF( $D$7:D114, D114))</f>
        <v>-</v>
      </c>
      <c r="C114" s="35"/>
      <c r="D114" s="30"/>
      <c r="E114" s="31"/>
      <c r="F114" s="32"/>
      <c r="G114" s="80"/>
      <c r="H114" s="87" t="str">
        <f t="shared" si="2"/>
        <v>-</v>
      </c>
    </row>
    <row r="115" spans="1:8" ht="27" customHeight="1" x14ac:dyDescent="0.25">
      <c r="A115" s="79"/>
      <c r="B115" s="86" t="str">
        <f>IF(D115 &lt;&gt; "Paciente/Dia", "-", D115 &amp; COUNTIF( $D$7:D115, D115))</f>
        <v>-</v>
      </c>
      <c r="C115" s="35"/>
      <c r="D115" s="30"/>
      <c r="E115" s="31"/>
      <c r="F115" s="32"/>
      <c r="G115" s="80"/>
      <c r="H115" s="87" t="str">
        <f t="shared" si="2"/>
        <v>-</v>
      </c>
    </row>
    <row r="116" spans="1:8" ht="27" customHeight="1" x14ac:dyDescent="0.25">
      <c r="A116" s="79"/>
      <c r="B116" s="86" t="str">
        <f>IF(D116 &lt;&gt; "Paciente/Dia", "-", D116 &amp; COUNTIF( $D$7:D116, D116))</f>
        <v>-</v>
      </c>
      <c r="C116" s="35"/>
      <c r="D116" s="30"/>
      <c r="E116" s="31"/>
      <c r="F116" s="32"/>
      <c r="G116" s="80"/>
      <c r="H116" s="87" t="str">
        <f t="shared" si="2"/>
        <v>-</v>
      </c>
    </row>
    <row r="117" spans="1:8" ht="27" customHeight="1" x14ac:dyDescent="0.25">
      <c r="A117" s="79"/>
      <c r="B117" s="86" t="str">
        <f>IF(D117 &lt;&gt; "Paciente/Dia", "-", D117 &amp; COUNTIF( $D$7:D117, D117))</f>
        <v>-</v>
      </c>
      <c r="C117" s="35"/>
      <c r="D117" s="30"/>
      <c r="E117" s="31"/>
      <c r="F117" s="32"/>
      <c r="G117" s="80"/>
      <c r="H117" s="87" t="str">
        <f t="shared" si="2"/>
        <v>-</v>
      </c>
    </row>
    <row r="118" spans="1:8" ht="27" customHeight="1" x14ac:dyDescent="0.25">
      <c r="A118" s="79"/>
      <c r="B118" s="86" t="str">
        <f>IF(D118 &lt;&gt; "Paciente/Dia", "-", D118 &amp; COUNTIF( $D$7:D118, D118))</f>
        <v>-</v>
      </c>
      <c r="C118" s="35"/>
      <c r="D118" s="30"/>
      <c r="E118" s="31"/>
      <c r="F118" s="32"/>
      <c r="G118" s="80"/>
      <c r="H118" s="87" t="str">
        <f t="shared" si="2"/>
        <v>-</v>
      </c>
    </row>
    <row r="119" spans="1:8" ht="27" customHeight="1" x14ac:dyDescent="0.25">
      <c r="A119" s="79"/>
      <c r="B119" s="86" t="str">
        <f>IF(D119 &lt;&gt; "Paciente/Dia", "-", D119 &amp; COUNTIF( $D$7:D119, D119))</f>
        <v>-</v>
      </c>
      <c r="C119" s="35"/>
      <c r="D119" s="30"/>
      <c r="E119" s="31"/>
      <c r="F119" s="32"/>
      <c r="G119" s="80"/>
      <c r="H119" s="87" t="str">
        <f t="shared" si="2"/>
        <v>-</v>
      </c>
    </row>
    <row r="120" spans="1:8" ht="27" customHeight="1" x14ac:dyDescent="0.25">
      <c r="A120" s="79"/>
      <c r="B120" s="86" t="str">
        <f>IF(D120 &lt;&gt; "Paciente/Dia", "-", D120 &amp; COUNTIF( $D$7:D120, D120))</f>
        <v>-</v>
      </c>
      <c r="C120" s="35"/>
      <c r="D120" s="30"/>
      <c r="E120" s="31"/>
      <c r="F120" s="32"/>
      <c r="G120" s="80"/>
      <c r="H120" s="87" t="str">
        <f t="shared" si="2"/>
        <v>-</v>
      </c>
    </row>
    <row r="121" spans="1:8" ht="27" customHeight="1" x14ac:dyDescent="0.25">
      <c r="A121" s="79"/>
      <c r="B121" s="86" t="str">
        <f>IF(D121 &lt;&gt; "Paciente/Dia", "-", D121 &amp; COUNTIF( $D$7:D121, D121))</f>
        <v>-</v>
      </c>
      <c r="C121" s="35"/>
      <c r="D121" s="30"/>
      <c r="E121" s="31"/>
      <c r="F121" s="32"/>
      <c r="G121" s="80"/>
      <c r="H121" s="87" t="str">
        <f t="shared" si="2"/>
        <v>-</v>
      </c>
    </row>
    <row r="122" spans="1:8" ht="27" customHeight="1" x14ac:dyDescent="0.25">
      <c r="A122" s="79"/>
      <c r="B122" s="86" t="str">
        <f>IF(D122 &lt;&gt; "Paciente/Dia", "-", D122 &amp; COUNTIF( $D$7:D122, D122))</f>
        <v>-</v>
      </c>
      <c r="C122" s="35"/>
      <c r="D122" s="30"/>
      <c r="E122" s="31"/>
      <c r="F122" s="32"/>
      <c r="G122" s="80"/>
      <c r="H122" s="87" t="str">
        <f t="shared" si="2"/>
        <v>-</v>
      </c>
    </row>
    <row r="123" spans="1:8" ht="27" customHeight="1" x14ac:dyDescent="0.25">
      <c r="A123" s="79"/>
      <c r="B123" s="86" t="str">
        <f>IF(D123 &lt;&gt; "Paciente/Dia", "-", D123 &amp; COUNTIF( $D$7:D123, D123))</f>
        <v>-</v>
      </c>
      <c r="C123" s="35"/>
      <c r="D123" s="30"/>
      <c r="E123" s="31"/>
      <c r="F123" s="32"/>
      <c r="G123" s="80"/>
      <c r="H123" s="87" t="str">
        <f t="shared" si="2"/>
        <v>-</v>
      </c>
    </row>
    <row r="124" spans="1:8" ht="27" customHeight="1" x14ac:dyDescent="0.25">
      <c r="A124" s="79"/>
      <c r="B124" s="88" t="str">
        <f>IF(D124 &lt;&gt; "Paciente/Dia", "-", D124 &amp; COUNTIF( $D$7:D124, D124))</f>
        <v>-</v>
      </c>
      <c r="C124" s="35"/>
      <c r="D124" s="30"/>
      <c r="E124" s="31"/>
      <c r="F124" s="32"/>
      <c r="G124" s="80"/>
      <c r="H124" s="87" t="str">
        <f t="shared" si="2"/>
        <v>-</v>
      </c>
    </row>
    <row r="125" spans="1:8" ht="98.25" customHeight="1" x14ac:dyDescent="0.2">
      <c r="A125" s="80"/>
      <c r="B125" s="80"/>
      <c r="C125" s="80"/>
      <c r="D125" s="80"/>
      <c r="E125" s="80"/>
      <c r="F125" s="80"/>
      <c r="G125" s="80"/>
    </row>
  </sheetData>
  <sheetProtection algorithmName="SHA-512" hashValue="kmc74p5HMN3lu1QFHlfWmzMKLSpHOTPGPWp+io2ub0dUQzkKVj5ykRkEgeBqb0u1GtSbpbiHmDY68jXghZvr3g==" saltValue="LsBGDJKPt613n/QHWIYtNQ==" spinCount="100000" sheet="1" objects="1" scenarios="1"/>
  <mergeCells count="2">
    <mergeCell ref="C1:E1"/>
    <mergeCell ref="B1:B4"/>
  </mergeCells>
  <conditionalFormatting sqref="C125:F127">
    <cfRule type="expression" dxfId="133" priority="44">
      <formula>AND($C125&lt;&gt; "Administrativo", $C125&lt;&gt; "Intermediário", $C125 &lt;&gt; "Externo", $C125 &lt;&gt; "Final", ISTEXT($C125))</formula>
    </cfRule>
  </conditionalFormatting>
  <conditionalFormatting sqref="C105:F124">
    <cfRule type="expression" dxfId="132" priority="11">
      <formula>AND($C105&lt;&gt; "Administrativo", $C105 &lt;&gt; "Intermediário", $C105 &lt;&gt; "Externo", $C105 &lt;&gt; "Final", ISTEXT($C105))</formula>
    </cfRule>
  </conditionalFormatting>
  <conditionalFormatting sqref="C105:F124">
    <cfRule type="expression" dxfId="131" priority="12">
      <formula>OR($C105= "Administrativo", $C105 = "Intermediário", $C105 = "Externo", $C105 = "Final")</formula>
    </cfRule>
  </conditionalFormatting>
  <conditionalFormatting sqref="C84:F104">
    <cfRule type="expression" dxfId="130" priority="9">
      <formula>AND($C84&lt;&gt; "Administrativo", $C84 &lt;&gt; "Intermediário", $C84 &lt;&gt; "Externo", $C84 &lt;&gt; "Final", ISTEXT($C84))</formula>
    </cfRule>
  </conditionalFormatting>
  <conditionalFormatting sqref="C84:F104">
    <cfRule type="expression" dxfId="129" priority="10">
      <formula>OR($C84= "Administrativo", $C84 = "Intermediário", $C84 = "Externo", $C84 = "Final")</formula>
    </cfRule>
  </conditionalFormatting>
  <conditionalFormatting sqref="C5">
    <cfRule type="containsText" dxfId="128" priority="8" stopIfTrue="1" operator="containsText" text="Centro de Custo">
      <formula>NOT(ISERROR(SEARCH("Centro de Custo",C5)))</formula>
    </cfRule>
  </conditionalFormatting>
  <conditionalFormatting sqref="D5">
    <cfRule type="containsText" dxfId="127" priority="7" stopIfTrue="1" operator="containsText" text="Item Produção">
      <formula>NOT(ISERROR(SEARCH("Item Produção",D5)))</formula>
    </cfRule>
  </conditionalFormatting>
  <conditionalFormatting sqref="E5">
    <cfRule type="containsText" dxfId="126" priority="6" stopIfTrue="1" operator="containsText" text="Quantidade">
      <formula>NOT(ISERROR(SEARCH("Quantidade",E5)))</formula>
    </cfRule>
  </conditionalFormatting>
  <conditionalFormatting sqref="F5">
    <cfRule type="containsText" dxfId="125" priority="5" stopIfTrue="1" operator="containsText" text="Valor Médio Unitário">
      <formula>NOT(ISERROR(SEARCH("Valor Médio Unitário",F5)))</formula>
    </cfRule>
  </conditionalFormatting>
  <conditionalFormatting sqref="C8:F124">
    <cfRule type="expression" dxfId="124" priority="3" stopIfTrue="1">
      <formula>AND($C8&lt;&gt; "Administrativo", $C8 &lt;&gt; "Intermediário", $C8 &lt;&gt; "Externo", $C8 &lt;&gt; "Final", ISTEXT($C8))</formula>
    </cfRule>
  </conditionalFormatting>
  <conditionalFormatting sqref="C7:F124">
    <cfRule type="expression" dxfId="123" priority="4" stopIfTrue="1">
      <formula>OR($C7= "Administrativo", $C7 = "Intermediário", $C7 = "Externo", $C7 = "Final")</formula>
    </cfRule>
  </conditionalFormatting>
  <conditionalFormatting sqref="C7:F7">
    <cfRule type="expression" dxfId="122" priority="2" stopIfTrue="1">
      <formula>AND($C7&lt;&gt; "Administrativo", $C7 &lt;&gt; "Intermediário", $C7 &lt;&gt; "Externo", $C7 &lt;&gt; "Final", ISTEXT($C7))</formula>
    </cfRule>
  </conditionalFormatting>
  <conditionalFormatting sqref="C7:F7">
    <cfRule type="expression" dxfId="121" priority="1" stopIfTrue="1">
      <formula>AND($C7&lt;&gt; "Administrativo", $C7 &lt;&gt; "Intermediário", $C7 &lt;&gt; "Externo", $C7 &lt;&gt; "Final", ISTEXT($C7))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3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1">
    <tabColor theme="9" tint="0.59999389629810485"/>
  </sheetPr>
  <dimension ref="A1:J125"/>
  <sheetViews>
    <sheetView showGridLines="0" zoomScale="84" zoomScaleNormal="84" zoomScaleSheetLayoutView="100" workbookViewId="0">
      <pane xSplit="10" ySplit="5" topLeftCell="K6" activePane="bottomRight" state="frozen"/>
      <selection activeCell="A7" activeCellId="1" sqref="G7 A7"/>
      <selection pane="topRight" activeCell="A7" activeCellId="1" sqref="G7 A7"/>
      <selection pane="bottomLeft" activeCell="A7" activeCellId="1" sqref="G7 A7"/>
      <selection pane="bottomRight" activeCell="C6" sqref="C6"/>
    </sheetView>
  </sheetViews>
  <sheetFormatPr defaultColWidth="8.88671875" defaultRowHeight="15" x14ac:dyDescent="0.2"/>
  <cols>
    <col min="1" max="1" width="20.77734375" style="78" customWidth="1"/>
    <col min="2" max="2" width="22.5546875" style="78" hidden="1" customWidth="1"/>
    <col min="3" max="3" width="74.21875" style="78" customWidth="1"/>
    <col min="4" max="4" width="25.21875" style="78" customWidth="1"/>
    <col min="5" max="5" width="12" style="78" customWidth="1"/>
    <col min="6" max="6" width="18.33203125" style="78" customWidth="1"/>
    <col min="7" max="7" width="22.33203125" style="78" customWidth="1"/>
    <col min="8" max="9" width="6.6640625" style="78" hidden="1" customWidth="1"/>
    <col min="10" max="10" width="10.44140625" style="78" hidden="1" customWidth="1"/>
    <col min="11" max="11" width="6.6640625" style="78" customWidth="1"/>
    <col min="12" max="16384" width="8.88671875" style="78"/>
  </cols>
  <sheetData>
    <row r="1" spans="1:10" ht="45.95" customHeight="1" x14ac:dyDescent="0.2">
      <c r="A1" s="80"/>
      <c r="B1" s="418" t="s">
        <v>5</v>
      </c>
      <c r="C1" s="421" t="s">
        <v>197</v>
      </c>
      <c r="D1" s="421"/>
      <c r="E1" s="423" t="str">
        <f xml:space="preserve"> IF( C2="", "QUADRIMESTRAL.", CONCATENATE( J1, "/", I1))</f>
        <v>1º  QUAD./2025</v>
      </c>
      <c r="F1" s="423"/>
      <c r="G1" s="80"/>
      <c r="H1" s="82">
        <f xml:space="preserve"> IF( C6="", "", MONTH( C6))</f>
        <v>1</v>
      </c>
      <c r="I1" s="82">
        <f xml:space="preserve"> IF( C6="", "", YEAR( C6))</f>
        <v>2025</v>
      </c>
      <c r="J1" s="293" t="str">
        <f xml:space="preserve">
IF( OR( H1 =2, H1=3, H1=4, H1=6, H1=7, H1=8,H1=10, H1=11, H1=12), "",
IF( H1="","",
IF( H1=1,"1º  QUAD.",
IF( H1=5,"2º  QUAD.",
IF( H1=9,"3º  QUAD.")))))</f>
        <v>1º  QUAD.</v>
      </c>
    </row>
    <row r="2" spans="1:10" ht="15.75" customHeight="1" x14ac:dyDescent="0.2">
      <c r="A2" s="80"/>
      <c r="B2" s="419"/>
      <c r="C2" s="23" t="s">
        <v>323</v>
      </c>
      <c r="D2" s="23"/>
      <c r="E2" s="23"/>
      <c r="F2" s="23"/>
      <c r="G2" s="80"/>
      <c r="H2" s="82"/>
      <c r="I2" s="82"/>
    </row>
    <row r="3" spans="1:10" ht="15.75" customHeight="1" x14ac:dyDescent="0.2">
      <c r="A3" s="80"/>
      <c r="B3" s="419"/>
      <c r="C3" s="24" t="s">
        <v>357</v>
      </c>
      <c r="D3" s="25"/>
      <c r="E3" s="25"/>
      <c r="F3" s="26"/>
      <c r="G3" s="80"/>
    </row>
    <row r="4" spans="1:10" ht="15.95" customHeight="1" x14ac:dyDescent="0.2">
      <c r="A4" s="80"/>
      <c r="B4" s="420"/>
      <c r="C4" s="25" t="s">
        <v>324</v>
      </c>
      <c r="D4" s="24"/>
      <c r="E4" s="24"/>
      <c r="F4" s="26"/>
      <c r="G4" s="80"/>
      <c r="H4" s="82"/>
      <c r="I4" s="82"/>
    </row>
    <row r="5" spans="1:10" ht="27" customHeight="1" x14ac:dyDescent="0.2">
      <c r="A5" s="80"/>
      <c r="B5" s="83" t="s">
        <v>6</v>
      </c>
      <c r="C5" s="294" t="s">
        <v>15</v>
      </c>
      <c r="D5" s="294" t="s">
        <v>334</v>
      </c>
      <c r="E5" s="294" t="s">
        <v>16</v>
      </c>
      <c r="F5" s="295" t="s">
        <v>17</v>
      </c>
      <c r="G5" s="80"/>
      <c r="H5" s="82"/>
      <c r="I5" s="82"/>
    </row>
    <row r="6" spans="1:10" ht="29.25" customHeight="1" x14ac:dyDescent="0.2">
      <c r="A6" s="291"/>
      <c r="B6" s="292"/>
      <c r="C6" s="296">
        <v>45658</v>
      </c>
      <c r="D6" s="297"/>
      <c r="E6" s="297"/>
      <c r="F6" s="298"/>
      <c r="G6" s="80"/>
      <c r="H6" s="87" t="str">
        <f t="shared" ref="H6:H29" si="0">IF(OR(
C6="ADMINISTRATIVO",
C6="INTERMEDIÁRIO",
C6="EXTERNO",
C6="FINAL"),"GRUPO","-")</f>
        <v>-</v>
      </c>
      <c r="I6" s="87"/>
      <c r="J6" s="87" t="str">
        <f>IF(C6="","-",IF(ISNONTEXT(C6),"MÊS","-"))</f>
        <v>MÊS</v>
      </c>
    </row>
    <row r="7" spans="1:10" ht="27" customHeight="1" x14ac:dyDescent="0.2">
      <c r="A7" s="80"/>
      <c r="B7" s="292"/>
      <c r="C7" s="299" t="s">
        <v>335</v>
      </c>
      <c r="D7" s="300"/>
      <c r="E7" s="301"/>
      <c r="F7" s="302"/>
      <c r="G7" s="80"/>
      <c r="H7" s="87" t="str">
        <f t="shared" si="0"/>
        <v>GRUPO</v>
      </c>
      <c r="I7" s="87"/>
      <c r="J7" s="87" t="str">
        <f t="shared" ref="J7:J29" si="1">IF(C7="","-",IF(ISNONTEXT(C7),"MÊS","-"))</f>
        <v>-</v>
      </c>
    </row>
    <row r="8" spans="1:10" ht="27" customHeight="1" x14ac:dyDescent="0.2">
      <c r="A8" s="80"/>
      <c r="B8" s="292"/>
      <c r="C8" s="299" t="s">
        <v>336</v>
      </c>
      <c r="D8" s="300" t="s">
        <v>255</v>
      </c>
      <c r="E8" s="301">
        <v>1</v>
      </c>
      <c r="F8" s="302">
        <v>81852.63</v>
      </c>
      <c r="G8" s="80"/>
      <c r="H8" s="87" t="str">
        <f t="shared" si="0"/>
        <v>-</v>
      </c>
      <c r="I8" s="87"/>
      <c r="J8" s="87" t="str">
        <f t="shared" si="1"/>
        <v>-</v>
      </c>
    </row>
    <row r="9" spans="1:10" ht="27" customHeight="1" x14ac:dyDescent="0.2">
      <c r="A9" s="80"/>
      <c r="B9" s="292"/>
      <c r="C9" s="296">
        <v>45689</v>
      </c>
      <c r="D9" s="300"/>
      <c r="E9" s="301"/>
      <c r="F9" s="302"/>
      <c r="G9" s="80"/>
      <c r="H9" s="87" t="str">
        <f t="shared" si="0"/>
        <v>-</v>
      </c>
      <c r="I9" s="87"/>
      <c r="J9" s="87" t="str">
        <f t="shared" si="1"/>
        <v>MÊS</v>
      </c>
    </row>
    <row r="10" spans="1:10" ht="27" customHeight="1" x14ac:dyDescent="0.2">
      <c r="A10" s="80"/>
      <c r="B10" s="292"/>
      <c r="C10" s="296" t="s">
        <v>335</v>
      </c>
      <c r="D10" s="300"/>
      <c r="E10" s="301"/>
      <c r="F10" s="302"/>
      <c r="G10" s="80"/>
      <c r="H10" s="87" t="str">
        <f t="shared" si="0"/>
        <v>GRUPO</v>
      </c>
      <c r="I10" s="87"/>
      <c r="J10" s="87" t="str">
        <f t="shared" si="1"/>
        <v>-</v>
      </c>
    </row>
    <row r="11" spans="1:10" ht="27" customHeight="1" x14ac:dyDescent="0.2">
      <c r="A11" s="80"/>
      <c r="B11" s="292"/>
      <c r="C11" s="296" t="s">
        <v>336</v>
      </c>
      <c r="D11" s="300" t="s">
        <v>255</v>
      </c>
      <c r="E11" s="301">
        <v>1</v>
      </c>
      <c r="F11" s="302">
        <v>69383.240000000005</v>
      </c>
      <c r="G11" s="80"/>
      <c r="H11" s="87" t="str">
        <f t="shared" si="0"/>
        <v>-</v>
      </c>
      <c r="I11" s="87"/>
      <c r="J11" s="87" t="str">
        <f t="shared" si="1"/>
        <v>-</v>
      </c>
    </row>
    <row r="12" spans="1:10" ht="27" customHeight="1" x14ac:dyDescent="0.2">
      <c r="A12" s="80"/>
      <c r="B12" s="292"/>
      <c r="C12" s="296">
        <v>45717</v>
      </c>
      <c r="D12" s="300"/>
      <c r="E12" s="301"/>
      <c r="F12" s="302"/>
      <c r="G12" s="80"/>
      <c r="H12" s="87" t="str">
        <f t="shared" si="0"/>
        <v>-</v>
      </c>
      <c r="I12" s="87"/>
      <c r="J12" s="87" t="str">
        <f t="shared" si="1"/>
        <v>MÊS</v>
      </c>
    </row>
    <row r="13" spans="1:10" ht="27" customHeight="1" x14ac:dyDescent="0.2">
      <c r="A13" s="80"/>
      <c r="B13" s="292"/>
      <c r="C13" s="296" t="s">
        <v>335</v>
      </c>
      <c r="D13" s="300"/>
      <c r="E13" s="301"/>
      <c r="F13" s="302"/>
      <c r="G13" s="80"/>
      <c r="H13" s="87" t="str">
        <f t="shared" si="0"/>
        <v>GRUPO</v>
      </c>
      <c r="I13" s="87"/>
      <c r="J13" s="87" t="str">
        <f t="shared" si="1"/>
        <v>-</v>
      </c>
    </row>
    <row r="14" spans="1:10" ht="27" customHeight="1" x14ac:dyDescent="0.2">
      <c r="A14" s="80"/>
      <c r="B14" s="292"/>
      <c r="C14" s="296" t="s">
        <v>336</v>
      </c>
      <c r="D14" s="300" t="s">
        <v>255</v>
      </c>
      <c r="E14" s="301">
        <v>1</v>
      </c>
      <c r="F14" s="302">
        <v>157358.39999999999</v>
      </c>
      <c r="G14" s="80"/>
      <c r="H14" s="87" t="str">
        <f t="shared" si="0"/>
        <v>-</v>
      </c>
      <c r="I14" s="87"/>
      <c r="J14" s="87" t="str">
        <f t="shared" si="1"/>
        <v>-</v>
      </c>
    </row>
    <row r="15" spans="1:10" ht="27" customHeight="1" x14ac:dyDescent="0.2">
      <c r="A15" s="80"/>
      <c r="B15" s="292"/>
      <c r="C15" s="296">
        <v>45748</v>
      </c>
      <c r="D15" s="300"/>
      <c r="E15" s="301"/>
      <c r="F15" s="302"/>
      <c r="G15" s="80"/>
      <c r="H15" s="87" t="str">
        <f t="shared" si="0"/>
        <v>-</v>
      </c>
      <c r="I15" s="87"/>
      <c r="J15" s="87" t="str">
        <f t="shared" si="1"/>
        <v>MÊS</v>
      </c>
    </row>
    <row r="16" spans="1:10" ht="27" customHeight="1" x14ac:dyDescent="0.2">
      <c r="A16" s="80"/>
      <c r="B16" s="292"/>
      <c r="C16" s="296" t="s">
        <v>335</v>
      </c>
      <c r="D16" s="300"/>
      <c r="E16" s="301"/>
      <c r="F16" s="302"/>
      <c r="G16" s="80"/>
      <c r="H16" s="87" t="str">
        <f t="shared" si="0"/>
        <v>GRUPO</v>
      </c>
      <c r="I16" s="87"/>
      <c r="J16" s="87" t="str">
        <f t="shared" si="1"/>
        <v>-</v>
      </c>
    </row>
    <row r="17" spans="1:10" ht="27" customHeight="1" x14ac:dyDescent="0.2">
      <c r="A17" s="80"/>
      <c r="B17" s="292"/>
      <c r="C17" s="296" t="s">
        <v>336</v>
      </c>
      <c r="D17" s="300" t="s">
        <v>255</v>
      </c>
      <c r="E17" s="301">
        <v>1</v>
      </c>
      <c r="F17" s="302">
        <v>18242.509999999998</v>
      </c>
      <c r="G17" s="80"/>
      <c r="H17" s="87" t="str">
        <f t="shared" si="0"/>
        <v>-</v>
      </c>
      <c r="I17" s="87"/>
      <c r="J17" s="87" t="str">
        <f t="shared" si="1"/>
        <v>-</v>
      </c>
    </row>
    <row r="18" spans="1:10" ht="27" customHeight="1" x14ac:dyDescent="0.2">
      <c r="A18" s="80"/>
      <c r="B18" s="292"/>
      <c r="C18" s="296"/>
      <c r="D18" s="300"/>
      <c r="E18" s="301"/>
      <c r="F18" s="302"/>
      <c r="G18" s="80"/>
      <c r="H18" s="87" t="str">
        <f t="shared" si="0"/>
        <v>-</v>
      </c>
      <c r="I18" s="87"/>
      <c r="J18" s="87" t="str">
        <f t="shared" si="1"/>
        <v>-</v>
      </c>
    </row>
    <row r="19" spans="1:10" ht="27" customHeight="1" x14ac:dyDescent="0.2">
      <c r="A19" s="80"/>
      <c r="B19" s="292"/>
      <c r="C19" s="296"/>
      <c r="D19" s="300"/>
      <c r="E19" s="301"/>
      <c r="F19" s="302"/>
      <c r="G19" s="80"/>
      <c r="H19" s="87" t="str">
        <f t="shared" si="0"/>
        <v>-</v>
      </c>
      <c r="I19" s="87"/>
      <c r="J19" s="87" t="str">
        <f t="shared" si="1"/>
        <v>-</v>
      </c>
    </row>
    <row r="20" spans="1:10" ht="27" customHeight="1" x14ac:dyDescent="0.2">
      <c r="A20" s="80"/>
      <c r="B20" s="292"/>
      <c r="C20" s="296"/>
      <c r="D20" s="300"/>
      <c r="E20" s="301"/>
      <c r="F20" s="302"/>
      <c r="G20" s="80"/>
      <c r="H20" s="87" t="str">
        <f t="shared" si="0"/>
        <v>-</v>
      </c>
      <c r="I20" s="87"/>
      <c r="J20" s="87" t="str">
        <f t="shared" si="1"/>
        <v>-</v>
      </c>
    </row>
    <row r="21" spans="1:10" ht="27" customHeight="1" x14ac:dyDescent="0.2">
      <c r="A21" s="80"/>
      <c r="B21" s="292"/>
      <c r="C21" s="296"/>
      <c r="D21" s="300"/>
      <c r="E21" s="301"/>
      <c r="F21" s="302"/>
      <c r="G21" s="80"/>
      <c r="H21" s="87" t="str">
        <f t="shared" si="0"/>
        <v>-</v>
      </c>
      <c r="I21" s="87"/>
      <c r="J21" s="87" t="str">
        <f t="shared" si="1"/>
        <v>-</v>
      </c>
    </row>
    <row r="22" spans="1:10" ht="27" customHeight="1" x14ac:dyDescent="0.2">
      <c r="A22" s="80"/>
      <c r="B22" s="292"/>
      <c r="C22" s="296"/>
      <c r="D22" s="300"/>
      <c r="E22" s="301"/>
      <c r="F22" s="302"/>
      <c r="G22" s="80"/>
      <c r="H22" s="87" t="str">
        <f t="shared" si="0"/>
        <v>-</v>
      </c>
      <c r="I22" s="87"/>
      <c r="J22" s="87" t="str">
        <f t="shared" si="1"/>
        <v>-</v>
      </c>
    </row>
    <row r="23" spans="1:10" ht="27" customHeight="1" x14ac:dyDescent="0.2">
      <c r="A23" s="80"/>
      <c r="B23" s="292"/>
      <c r="C23" s="296"/>
      <c r="D23" s="300"/>
      <c r="E23" s="301"/>
      <c r="F23" s="302"/>
      <c r="G23" s="80"/>
      <c r="H23" s="87" t="str">
        <f t="shared" si="0"/>
        <v>-</v>
      </c>
      <c r="I23" s="87"/>
      <c r="J23" s="87" t="str">
        <f t="shared" si="1"/>
        <v>-</v>
      </c>
    </row>
    <row r="24" spans="1:10" ht="27" customHeight="1" x14ac:dyDescent="0.2">
      <c r="A24" s="80"/>
      <c r="B24" s="292"/>
      <c r="C24" s="296"/>
      <c r="D24" s="300"/>
      <c r="E24" s="301"/>
      <c r="F24" s="302"/>
      <c r="G24" s="80"/>
      <c r="H24" s="87" t="str">
        <f t="shared" si="0"/>
        <v>-</v>
      </c>
      <c r="I24" s="87"/>
      <c r="J24" s="87" t="str">
        <f t="shared" si="1"/>
        <v>-</v>
      </c>
    </row>
    <row r="25" spans="1:10" ht="27" customHeight="1" x14ac:dyDescent="0.2">
      <c r="A25" s="80"/>
      <c r="B25" s="292"/>
      <c r="C25" s="296"/>
      <c r="D25" s="300"/>
      <c r="E25" s="301"/>
      <c r="F25" s="302"/>
      <c r="G25" s="80"/>
      <c r="H25" s="87" t="str">
        <f t="shared" si="0"/>
        <v>-</v>
      </c>
      <c r="I25" s="87"/>
      <c r="J25" s="87" t="str">
        <f t="shared" si="1"/>
        <v>-</v>
      </c>
    </row>
    <row r="26" spans="1:10" ht="27" customHeight="1" x14ac:dyDescent="0.2">
      <c r="A26" s="80"/>
      <c r="B26" s="292"/>
      <c r="C26" s="296"/>
      <c r="D26" s="300"/>
      <c r="E26" s="301"/>
      <c r="F26" s="302"/>
      <c r="G26" s="80"/>
      <c r="H26" s="87" t="str">
        <f t="shared" si="0"/>
        <v>-</v>
      </c>
      <c r="I26" s="87"/>
      <c r="J26" s="87" t="str">
        <f t="shared" si="1"/>
        <v>-</v>
      </c>
    </row>
    <row r="27" spans="1:10" ht="27" customHeight="1" x14ac:dyDescent="0.2">
      <c r="A27" s="80"/>
      <c r="B27" s="292"/>
      <c r="C27" s="296"/>
      <c r="D27" s="300"/>
      <c r="E27" s="301"/>
      <c r="F27" s="302"/>
      <c r="G27" s="80"/>
      <c r="H27" s="87" t="str">
        <f t="shared" si="0"/>
        <v>-</v>
      </c>
      <c r="I27" s="87"/>
      <c r="J27" s="87" t="str">
        <f t="shared" si="1"/>
        <v>-</v>
      </c>
    </row>
    <row r="28" spans="1:10" ht="27" customHeight="1" x14ac:dyDescent="0.2">
      <c r="A28" s="80"/>
      <c r="B28" s="292"/>
      <c r="C28" s="296"/>
      <c r="D28" s="300"/>
      <c r="E28" s="301"/>
      <c r="F28" s="302"/>
      <c r="G28" s="80"/>
      <c r="H28" s="87" t="str">
        <f t="shared" si="0"/>
        <v>-</v>
      </c>
      <c r="I28" s="87"/>
      <c r="J28" s="87" t="str">
        <f t="shared" si="1"/>
        <v>-</v>
      </c>
    </row>
    <row r="29" spans="1:10" ht="27" customHeight="1" x14ac:dyDescent="0.2">
      <c r="A29" s="80"/>
      <c r="B29" s="292"/>
      <c r="C29" s="296"/>
      <c r="D29" s="300"/>
      <c r="E29" s="301"/>
      <c r="F29" s="302"/>
      <c r="G29" s="80"/>
      <c r="H29" s="87" t="str">
        <f t="shared" si="0"/>
        <v>-</v>
      </c>
      <c r="I29" s="87"/>
      <c r="J29" s="87" t="str">
        <f t="shared" si="1"/>
        <v>-</v>
      </c>
    </row>
    <row r="30" spans="1:10" ht="27" customHeight="1" x14ac:dyDescent="0.2">
      <c r="A30" s="80"/>
      <c r="B30" s="292"/>
      <c r="C30" s="296"/>
      <c r="D30" s="300"/>
      <c r="E30" s="301"/>
      <c r="F30" s="302"/>
      <c r="G30" s="80"/>
      <c r="H30" s="87" t="str">
        <f t="shared" ref="H30:H71" si="2">IF(OR(
C30="ADMINISTRATIVO",
C30="INTERMEDIÁRIO",
C30="EXTERNO",
C30="FINAL"),"GRUPO","-")</f>
        <v>-</v>
      </c>
      <c r="I30" s="87"/>
      <c r="J30" s="87" t="str">
        <f t="shared" ref="J30:J68" si="3">IF(C30="","-",IF(ISNONTEXT(C30),"MÊS","-"))</f>
        <v>-</v>
      </c>
    </row>
    <row r="31" spans="1:10" ht="27" customHeight="1" x14ac:dyDescent="0.2">
      <c r="A31" s="80"/>
      <c r="B31" s="292"/>
      <c r="C31" s="296"/>
      <c r="D31" s="300"/>
      <c r="E31" s="301"/>
      <c r="F31" s="302"/>
      <c r="G31" s="80"/>
      <c r="H31" s="87" t="str">
        <f t="shared" si="2"/>
        <v>-</v>
      </c>
      <c r="I31" s="87"/>
      <c r="J31" s="87" t="str">
        <f t="shared" si="3"/>
        <v>-</v>
      </c>
    </row>
    <row r="32" spans="1:10" ht="27" customHeight="1" x14ac:dyDescent="0.2">
      <c r="A32" s="80"/>
      <c r="B32" s="292"/>
      <c r="C32" s="296"/>
      <c r="D32" s="300"/>
      <c r="E32" s="301"/>
      <c r="F32" s="302"/>
      <c r="G32" s="80"/>
      <c r="H32" s="87" t="str">
        <f t="shared" si="2"/>
        <v>-</v>
      </c>
      <c r="I32" s="87"/>
      <c r="J32" s="87" t="str">
        <f t="shared" si="3"/>
        <v>-</v>
      </c>
    </row>
    <row r="33" spans="1:10" ht="27" customHeight="1" x14ac:dyDescent="0.2">
      <c r="A33" s="80"/>
      <c r="B33" s="292"/>
      <c r="C33" s="296"/>
      <c r="D33" s="300"/>
      <c r="E33" s="301"/>
      <c r="F33" s="302"/>
      <c r="G33" s="80"/>
      <c r="H33" s="87" t="str">
        <f t="shared" si="2"/>
        <v>-</v>
      </c>
      <c r="I33" s="87"/>
      <c r="J33" s="87" t="str">
        <f t="shared" si="3"/>
        <v>-</v>
      </c>
    </row>
    <row r="34" spans="1:10" ht="27" customHeight="1" x14ac:dyDescent="0.2">
      <c r="A34" s="80"/>
      <c r="B34" s="292"/>
      <c r="C34" s="296"/>
      <c r="D34" s="300"/>
      <c r="E34" s="301"/>
      <c r="F34" s="302"/>
      <c r="G34" s="80"/>
      <c r="H34" s="87" t="str">
        <f t="shared" si="2"/>
        <v>-</v>
      </c>
      <c r="I34" s="87"/>
      <c r="J34" s="87" t="str">
        <f t="shared" si="3"/>
        <v>-</v>
      </c>
    </row>
    <row r="35" spans="1:10" ht="27" customHeight="1" x14ac:dyDescent="0.2">
      <c r="A35" s="80"/>
      <c r="B35" s="292"/>
      <c r="C35" s="296"/>
      <c r="D35" s="300"/>
      <c r="E35" s="301"/>
      <c r="F35" s="302"/>
      <c r="G35" s="80"/>
      <c r="H35" s="87" t="str">
        <f t="shared" si="2"/>
        <v>-</v>
      </c>
      <c r="I35" s="87"/>
      <c r="J35" s="87" t="str">
        <f t="shared" si="3"/>
        <v>-</v>
      </c>
    </row>
    <row r="36" spans="1:10" ht="27" customHeight="1" x14ac:dyDescent="0.2">
      <c r="A36" s="80"/>
      <c r="B36" s="292"/>
      <c r="C36" s="296"/>
      <c r="D36" s="300"/>
      <c r="E36" s="301"/>
      <c r="F36" s="302"/>
      <c r="G36" s="80"/>
      <c r="H36" s="87" t="str">
        <f t="shared" si="2"/>
        <v>-</v>
      </c>
      <c r="I36" s="87"/>
      <c r="J36" s="87" t="str">
        <f t="shared" si="3"/>
        <v>-</v>
      </c>
    </row>
    <row r="37" spans="1:10" ht="27" customHeight="1" x14ac:dyDescent="0.2">
      <c r="A37" s="80"/>
      <c r="B37" s="292"/>
      <c r="C37" s="296"/>
      <c r="D37" s="300"/>
      <c r="E37" s="301"/>
      <c r="F37" s="302"/>
      <c r="G37" s="80"/>
      <c r="H37" s="87" t="str">
        <f t="shared" si="2"/>
        <v>-</v>
      </c>
      <c r="I37" s="87"/>
      <c r="J37" s="87" t="str">
        <f t="shared" si="3"/>
        <v>-</v>
      </c>
    </row>
    <row r="38" spans="1:10" ht="27" customHeight="1" x14ac:dyDescent="0.2">
      <c r="A38" s="80"/>
      <c r="B38" s="292"/>
      <c r="C38" s="296"/>
      <c r="D38" s="300"/>
      <c r="E38" s="301"/>
      <c r="F38" s="302"/>
      <c r="G38" s="80"/>
      <c r="H38" s="87" t="str">
        <f t="shared" si="2"/>
        <v>-</v>
      </c>
      <c r="I38" s="87"/>
      <c r="J38" s="87" t="str">
        <f t="shared" si="3"/>
        <v>-</v>
      </c>
    </row>
    <row r="39" spans="1:10" ht="27" customHeight="1" x14ac:dyDescent="0.2">
      <c r="A39" s="80"/>
      <c r="B39" s="292"/>
      <c r="C39" s="296"/>
      <c r="D39" s="300"/>
      <c r="E39" s="301"/>
      <c r="F39" s="302"/>
      <c r="G39" s="80"/>
      <c r="H39" s="87" t="str">
        <f t="shared" si="2"/>
        <v>-</v>
      </c>
      <c r="I39" s="87"/>
      <c r="J39" s="87" t="str">
        <f t="shared" si="3"/>
        <v>-</v>
      </c>
    </row>
    <row r="40" spans="1:10" ht="27" customHeight="1" x14ac:dyDescent="0.2">
      <c r="A40" s="80"/>
      <c r="B40" s="292"/>
      <c r="C40" s="296"/>
      <c r="D40" s="300"/>
      <c r="E40" s="301"/>
      <c r="F40" s="302"/>
      <c r="G40" s="80"/>
      <c r="H40" s="87" t="str">
        <f t="shared" si="2"/>
        <v>-</v>
      </c>
      <c r="I40" s="87"/>
      <c r="J40" s="87" t="str">
        <f t="shared" si="3"/>
        <v>-</v>
      </c>
    </row>
    <row r="41" spans="1:10" ht="27" customHeight="1" x14ac:dyDescent="0.2">
      <c r="A41" s="80"/>
      <c r="B41" s="292"/>
      <c r="C41" s="296"/>
      <c r="D41" s="300"/>
      <c r="E41" s="301"/>
      <c r="F41" s="302"/>
      <c r="G41" s="80"/>
      <c r="H41" s="87" t="str">
        <f t="shared" si="2"/>
        <v>-</v>
      </c>
      <c r="I41" s="87"/>
      <c r="J41" s="87" t="str">
        <f t="shared" si="3"/>
        <v>-</v>
      </c>
    </row>
    <row r="42" spans="1:10" ht="27" customHeight="1" x14ac:dyDescent="0.2">
      <c r="A42" s="80"/>
      <c r="B42" s="292"/>
      <c r="C42" s="296"/>
      <c r="D42" s="300"/>
      <c r="E42" s="301"/>
      <c r="F42" s="302"/>
      <c r="G42" s="80"/>
      <c r="H42" s="87" t="str">
        <f t="shared" si="2"/>
        <v>-</v>
      </c>
      <c r="I42" s="87"/>
      <c r="J42" s="87" t="str">
        <f t="shared" si="3"/>
        <v>-</v>
      </c>
    </row>
    <row r="43" spans="1:10" ht="27" customHeight="1" x14ac:dyDescent="0.2">
      <c r="A43" s="80"/>
      <c r="B43" s="292"/>
      <c r="C43" s="296"/>
      <c r="D43" s="300"/>
      <c r="E43" s="301"/>
      <c r="F43" s="302"/>
      <c r="G43" s="80"/>
      <c r="H43" s="87" t="str">
        <f t="shared" si="2"/>
        <v>-</v>
      </c>
      <c r="I43" s="87"/>
      <c r="J43" s="87" t="str">
        <f t="shared" si="3"/>
        <v>-</v>
      </c>
    </row>
    <row r="44" spans="1:10" ht="27" customHeight="1" x14ac:dyDescent="0.2">
      <c r="A44" s="80"/>
      <c r="B44" s="292"/>
      <c r="C44" s="296"/>
      <c r="D44" s="300"/>
      <c r="E44" s="301"/>
      <c r="F44" s="302"/>
      <c r="G44" s="80"/>
      <c r="H44" s="87" t="str">
        <f t="shared" si="2"/>
        <v>-</v>
      </c>
      <c r="I44" s="87"/>
      <c r="J44" s="87" t="str">
        <f t="shared" si="3"/>
        <v>-</v>
      </c>
    </row>
    <row r="45" spans="1:10" ht="27" customHeight="1" x14ac:dyDescent="0.2">
      <c r="A45" s="80"/>
      <c r="B45" s="292"/>
      <c r="C45" s="296"/>
      <c r="D45" s="300"/>
      <c r="E45" s="301"/>
      <c r="F45" s="302"/>
      <c r="G45" s="80"/>
      <c r="H45" s="87" t="str">
        <f t="shared" si="2"/>
        <v>-</v>
      </c>
      <c r="I45" s="87"/>
      <c r="J45" s="87" t="str">
        <f t="shared" si="3"/>
        <v>-</v>
      </c>
    </row>
    <row r="46" spans="1:10" ht="27" customHeight="1" x14ac:dyDescent="0.2">
      <c r="A46" s="80"/>
      <c r="B46" s="292"/>
      <c r="C46" s="296"/>
      <c r="D46" s="300"/>
      <c r="E46" s="301"/>
      <c r="F46" s="302"/>
      <c r="G46" s="80"/>
      <c r="H46" s="87" t="str">
        <f t="shared" si="2"/>
        <v>-</v>
      </c>
      <c r="I46" s="87"/>
      <c r="J46" s="87" t="str">
        <f t="shared" si="3"/>
        <v>-</v>
      </c>
    </row>
    <row r="47" spans="1:10" ht="27" customHeight="1" x14ac:dyDescent="0.2">
      <c r="A47" s="80"/>
      <c r="B47" s="292"/>
      <c r="C47" s="296"/>
      <c r="D47" s="300"/>
      <c r="E47" s="301"/>
      <c r="F47" s="302"/>
      <c r="G47" s="80"/>
      <c r="H47" s="87" t="str">
        <f t="shared" si="2"/>
        <v>-</v>
      </c>
      <c r="I47" s="87"/>
      <c r="J47" s="87" t="str">
        <f t="shared" si="3"/>
        <v>-</v>
      </c>
    </row>
    <row r="48" spans="1:10" ht="27" customHeight="1" x14ac:dyDescent="0.2">
      <c r="A48" s="80"/>
      <c r="B48" s="292"/>
      <c r="C48" s="296"/>
      <c r="D48" s="300"/>
      <c r="E48" s="301"/>
      <c r="F48" s="302"/>
      <c r="G48" s="80"/>
      <c r="H48" s="87" t="str">
        <f t="shared" si="2"/>
        <v>-</v>
      </c>
      <c r="I48" s="87"/>
      <c r="J48" s="87" t="str">
        <f t="shared" si="3"/>
        <v>-</v>
      </c>
    </row>
    <row r="49" spans="1:10" ht="27" customHeight="1" x14ac:dyDescent="0.2">
      <c r="A49" s="80"/>
      <c r="B49" s="292"/>
      <c r="C49" s="296"/>
      <c r="D49" s="300"/>
      <c r="E49" s="301"/>
      <c r="F49" s="302"/>
      <c r="G49" s="80"/>
      <c r="H49" s="87" t="str">
        <f t="shared" si="2"/>
        <v>-</v>
      </c>
      <c r="I49" s="87"/>
      <c r="J49" s="87" t="str">
        <f t="shared" si="3"/>
        <v>-</v>
      </c>
    </row>
    <row r="50" spans="1:10" ht="27" customHeight="1" x14ac:dyDescent="0.2">
      <c r="A50" s="80"/>
      <c r="B50" s="292"/>
      <c r="C50" s="296"/>
      <c r="D50" s="300"/>
      <c r="E50" s="301"/>
      <c r="F50" s="302"/>
      <c r="G50" s="80"/>
      <c r="H50" s="87" t="str">
        <f t="shared" si="2"/>
        <v>-</v>
      </c>
      <c r="I50" s="87"/>
      <c r="J50" s="87" t="str">
        <f t="shared" si="3"/>
        <v>-</v>
      </c>
    </row>
    <row r="51" spans="1:10" ht="27" customHeight="1" x14ac:dyDescent="0.2">
      <c r="A51" s="80"/>
      <c r="B51" s="292"/>
      <c r="C51" s="296"/>
      <c r="D51" s="300"/>
      <c r="E51" s="301"/>
      <c r="F51" s="302"/>
      <c r="G51" s="80"/>
      <c r="H51" s="87" t="str">
        <f t="shared" si="2"/>
        <v>-</v>
      </c>
      <c r="I51" s="87"/>
      <c r="J51" s="87" t="str">
        <f t="shared" si="3"/>
        <v>-</v>
      </c>
    </row>
    <row r="52" spans="1:10" ht="27" customHeight="1" x14ac:dyDescent="0.2">
      <c r="A52" s="80"/>
      <c r="B52" s="292"/>
      <c r="C52" s="296"/>
      <c r="D52" s="300"/>
      <c r="E52" s="301"/>
      <c r="F52" s="302"/>
      <c r="G52" s="80"/>
      <c r="H52" s="87" t="str">
        <f t="shared" si="2"/>
        <v>-</v>
      </c>
      <c r="I52" s="87"/>
      <c r="J52" s="87" t="str">
        <f t="shared" si="3"/>
        <v>-</v>
      </c>
    </row>
    <row r="53" spans="1:10" ht="27" customHeight="1" x14ac:dyDescent="0.2">
      <c r="A53" s="80"/>
      <c r="B53" s="292"/>
      <c r="C53" s="296"/>
      <c r="D53" s="300"/>
      <c r="E53" s="301"/>
      <c r="F53" s="302"/>
      <c r="G53" s="80"/>
      <c r="H53" s="87" t="str">
        <f t="shared" si="2"/>
        <v>-</v>
      </c>
      <c r="I53" s="87"/>
      <c r="J53" s="87" t="str">
        <f t="shared" si="3"/>
        <v>-</v>
      </c>
    </row>
    <row r="54" spans="1:10" ht="27" customHeight="1" x14ac:dyDescent="0.2">
      <c r="A54" s="80"/>
      <c r="B54" s="292"/>
      <c r="C54" s="296"/>
      <c r="D54" s="300"/>
      <c r="E54" s="301"/>
      <c r="F54" s="302"/>
      <c r="G54" s="80"/>
      <c r="H54" s="87" t="str">
        <f t="shared" si="2"/>
        <v>-</v>
      </c>
      <c r="I54" s="87"/>
      <c r="J54" s="87" t="str">
        <f t="shared" si="3"/>
        <v>-</v>
      </c>
    </row>
    <row r="55" spans="1:10" ht="27" customHeight="1" x14ac:dyDescent="0.2">
      <c r="A55" s="80"/>
      <c r="B55" s="292"/>
      <c r="C55" s="296"/>
      <c r="D55" s="300"/>
      <c r="E55" s="301"/>
      <c r="F55" s="302"/>
      <c r="G55" s="80"/>
      <c r="H55" s="87" t="str">
        <f t="shared" si="2"/>
        <v>-</v>
      </c>
      <c r="I55" s="87"/>
      <c r="J55" s="87" t="str">
        <f t="shared" si="3"/>
        <v>-</v>
      </c>
    </row>
    <row r="56" spans="1:10" ht="27" customHeight="1" x14ac:dyDescent="0.2">
      <c r="A56" s="80"/>
      <c r="B56" s="292"/>
      <c r="C56" s="296"/>
      <c r="D56" s="300"/>
      <c r="E56" s="301"/>
      <c r="F56" s="302"/>
      <c r="G56" s="80"/>
      <c r="H56" s="87" t="str">
        <f t="shared" si="2"/>
        <v>-</v>
      </c>
      <c r="I56" s="87"/>
      <c r="J56" s="87" t="str">
        <f t="shared" si="3"/>
        <v>-</v>
      </c>
    </row>
    <row r="57" spans="1:10" ht="27" customHeight="1" x14ac:dyDescent="0.2">
      <c r="A57" s="80"/>
      <c r="B57" s="292"/>
      <c r="C57" s="296"/>
      <c r="D57" s="300"/>
      <c r="E57" s="301"/>
      <c r="F57" s="302"/>
      <c r="G57" s="80"/>
      <c r="H57" s="87" t="str">
        <f t="shared" si="2"/>
        <v>-</v>
      </c>
      <c r="I57" s="87"/>
      <c r="J57" s="87" t="str">
        <f t="shared" si="3"/>
        <v>-</v>
      </c>
    </row>
    <row r="58" spans="1:10" ht="27" customHeight="1" x14ac:dyDescent="0.2">
      <c r="A58" s="80"/>
      <c r="B58" s="292"/>
      <c r="C58" s="296"/>
      <c r="D58" s="300"/>
      <c r="E58" s="301"/>
      <c r="F58" s="302"/>
      <c r="G58" s="80"/>
      <c r="H58" s="87" t="str">
        <f t="shared" si="2"/>
        <v>-</v>
      </c>
      <c r="I58" s="87"/>
      <c r="J58" s="87" t="str">
        <f t="shared" si="3"/>
        <v>-</v>
      </c>
    </row>
    <row r="59" spans="1:10" ht="27" customHeight="1" x14ac:dyDescent="0.2">
      <c r="A59" s="80"/>
      <c r="B59" s="292"/>
      <c r="C59" s="296"/>
      <c r="D59" s="300"/>
      <c r="E59" s="301"/>
      <c r="F59" s="302"/>
      <c r="G59" s="80"/>
      <c r="H59" s="87" t="str">
        <f t="shared" si="2"/>
        <v>-</v>
      </c>
      <c r="I59" s="87"/>
      <c r="J59" s="87" t="str">
        <f t="shared" si="3"/>
        <v>-</v>
      </c>
    </row>
    <row r="60" spans="1:10" ht="27" customHeight="1" x14ac:dyDescent="0.2">
      <c r="A60" s="80"/>
      <c r="B60" s="292"/>
      <c r="C60" s="296"/>
      <c r="D60" s="300"/>
      <c r="E60" s="301"/>
      <c r="F60" s="302"/>
      <c r="G60" s="80"/>
      <c r="H60" s="87" t="str">
        <f t="shared" si="2"/>
        <v>-</v>
      </c>
      <c r="I60" s="87"/>
      <c r="J60" s="87" t="str">
        <f t="shared" si="3"/>
        <v>-</v>
      </c>
    </row>
    <row r="61" spans="1:10" ht="27" customHeight="1" x14ac:dyDescent="0.2">
      <c r="A61" s="80"/>
      <c r="B61" s="292"/>
      <c r="C61" s="296"/>
      <c r="D61" s="300"/>
      <c r="E61" s="301"/>
      <c r="F61" s="302"/>
      <c r="G61" s="80"/>
      <c r="H61" s="87" t="str">
        <f t="shared" si="2"/>
        <v>-</v>
      </c>
      <c r="I61" s="87"/>
      <c r="J61" s="87" t="str">
        <f t="shared" si="3"/>
        <v>-</v>
      </c>
    </row>
    <row r="62" spans="1:10" ht="27" customHeight="1" x14ac:dyDescent="0.2">
      <c r="A62" s="80"/>
      <c r="B62" s="292"/>
      <c r="C62" s="296"/>
      <c r="D62" s="300"/>
      <c r="E62" s="301"/>
      <c r="F62" s="302"/>
      <c r="G62" s="80"/>
      <c r="H62" s="87" t="str">
        <f t="shared" si="2"/>
        <v>-</v>
      </c>
      <c r="I62" s="87"/>
      <c r="J62" s="87" t="str">
        <f t="shared" si="3"/>
        <v>-</v>
      </c>
    </row>
    <row r="63" spans="1:10" ht="27" customHeight="1" x14ac:dyDescent="0.2">
      <c r="A63" s="80"/>
      <c r="B63" s="292"/>
      <c r="C63" s="296"/>
      <c r="D63" s="300"/>
      <c r="E63" s="301"/>
      <c r="F63" s="302"/>
      <c r="G63" s="80"/>
      <c r="H63" s="87" t="str">
        <f t="shared" si="2"/>
        <v>-</v>
      </c>
      <c r="I63" s="87"/>
      <c r="J63" s="87" t="str">
        <f t="shared" si="3"/>
        <v>-</v>
      </c>
    </row>
    <row r="64" spans="1:10" ht="27" customHeight="1" x14ac:dyDescent="0.2">
      <c r="A64" s="80"/>
      <c r="B64" s="292"/>
      <c r="C64" s="296"/>
      <c r="D64" s="300"/>
      <c r="E64" s="301"/>
      <c r="F64" s="302"/>
      <c r="G64" s="80"/>
      <c r="H64" s="87" t="str">
        <f t="shared" si="2"/>
        <v>-</v>
      </c>
      <c r="I64" s="87"/>
      <c r="J64" s="87" t="str">
        <f t="shared" si="3"/>
        <v>-</v>
      </c>
    </row>
    <row r="65" spans="1:10" ht="27" customHeight="1" x14ac:dyDescent="0.2">
      <c r="A65" s="80"/>
      <c r="B65" s="292"/>
      <c r="C65" s="296"/>
      <c r="D65" s="300"/>
      <c r="E65" s="301"/>
      <c r="F65" s="302"/>
      <c r="G65" s="80"/>
      <c r="H65" s="87" t="str">
        <f t="shared" si="2"/>
        <v>-</v>
      </c>
      <c r="I65" s="87"/>
      <c r="J65" s="87" t="str">
        <f t="shared" si="3"/>
        <v>-</v>
      </c>
    </row>
    <row r="66" spans="1:10" ht="27" customHeight="1" x14ac:dyDescent="0.2">
      <c r="A66" s="80"/>
      <c r="B66" s="292"/>
      <c r="C66" s="296"/>
      <c r="D66" s="300"/>
      <c r="E66" s="301"/>
      <c r="F66" s="302"/>
      <c r="G66" s="80"/>
      <c r="H66" s="87" t="str">
        <f t="shared" si="2"/>
        <v>-</v>
      </c>
      <c r="I66" s="87"/>
      <c r="J66" s="87" t="str">
        <f t="shared" si="3"/>
        <v>-</v>
      </c>
    </row>
    <row r="67" spans="1:10" ht="27" customHeight="1" x14ac:dyDescent="0.2">
      <c r="A67" s="80"/>
      <c r="B67" s="292"/>
      <c r="C67" s="296"/>
      <c r="D67" s="300"/>
      <c r="E67" s="301"/>
      <c r="F67" s="302"/>
      <c r="G67" s="80"/>
      <c r="H67" s="87" t="str">
        <f t="shared" si="2"/>
        <v>-</v>
      </c>
      <c r="I67" s="87"/>
      <c r="J67" s="87" t="str">
        <f t="shared" si="3"/>
        <v>-</v>
      </c>
    </row>
    <row r="68" spans="1:10" ht="27" customHeight="1" x14ac:dyDescent="0.2">
      <c r="A68" s="80"/>
      <c r="B68" s="292"/>
      <c r="C68" s="296"/>
      <c r="D68" s="300"/>
      <c r="E68" s="301"/>
      <c r="F68" s="302"/>
      <c r="G68" s="80"/>
      <c r="H68" s="87" t="str">
        <f t="shared" si="2"/>
        <v>-</v>
      </c>
      <c r="I68" s="87"/>
      <c r="J68" s="87" t="str">
        <f t="shared" si="3"/>
        <v>-</v>
      </c>
    </row>
    <row r="69" spans="1:10" ht="27" customHeight="1" x14ac:dyDescent="0.2">
      <c r="A69" s="80"/>
      <c r="B69" s="292"/>
      <c r="C69" s="296"/>
      <c r="D69" s="300"/>
      <c r="E69" s="301"/>
      <c r="F69" s="302"/>
      <c r="G69" s="80"/>
      <c r="H69" s="87" t="str">
        <f t="shared" si="2"/>
        <v>-</v>
      </c>
      <c r="I69" s="87"/>
      <c r="J69" s="87" t="str">
        <f xml:space="preserve">
IF( C69="", "-",
IF( ISNONTEXT( C69), "MÊS", "-"))</f>
        <v>-</v>
      </c>
    </row>
    <row r="70" spans="1:10" ht="27" customHeight="1" x14ac:dyDescent="0.2">
      <c r="A70" s="80"/>
      <c r="B70" s="292"/>
      <c r="C70" s="296"/>
      <c r="D70" s="300"/>
      <c r="E70" s="301"/>
      <c r="F70" s="302"/>
      <c r="G70" s="80"/>
      <c r="H70" s="87" t="str">
        <f t="shared" si="2"/>
        <v>-</v>
      </c>
      <c r="I70" s="87"/>
      <c r="J70" s="87" t="str">
        <f t="shared" ref="J70:J124" si="4" xml:space="preserve">
IF( C70="", "-",
IF( ISNONTEXT( C70), "MÊS", "-"))</f>
        <v>-</v>
      </c>
    </row>
    <row r="71" spans="1:10" ht="27" customHeight="1" x14ac:dyDescent="0.2">
      <c r="A71" s="80"/>
      <c r="B71" s="292"/>
      <c r="C71" s="296"/>
      <c r="D71" s="300"/>
      <c r="E71" s="301"/>
      <c r="F71" s="302"/>
      <c r="G71" s="80"/>
      <c r="H71" s="87" t="str">
        <f t="shared" si="2"/>
        <v>-</v>
      </c>
      <c r="I71" s="87"/>
      <c r="J71" s="87" t="str">
        <f t="shared" si="4"/>
        <v>-</v>
      </c>
    </row>
    <row r="72" spans="1:10" ht="27" customHeight="1" x14ac:dyDescent="0.2">
      <c r="A72" s="80"/>
      <c r="B72" s="292"/>
      <c r="C72" s="296"/>
      <c r="D72" s="300"/>
      <c r="E72" s="301"/>
      <c r="F72" s="302"/>
      <c r="G72" s="80"/>
      <c r="H72" s="87" t="str">
        <f t="shared" ref="H72:H124" si="5">IF(OR(
C72="ADMINISTRATIVO",
C72="INTERMEDIÁRIO",
C72="EXTERNO",
C72="FINAL"),"GRUPO","-")</f>
        <v>-</v>
      </c>
      <c r="I72" s="87"/>
      <c r="J72" s="87" t="str">
        <f t="shared" si="4"/>
        <v>-</v>
      </c>
    </row>
    <row r="73" spans="1:10" ht="27" customHeight="1" x14ac:dyDescent="0.2">
      <c r="A73" s="80"/>
      <c r="B73" s="292"/>
      <c r="C73" s="296"/>
      <c r="D73" s="300"/>
      <c r="E73" s="301"/>
      <c r="F73" s="302"/>
      <c r="G73" s="80"/>
      <c r="H73" s="87" t="str">
        <f t="shared" si="5"/>
        <v>-</v>
      </c>
      <c r="I73" s="87"/>
      <c r="J73" s="87" t="str">
        <f t="shared" si="4"/>
        <v>-</v>
      </c>
    </row>
    <row r="74" spans="1:10" ht="27" customHeight="1" x14ac:dyDescent="0.2">
      <c r="A74" s="80"/>
      <c r="B74" s="292"/>
      <c r="C74" s="296"/>
      <c r="D74" s="300"/>
      <c r="E74" s="301"/>
      <c r="F74" s="302"/>
      <c r="G74" s="80"/>
      <c r="H74" s="87" t="str">
        <f t="shared" si="5"/>
        <v>-</v>
      </c>
      <c r="I74" s="87"/>
      <c r="J74" s="87" t="str">
        <f t="shared" si="4"/>
        <v>-</v>
      </c>
    </row>
    <row r="75" spans="1:10" ht="27" customHeight="1" x14ac:dyDescent="0.2">
      <c r="A75" s="80"/>
      <c r="B75" s="292"/>
      <c r="C75" s="296"/>
      <c r="D75" s="300"/>
      <c r="E75" s="301"/>
      <c r="F75" s="302"/>
      <c r="G75" s="80"/>
      <c r="H75" s="87" t="str">
        <f t="shared" si="5"/>
        <v>-</v>
      </c>
      <c r="I75" s="87"/>
      <c r="J75" s="87" t="str">
        <f t="shared" si="4"/>
        <v>-</v>
      </c>
    </row>
    <row r="76" spans="1:10" ht="27" customHeight="1" x14ac:dyDescent="0.2">
      <c r="A76" s="80"/>
      <c r="B76" s="292"/>
      <c r="C76" s="296"/>
      <c r="D76" s="300"/>
      <c r="E76" s="301"/>
      <c r="F76" s="302"/>
      <c r="G76" s="80"/>
      <c r="H76" s="87" t="str">
        <f t="shared" si="5"/>
        <v>-</v>
      </c>
      <c r="I76" s="87"/>
      <c r="J76" s="87" t="str">
        <f t="shared" si="4"/>
        <v>-</v>
      </c>
    </row>
    <row r="77" spans="1:10" ht="27" customHeight="1" x14ac:dyDescent="0.2">
      <c r="A77" s="80"/>
      <c r="B77" s="292"/>
      <c r="C77" s="296"/>
      <c r="D77" s="300"/>
      <c r="E77" s="301"/>
      <c r="F77" s="302"/>
      <c r="G77" s="80"/>
      <c r="H77" s="87" t="str">
        <f t="shared" si="5"/>
        <v>-</v>
      </c>
      <c r="I77" s="87"/>
      <c r="J77" s="87" t="str">
        <f t="shared" si="4"/>
        <v>-</v>
      </c>
    </row>
    <row r="78" spans="1:10" ht="27" customHeight="1" x14ac:dyDescent="0.2">
      <c r="A78" s="80"/>
      <c r="B78" s="292"/>
      <c r="C78" s="296"/>
      <c r="D78" s="300"/>
      <c r="E78" s="301"/>
      <c r="F78" s="302"/>
      <c r="G78" s="80"/>
      <c r="H78" s="87" t="str">
        <f t="shared" si="5"/>
        <v>-</v>
      </c>
      <c r="I78" s="87"/>
      <c r="J78" s="87" t="str">
        <f t="shared" si="4"/>
        <v>-</v>
      </c>
    </row>
    <row r="79" spans="1:10" ht="27" customHeight="1" x14ac:dyDescent="0.2">
      <c r="A79" s="80"/>
      <c r="B79" s="292"/>
      <c r="C79" s="296"/>
      <c r="D79" s="300"/>
      <c r="E79" s="301"/>
      <c r="F79" s="302"/>
      <c r="G79" s="80"/>
      <c r="H79" s="87" t="str">
        <f t="shared" si="5"/>
        <v>-</v>
      </c>
      <c r="I79" s="87"/>
      <c r="J79" s="87" t="str">
        <f t="shared" si="4"/>
        <v>-</v>
      </c>
    </row>
    <row r="80" spans="1:10" ht="27" customHeight="1" x14ac:dyDescent="0.2">
      <c r="A80" s="80"/>
      <c r="B80" s="292"/>
      <c r="C80" s="296"/>
      <c r="D80" s="300"/>
      <c r="E80" s="301"/>
      <c r="F80" s="302"/>
      <c r="G80" s="80"/>
      <c r="H80" s="87" t="str">
        <f t="shared" si="5"/>
        <v>-</v>
      </c>
      <c r="I80" s="87"/>
      <c r="J80" s="87" t="str">
        <f t="shared" si="4"/>
        <v>-</v>
      </c>
    </row>
    <row r="81" spans="1:10" ht="27" customHeight="1" x14ac:dyDescent="0.2">
      <c r="A81" s="80"/>
      <c r="B81" s="292"/>
      <c r="C81" s="296"/>
      <c r="D81" s="300"/>
      <c r="E81" s="301"/>
      <c r="F81" s="302"/>
      <c r="G81" s="80"/>
      <c r="H81" s="87" t="str">
        <f t="shared" si="5"/>
        <v>-</v>
      </c>
      <c r="I81" s="87"/>
      <c r="J81" s="87" t="str">
        <f t="shared" si="4"/>
        <v>-</v>
      </c>
    </row>
    <row r="82" spans="1:10" ht="27" customHeight="1" x14ac:dyDescent="0.2">
      <c r="A82" s="80"/>
      <c r="B82" s="292"/>
      <c r="C82" s="296"/>
      <c r="D82" s="300"/>
      <c r="E82" s="301"/>
      <c r="F82" s="302"/>
      <c r="G82" s="80"/>
      <c r="H82" s="87" t="str">
        <f t="shared" si="5"/>
        <v>-</v>
      </c>
      <c r="I82" s="87"/>
      <c r="J82" s="87" t="str">
        <f t="shared" si="4"/>
        <v>-</v>
      </c>
    </row>
    <row r="83" spans="1:10" ht="27" customHeight="1" x14ac:dyDescent="0.2">
      <c r="A83" s="80"/>
      <c r="B83" s="292"/>
      <c r="C83" s="296"/>
      <c r="D83" s="300"/>
      <c r="E83" s="301"/>
      <c r="F83" s="302"/>
      <c r="G83" s="80"/>
      <c r="H83" s="87" t="str">
        <f t="shared" si="5"/>
        <v>-</v>
      </c>
      <c r="I83" s="87"/>
      <c r="J83" s="87" t="str">
        <f t="shared" si="4"/>
        <v>-</v>
      </c>
    </row>
    <row r="84" spans="1:10" ht="27" customHeight="1" x14ac:dyDescent="0.2">
      <c r="A84" s="80"/>
      <c r="B84" s="292"/>
      <c r="C84" s="296"/>
      <c r="D84" s="300"/>
      <c r="E84" s="301"/>
      <c r="F84" s="302"/>
      <c r="G84" s="80"/>
      <c r="H84" s="87" t="str">
        <f t="shared" si="5"/>
        <v>-</v>
      </c>
      <c r="I84" s="87"/>
      <c r="J84" s="87" t="str">
        <f t="shared" si="4"/>
        <v>-</v>
      </c>
    </row>
    <row r="85" spans="1:10" ht="27" customHeight="1" x14ac:dyDescent="0.2">
      <c r="A85" s="80"/>
      <c r="B85" s="292"/>
      <c r="C85" s="296"/>
      <c r="D85" s="300"/>
      <c r="E85" s="301"/>
      <c r="F85" s="302"/>
      <c r="G85" s="80"/>
      <c r="H85" s="87" t="str">
        <f t="shared" si="5"/>
        <v>-</v>
      </c>
      <c r="I85" s="87"/>
      <c r="J85" s="87" t="str">
        <f t="shared" si="4"/>
        <v>-</v>
      </c>
    </row>
    <row r="86" spans="1:10" ht="27" customHeight="1" x14ac:dyDescent="0.2">
      <c r="A86" s="80"/>
      <c r="B86" s="292"/>
      <c r="C86" s="296"/>
      <c r="D86" s="300"/>
      <c r="E86" s="301"/>
      <c r="F86" s="302"/>
      <c r="G86" s="80"/>
      <c r="H86" s="87" t="str">
        <f t="shared" si="5"/>
        <v>-</v>
      </c>
      <c r="I86" s="87"/>
      <c r="J86" s="87" t="str">
        <f t="shared" si="4"/>
        <v>-</v>
      </c>
    </row>
    <row r="87" spans="1:10" ht="27" customHeight="1" x14ac:dyDescent="0.2">
      <c r="A87" s="80"/>
      <c r="B87" s="292"/>
      <c r="C87" s="296"/>
      <c r="D87" s="300"/>
      <c r="E87" s="301"/>
      <c r="F87" s="302"/>
      <c r="G87" s="80"/>
      <c r="H87" s="87" t="str">
        <f t="shared" si="5"/>
        <v>-</v>
      </c>
      <c r="I87" s="87"/>
      <c r="J87" s="87" t="str">
        <f t="shared" si="4"/>
        <v>-</v>
      </c>
    </row>
    <row r="88" spans="1:10" ht="27" customHeight="1" x14ac:dyDescent="0.2">
      <c r="A88" s="80"/>
      <c r="B88" s="292"/>
      <c r="C88" s="296"/>
      <c r="D88" s="300"/>
      <c r="E88" s="301"/>
      <c r="F88" s="302"/>
      <c r="G88" s="80"/>
      <c r="H88" s="87" t="str">
        <f t="shared" si="5"/>
        <v>-</v>
      </c>
      <c r="I88" s="87"/>
      <c r="J88" s="87" t="str">
        <f t="shared" si="4"/>
        <v>-</v>
      </c>
    </row>
    <row r="89" spans="1:10" ht="27" customHeight="1" x14ac:dyDescent="0.2">
      <c r="A89" s="80"/>
      <c r="B89" s="292"/>
      <c r="C89" s="296"/>
      <c r="D89" s="300"/>
      <c r="E89" s="301"/>
      <c r="F89" s="302"/>
      <c r="G89" s="80"/>
      <c r="H89" s="87" t="str">
        <f t="shared" si="5"/>
        <v>-</v>
      </c>
      <c r="I89" s="87"/>
      <c r="J89" s="87" t="str">
        <f t="shared" si="4"/>
        <v>-</v>
      </c>
    </row>
    <row r="90" spans="1:10" ht="27" customHeight="1" x14ac:dyDescent="0.2">
      <c r="A90" s="80"/>
      <c r="B90" s="292"/>
      <c r="C90" s="296"/>
      <c r="D90" s="300"/>
      <c r="E90" s="301"/>
      <c r="F90" s="302"/>
      <c r="G90" s="80"/>
      <c r="H90" s="87" t="str">
        <f t="shared" si="5"/>
        <v>-</v>
      </c>
      <c r="I90" s="87"/>
      <c r="J90" s="87" t="str">
        <f t="shared" si="4"/>
        <v>-</v>
      </c>
    </row>
    <row r="91" spans="1:10" ht="27" customHeight="1" x14ac:dyDescent="0.2">
      <c r="A91" s="80"/>
      <c r="B91" s="292"/>
      <c r="C91" s="296"/>
      <c r="D91" s="300"/>
      <c r="E91" s="301"/>
      <c r="F91" s="302"/>
      <c r="G91" s="80"/>
      <c r="H91" s="87" t="str">
        <f t="shared" si="5"/>
        <v>-</v>
      </c>
      <c r="I91" s="87"/>
      <c r="J91" s="87" t="str">
        <f t="shared" si="4"/>
        <v>-</v>
      </c>
    </row>
    <row r="92" spans="1:10" ht="27" customHeight="1" x14ac:dyDescent="0.2">
      <c r="A92" s="80"/>
      <c r="B92" s="292"/>
      <c r="C92" s="296"/>
      <c r="D92" s="300"/>
      <c r="E92" s="301"/>
      <c r="F92" s="302"/>
      <c r="G92" s="80"/>
      <c r="H92" s="87" t="str">
        <f t="shared" si="5"/>
        <v>-</v>
      </c>
      <c r="I92" s="87"/>
      <c r="J92" s="87" t="str">
        <f t="shared" si="4"/>
        <v>-</v>
      </c>
    </row>
    <row r="93" spans="1:10" ht="27" customHeight="1" x14ac:dyDescent="0.2">
      <c r="A93" s="80"/>
      <c r="B93" s="292"/>
      <c r="C93" s="296"/>
      <c r="D93" s="300"/>
      <c r="E93" s="301"/>
      <c r="F93" s="302"/>
      <c r="G93" s="80"/>
      <c r="H93" s="87" t="str">
        <f t="shared" si="5"/>
        <v>-</v>
      </c>
      <c r="I93" s="87"/>
      <c r="J93" s="87" t="str">
        <f t="shared" si="4"/>
        <v>-</v>
      </c>
    </row>
    <row r="94" spans="1:10" ht="27" customHeight="1" x14ac:dyDescent="0.2">
      <c r="A94" s="80"/>
      <c r="B94" s="292"/>
      <c r="C94" s="296"/>
      <c r="D94" s="300"/>
      <c r="E94" s="301"/>
      <c r="F94" s="302"/>
      <c r="G94" s="80"/>
      <c r="H94" s="87" t="str">
        <f t="shared" si="5"/>
        <v>-</v>
      </c>
      <c r="I94" s="87"/>
      <c r="J94" s="87" t="str">
        <f t="shared" si="4"/>
        <v>-</v>
      </c>
    </row>
    <row r="95" spans="1:10" ht="27" customHeight="1" x14ac:dyDescent="0.2">
      <c r="A95" s="80"/>
      <c r="B95" s="292"/>
      <c r="C95" s="296"/>
      <c r="D95" s="300"/>
      <c r="E95" s="301"/>
      <c r="F95" s="302"/>
      <c r="G95" s="80"/>
      <c r="H95" s="87" t="str">
        <f t="shared" si="5"/>
        <v>-</v>
      </c>
      <c r="I95" s="87"/>
      <c r="J95" s="87" t="str">
        <f t="shared" si="4"/>
        <v>-</v>
      </c>
    </row>
    <row r="96" spans="1:10" ht="27" customHeight="1" x14ac:dyDescent="0.2">
      <c r="A96" s="80"/>
      <c r="B96" s="292"/>
      <c r="C96" s="296"/>
      <c r="D96" s="300"/>
      <c r="E96" s="301"/>
      <c r="F96" s="302"/>
      <c r="G96" s="80"/>
      <c r="H96" s="87" t="str">
        <f t="shared" si="5"/>
        <v>-</v>
      </c>
      <c r="I96" s="87"/>
      <c r="J96" s="87" t="str">
        <f t="shared" si="4"/>
        <v>-</v>
      </c>
    </row>
    <row r="97" spans="1:10" ht="27" customHeight="1" x14ac:dyDescent="0.2">
      <c r="A97" s="80"/>
      <c r="B97" s="292"/>
      <c r="C97" s="296"/>
      <c r="D97" s="300"/>
      <c r="E97" s="301"/>
      <c r="F97" s="302"/>
      <c r="G97" s="80"/>
      <c r="H97" s="87" t="str">
        <f t="shared" si="5"/>
        <v>-</v>
      </c>
      <c r="I97" s="87"/>
      <c r="J97" s="87" t="str">
        <f t="shared" si="4"/>
        <v>-</v>
      </c>
    </row>
    <row r="98" spans="1:10" ht="27" customHeight="1" x14ac:dyDescent="0.2">
      <c r="A98" s="80"/>
      <c r="B98" s="292"/>
      <c r="C98" s="296"/>
      <c r="D98" s="300"/>
      <c r="E98" s="301"/>
      <c r="F98" s="302"/>
      <c r="G98" s="80"/>
      <c r="H98" s="87" t="str">
        <f t="shared" si="5"/>
        <v>-</v>
      </c>
      <c r="I98" s="87"/>
      <c r="J98" s="87" t="str">
        <f t="shared" si="4"/>
        <v>-</v>
      </c>
    </row>
    <row r="99" spans="1:10" ht="27" customHeight="1" x14ac:dyDescent="0.2">
      <c r="A99" s="80"/>
      <c r="B99" s="292"/>
      <c r="C99" s="296"/>
      <c r="D99" s="300"/>
      <c r="E99" s="301"/>
      <c r="F99" s="302"/>
      <c r="G99" s="80"/>
      <c r="H99" s="87" t="str">
        <f t="shared" si="5"/>
        <v>-</v>
      </c>
      <c r="I99" s="87"/>
      <c r="J99" s="87" t="str">
        <f t="shared" si="4"/>
        <v>-</v>
      </c>
    </row>
    <row r="100" spans="1:10" ht="27" customHeight="1" x14ac:dyDescent="0.2">
      <c r="A100" s="80"/>
      <c r="B100" s="292"/>
      <c r="C100" s="296"/>
      <c r="D100" s="300"/>
      <c r="E100" s="301"/>
      <c r="F100" s="302"/>
      <c r="G100" s="80"/>
      <c r="H100" s="87" t="str">
        <f t="shared" si="5"/>
        <v>-</v>
      </c>
      <c r="I100" s="87"/>
      <c r="J100" s="87" t="str">
        <f t="shared" si="4"/>
        <v>-</v>
      </c>
    </row>
    <row r="101" spans="1:10" ht="27" customHeight="1" x14ac:dyDescent="0.2">
      <c r="A101" s="80"/>
      <c r="B101" s="292"/>
      <c r="C101" s="296"/>
      <c r="D101" s="300"/>
      <c r="E101" s="301"/>
      <c r="F101" s="302"/>
      <c r="G101" s="80"/>
      <c r="H101" s="87" t="str">
        <f t="shared" si="5"/>
        <v>-</v>
      </c>
      <c r="I101" s="87"/>
      <c r="J101" s="87" t="str">
        <f t="shared" si="4"/>
        <v>-</v>
      </c>
    </row>
    <row r="102" spans="1:10" ht="27" customHeight="1" x14ac:dyDescent="0.2">
      <c r="A102" s="80"/>
      <c r="B102" s="292"/>
      <c r="C102" s="296"/>
      <c r="D102" s="300"/>
      <c r="E102" s="301"/>
      <c r="F102" s="302"/>
      <c r="G102" s="80"/>
      <c r="H102" s="87" t="str">
        <f t="shared" si="5"/>
        <v>-</v>
      </c>
      <c r="I102" s="87"/>
      <c r="J102" s="87" t="str">
        <f t="shared" si="4"/>
        <v>-</v>
      </c>
    </row>
    <row r="103" spans="1:10" ht="27" customHeight="1" x14ac:dyDescent="0.2">
      <c r="A103" s="80"/>
      <c r="B103" s="292"/>
      <c r="C103" s="296"/>
      <c r="D103" s="300"/>
      <c r="E103" s="301"/>
      <c r="F103" s="302"/>
      <c r="G103" s="80"/>
      <c r="H103" s="87" t="str">
        <f t="shared" si="5"/>
        <v>-</v>
      </c>
      <c r="I103" s="87"/>
      <c r="J103" s="87" t="str">
        <f t="shared" si="4"/>
        <v>-</v>
      </c>
    </row>
    <row r="104" spans="1:10" ht="27" customHeight="1" x14ac:dyDescent="0.2">
      <c r="A104" s="80"/>
      <c r="B104" s="292"/>
      <c r="C104" s="296"/>
      <c r="D104" s="300"/>
      <c r="E104" s="301"/>
      <c r="F104" s="302"/>
      <c r="G104" s="80"/>
      <c r="H104" s="87" t="str">
        <f t="shared" si="5"/>
        <v>-</v>
      </c>
      <c r="I104" s="87"/>
      <c r="J104" s="87" t="str">
        <f t="shared" si="4"/>
        <v>-</v>
      </c>
    </row>
    <row r="105" spans="1:10" ht="27" customHeight="1" x14ac:dyDescent="0.2">
      <c r="A105" s="80"/>
      <c r="B105" s="292"/>
      <c r="C105" s="296"/>
      <c r="D105" s="300"/>
      <c r="E105" s="301"/>
      <c r="F105" s="302"/>
      <c r="G105" s="80"/>
      <c r="H105" s="87" t="str">
        <f t="shared" si="5"/>
        <v>-</v>
      </c>
      <c r="I105" s="87"/>
      <c r="J105" s="87" t="str">
        <f t="shared" si="4"/>
        <v>-</v>
      </c>
    </row>
    <row r="106" spans="1:10" ht="27" customHeight="1" x14ac:dyDescent="0.2">
      <c r="A106" s="80"/>
      <c r="B106" s="292"/>
      <c r="C106" s="296"/>
      <c r="D106" s="300"/>
      <c r="E106" s="301"/>
      <c r="F106" s="302"/>
      <c r="G106" s="80"/>
      <c r="H106" s="87" t="str">
        <f t="shared" si="5"/>
        <v>-</v>
      </c>
      <c r="I106" s="87"/>
      <c r="J106" s="87" t="str">
        <f t="shared" si="4"/>
        <v>-</v>
      </c>
    </row>
    <row r="107" spans="1:10" ht="27" customHeight="1" x14ac:dyDescent="0.2">
      <c r="A107" s="80"/>
      <c r="B107" s="292"/>
      <c r="C107" s="296"/>
      <c r="D107" s="300"/>
      <c r="E107" s="301"/>
      <c r="F107" s="302"/>
      <c r="G107" s="80"/>
      <c r="H107" s="87" t="str">
        <f t="shared" si="5"/>
        <v>-</v>
      </c>
      <c r="I107" s="87"/>
      <c r="J107" s="87" t="str">
        <f t="shared" si="4"/>
        <v>-</v>
      </c>
    </row>
    <row r="108" spans="1:10" ht="27" customHeight="1" x14ac:dyDescent="0.2">
      <c r="A108" s="80"/>
      <c r="B108" s="292"/>
      <c r="C108" s="296"/>
      <c r="D108" s="300"/>
      <c r="E108" s="301"/>
      <c r="F108" s="302"/>
      <c r="G108" s="80"/>
      <c r="H108" s="87" t="str">
        <f t="shared" si="5"/>
        <v>-</v>
      </c>
      <c r="I108" s="87"/>
      <c r="J108" s="87" t="str">
        <f t="shared" si="4"/>
        <v>-</v>
      </c>
    </row>
    <row r="109" spans="1:10" ht="27" customHeight="1" x14ac:dyDescent="0.2">
      <c r="A109" s="80"/>
      <c r="B109" s="292"/>
      <c r="C109" s="296"/>
      <c r="D109" s="300"/>
      <c r="E109" s="301"/>
      <c r="F109" s="302"/>
      <c r="G109" s="80"/>
      <c r="H109" s="87" t="str">
        <f t="shared" si="5"/>
        <v>-</v>
      </c>
      <c r="I109" s="87"/>
      <c r="J109" s="87" t="str">
        <f t="shared" si="4"/>
        <v>-</v>
      </c>
    </row>
    <row r="110" spans="1:10" ht="27" customHeight="1" x14ac:dyDescent="0.2">
      <c r="A110" s="80"/>
      <c r="B110" s="292"/>
      <c r="C110" s="296"/>
      <c r="D110" s="300"/>
      <c r="E110" s="301"/>
      <c r="F110" s="302"/>
      <c r="G110" s="80"/>
      <c r="H110" s="87" t="str">
        <f t="shared" si="5"/>
        <v>-</v>
      </c>
      <c r="I110" s="87"/>
      <c r="J110" s="87" t="str">
        <f t="shared" si="4"/>
        <v>-</v>
      </c>
    </row>
    <row r="111" spans="1:10" ht="27" customHeight="1" x14ac:dyDescent="0.2">
      <c r="A111" s="80"/>
      <c r="B111" s="292"/>
      <c r="C111" s="296"/>
      <c r="D111" s="300"/>
      <c r="E111" s="301"/>
      <c r="F111" s="302"/>
      <c r="G111" s="80"/>
      <c r="H111" s="87" t="str">
        <f t="shared" si="5"/>
        <v>-</v>
      </c>
      <c r="I111" s="87"/>
      <c r="J111" s="87" t="str">
        <f t="shared" si="4"/>
        <v>-</v>
      </c>
    </row>
    <row r="112" spans="1:10" ht="27" customHeight="1" x14ac:dyDescent="0.2">
      <c r="A112" s="80"/>
      <c r="B112" s="292"/>
      <c r="C112" s="296"/>
      <c r="D112" s="300"/>
      <c r="E112" s="301"/>
      <c r="F112" s="302"/>
      <c r="G112" s="80"/>
      <c r="H112" s="87" t="str">
        <f t="shared" si="5"/>
        <v>-</v>
      </c>
      <c r="I112" s="87"/>
      <c r="J112" s="87" t="str">
        <f t="shared" si="4"/>
        <v>-</v>
      </c>
    </row>
    <row r="113" spans="1:10" ht="27" customHeight="1" x14ac:dyDescent="0.2">
      <c r="A113" s="80"/>
      <c r="B113" s="292"/>
      <c r="C113" s="296"/>
      <c r="D113" s="300"/>
      <c r="E113" s="301"/>
      <c r="F113" s="302"/>
      <c r="G113" s="80"/>
      <c r="H113" s="87" t="str">
        <f t="shared" si="5"/>
        <v>-</v>
      </c>
      <c r="I113" s="87"/>
      <c r="J113" s="87" t="str">
        <f t="shared" si="4"/>
        <v>-</v>
      </c>
    </row>
    <row r="114" spans="1:10" ht="27" customHeight="1" x14ac:dyDescent="0.2">
      <c r="A114" s="80"/>
      <c r="B114" s="292"/>
      <c r="C114" s="296"/>
      <c r="D114" s="300"/>
      <c r="E114" s="301"/>
      <c r="F114" s="302"/>
      <c r="G114" s="80"/>
      <c r="H114" s="87" t="str">
        <f t="shared" si="5"/>
        <v>-</v>
      </c>
      <c r="I114" s="87"/>
      <c r="J114" s="87" t="str">
        <f t="shared" si="4"/>
        <v>-</v>
      </c>
    </row>
    <row r="115" spans="1:10" ht="27" customHeight="1" x14ac:dyDescent="0.2">
      <c r="A115" s="80"/>
      <c r="B115" s="292"/>
      <c r="C115" s="296"/>
      <c r="D115" s="300"/>
      <c r="E115" s="301"/>
      <c r="F115" s="302"/>
      <c r="G115" s="80"/>
      <c r="H115" s="87" t="str">
        <f t="shared" si="5"/>
        <v>-</v>
      </c>
      <c r="I115" s="87"/>
      <c r="J115" s="87" t="str">
        <f t="shared" si="4"/>
        <v>-</v>
      </c>
    </row>
    <row r="116" spans="1:10" ht="27" customHeight="1" x14ac:dyDescent="0.2">
      <c r="A116" s="80"/>
      <c r="B116" s="292"/>
      <c r="C116" s="296"/>
      <c r="D116" s="300"/>
      <c r="E116" s="301"/>
      <c r="F116" s="302"/>
      <c r="G116" s="80"/>
      <c r="H116" s="87" t="str">
        <f t="shared" si="5"/>
        <v>-</v>
      </c>
      <c r="I116" s="87"/>
      <c r="J116" s="87" t="str">
        <f t="shared" si="4"/>
        <v>-</v>
      </c>
    </row>
    <row r="117" spans="1:10" ht="27" customHeight="1" x14ac:dyDescent="0.2">
      <c r="A117" s="80"/>
      <c r="B117" s="292"/>
      <c r="C117" s="296"/>
      <c r="D117" s="300"/>
      <c r="E117" s="301"/>
      <c r="F117" s="302"/>
      <c r="G117" s="80"/>
      <c r="H117" s="87" t="str">
        <f t="shared" si="5"/>
        <v>-</v>
      </c>
      <c r="I117" s="87"/>
      <c r="J117" s="87" t="str">
        <f t="shared" si="4"/>
        <v>-</v>
      </c>
    </row>
    <row r="118" spans="1:10" ht="27" customHeight="1" x14ac:dyDescent="0.2">
      <c r="A118" s="80"/>
      <c r="B118" s="292"/>
      <c r="C118" s="296"/>
      <c r="D118" s="300"/>
      <c r="E118" s="301"/>
      <c r="F118" s="302"/>
      <c r="G118" s="80"/>
      <c r="H118" s="87" t="str">
        <f t="shared" si="5"/>
        <v>-</v>
      </c>
      <c r="I118" s="87"/>
      <c r="J118" s="87" t="str">
        <f t="shared" si="4"/>
        <v>-</v>
      </c>
    </row>
    <row r="119" spans="1:10" ht="27" customHeight="1" x14ac:dyDescent="0.2">
      <c r="A119" s="80"/>
      <c r="B119" s="292"/>
      <c r="C119" s="296"/>
      <c r="D119" s="300"/>
      <c r="E119" s="301"/>
      <c r="F119" s="302"/>
      <c r="G119" s="80"/>
      <c r="H119" s="87" t="str">
        <f t="shared" si="5"/>
        <v>-</v>
      </c>
      <c r="I119" s="87"/>
      <c r="J119" s="87" t="str">
        <f t="shared" si="4"/>
        <v>-</v>
      </c>
    </row>
    <row r="120" spans="1:10" ht="27" customHeight="1" x14ac:dyDescent="0.2">
      <c r="A120" s="80"/>
      <c r="B120" s="292"/>
      <c r="C120" s="296"/>
      <c r="D120" s="300"/>
      <c r="E120" s="301"/>
      <c r="F120" s="302"/>
      <c r="G120" s="80"/>
      <c r="H120" s="87" t="str">
        <f t="shared" si="5"/>
        <v>-</v>
      </c>
      <c r="I120" s="87"/>
      <c r="J120" s="87" t="str">
        <f t="shared" si="4"/>
        <v>-</v>
      </c>
    </row>
    <row r="121" spans="1:10" ht="27" customHeight="1" x14ac:dyDescent="0.2">
      <c r="A121" s="80"/>
      <c r="B121" s="292"/>
      <c r="C121" s="296"/>
      <c r="D121" s="300"/>
      <c r="E121" s="301"/>
      <c r="F121" s="302"/>
      <c r="G121" s="80"/>
      <c r="H121" s="87" t="str">
        <f t="shared" si="5"/>
        <v>-</v>
      </c>
      <c r="I121" s="87"/>
      <c r="J121" s="87" t="str">
        <f t="shared" si="4"/>
        <v>-</v>
      </c>
    </row>
    <row r="122" spans="1:10" ht="27" customHeight="1" x14ac:dyDescent="0.2">
      <c r="A122" s="80"/>
      <c r="B122" s="292"/>
      <c r="C122" s="296"/>
      <c r="D122" s="300"/>
      <c r="E122" s="301"/>
      <c r="F122" s="302"/>
      <c r="G122" s="80"/>
      <c r="H122" s="87" t="str">
        <f t="shared" si="5"/>
        <v>-</v>
      </c>
      <c r="I122" s="87"/>
      <c r="J122" s="87" t="str">
        <f t="shared" si="4"/>
        <v>-</v>
      </c>
    </row>
    <row r="123" spans="1:10" ht="27" customHeight="1" x14ac:dyDescent="0.2">
      <c r="A123" s="80"/>
      <c r="B123" s="292"/>
      <c r="C123" s="296"/>
      <c r="D123" s="300"/>
      <c r="E123" s="301"/>
      <c r="F123" s="302"/>
      <c r="G123" s="80"/>
      <c r="H123" s="87" t="str">
        <f t="shared" si="5"/>
        <v>-</v>
      </c>
      <c r="I123" s="87"/>
      <c r="J123" s="87" t="str">
        <f t="shared" si="4"/>
        <v>-</v>
      </c>
    </row>
    <row r="124" spans="1:10" ht="27" customHeight="1" x14ac:dyDescent="0.2">
      <c r="A124" s="80"/>
      <c r="B124" s="292"/>
      <c r="C124" s="296"/>
      <c r="D124" s="300"/>
      <c r="E124" s="301"/>
      <c r="F124" s="302"/>
      <c r="G124" s="80"/>
      <c r="H124" s="87" t="str">
        <f t="shared" si="5"/>
        <v>-</v>
      </c>
      <c r="I124" s="87"/>
      <c r="J124" s="87" t="str">
        <f t="shared" si="4"/>
        <v>-</v>
      </c>
    </row>
    <row r="125" spans="1:10" ht="98.25" customHeight="1" x14ac:dyDescent="0.2">
      <c r="A125" s="80"/>
      <c r="B125" s="80"/>
      <c r="C125" s="80"/>
      <c r="D125" s="80"/>
      <c r="E125" s="80"/>
      <c r="F125" s="80"/>
      <c r="G125" s="80"/>
    </row>
  </sheetData>
  <sheetProtection algorithmName="SHA-512" hashValue="MjOTaY5TQsCzmzDj7S2aBC2uuL2r0Y9kfYoLl1HK9suM3pacGF63kortoybGpowyfk85r9I7htaQhUsNE7XPfw==" saltValue="iawR9eE2ewzVU8DBaf0YNw==" spinCount="100000" sheet="1" objects="1" scenarios="1"/>
  <mergeCells count="3">
    <mergeCell ref="B1:B4"/>
    <mergeCell ref="E1:F1"/>
    <mergeCell ref="C1:D1"/>
  </mergeCells>
  <conditionalFormatting sqref="C5">
    <cfRule type="containsText" dxfId="120" priority="7" stopIfTrue="1" operator="containsText" text="Centro de Custo">
      <formula>NOT(ISERROR(SEARCH("Centro de Custo",C5)))</formula>
    </cfRule>
  </conditionalFormatting>
  <conditionalFormatting sqref="D5">
    <cfRule type="containsText" dxfId="119" priority="6" stopIfTrue="1" operator="containsText" text="Item Produção">
      <formula>NOT(ISERROR(SEARCH("Item Produção",D5)))</formula>
    </cfRule>
  </conditionalFormatting>
  <conditionalFormatting sqref="E5">
    <cfRule type="containsText" dxfId="118" priority="5" stopIfTrue="1" operator="containsText" text="Quantidade">
      <formula>NOT(ISERROR(SEARCH("Quantidade",E5)))</formula>
    </cfRule>
  </conditionalFormatting>
  <conditionalFormatting sqref="F5">
    <cfRule type="containsText" dxfId="117" priority="4" stopIfTrue="1" operator="containsText" text="Valor Médio Unitário">
      <formula>NOT(ISERROR(SEARCH("Valor Médio Unitário",F5)))</formula>
    </cfRule>
  </conditionalFormatting>
  <conditionalFormatting sqref="C6:F124">
    <cfRule type="expression" dxfId="116" priority="1" stopIfTrue="1">
      <formula>AND($C6&lt;&gt; "Administrativo", $C6&lt;&gt; "Intermediário", $C6 &lt;&gt; "Externo", $C6 &lt;&gt; "Final", ISTEXT($C6))</formula>
    </cfRule>
    <cfRule type="expression" dxfId="115" priority="2" stopIfTrue="1">
      <formula>OR($C6= "Administrativo", $C6 = "Intermediário", $C6 = "Externo", $C6 = "Final")</formula>
    </cfRule>
    <cfRule type="expression" dxfId="114" priority="3" stopIfTrue="1">
      <formula>ISNUMBER($C6)</formula>
    </cfRule>
  </conditionalFormatting>
  <printOptions horizontalCentered="1"/>
  <pageMargins left="0.39370078740157483" right="0.39370078740157483" top="0.39370078740157483" bottom="0.39370078740157483" header="0.39370078740157483" footer="0.39370078740157483"/>
  <pageSetup paperSize="9" scale="60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FFCC"/>
  </sheetPr>
  <dimension ref="A1:E243"/>
  <sheetViews>
    <sheetView showRowColHeaders="0" zoomScale="91" zoomScaleNormal="91" zoomScaleSheetLayoutView="16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3" sqref="B3"/>
    </sheetView>
  </sheetViews>
  <sheetFormatPr defaultRowHeight="15" x14ac:dyDescent="0.2"/>
  <cols>
    <col min="1" max="1" width="20.77734375" style="309" customWidth="1"/>
    <col min="2" max="2" width="63.44140625" style="309" customWidth="1"/>
    <col min="3" max="3" width="26.44140625" style="309" customWidth="1"/>
    <col min="4" max="4" width="14.21875" style="309" bestFit="1" customWidth="1"/>
    <col min="5" max="5" width="34.77734375" style="309" customWidth="1"/>
    <col min="6" max="16384" width="8.88671875" style="309"/>
  </cols>
  <sheetData>
    <row r="1" spans="1:5" ht="42" customHeight="1" x14ac:dyDescent="0.2">
      <c r="A1" s="379"/>
      <c r="B1" s="424" t="str">
        <f xml:space="preserve"> CONCATENATE( "CMU dos Itens de Produção:  ", 'CUSTO  TOTAL - QUADRIM.'!$E$1, "  ")</f>
        <v xml:space="preserve">CMU dos Itens de Produção:  1º  QUAD./2025  </v>
      </c>
      <c r="C1" s="424"/>
      <c r="D1" s="424"/>
      <c r="E1" s="379"/>
    </row>
    <row r="2" spans="1:5" ht="27" customHeight="1" thickBot="1" x14ac:dyDescent="0.25">
      <c r="A2" s="379"/>
      <c r="B2" s="358" t="s">
        <v>143</v>
      </c>
      <c r="C2" s="324" t="s">
        <v>144</v>
      </c>
      <c r="D2" s="359" t="s">
        <v>189</v>
      </c>
      <c r="E2" s="379"/>
    </row>
    <row r="3" spans="1:5" ht="27" customHeight="1" thickTop="1" x14ac:dyDescent="0.2">
      <c r="A3" s="379"/>
      <c r="B3" s="316" t="s">
        <v>254</v>
      </c>
      <c r="C3" s="360" t="s">
        <v>255</v>
      </c>
      <c r="D3" s="317">
        <v>407.17</v>
      </c>
      <c r="E3" s="379"/>
    </row>
    <row r="4" spans="1:5" ht="27" customHeight="1" x14ac:dyDescent="0.2">
      <c r="A4" s="379"/>
      <c r="B4" s="316" t="s">
        <v>256</v>
      </c>
      <c r="C4" s="360" t="s">
        <v>257</v>
      </c>
      <c r="D4" s="317">
        <v>6.2</v>
      </c>
      <c r="E4" s="379"/>
    </row>
    <row r="5" spans="1:5" ht="27" customHeight="1" x14ac:dyDescent="0.2">
      <c r="A5" s="379"/>
      <c r="B5" s="316" t="s">
        <v>258</v>
      </c>
      <c r="C5" s="360" t="s">
        <v>255</v>
      </c>
      <c r="D5" s="317">
        <v>239.05500000000001</v>
      </c>
      <c r="E5" s="379"/>
    </row>
    <row r="6" spans="1:5" ht="27" customHeight="1" x14ac:dyDescent="0.2">
      <c r="A6" s="379"/>
      <c r="B6" s="316" t="s">
        <v>259</v>
      </c>
      <c r="C6" s="360" t="s">
        <v>255</v>
      </c>
      <c r="D6" s="317">
        <v>309.86500000000001</v>
      </c>
      <c r="E6" s="379"/>
    </row>
    <row r="7" spans="1:5" ht="27" customHeight="1" x14ac:dyDescent="0.2">
      <c r="A7" s="379"/>
      <c r="B7" s="316" t="s">
        <v>260</v>
      </c>
      <c r="C7" s="360" t="s">
        <v>255</v>
      </c>
      <c r="D7" s="317">
        <v>318.02</v>
      </c>
      <c r="E7" s="379"/>
    </row>
    <row r="8" spans="1:5" ht="27" customHeight="1" x14ac:dyDescent="0.2">
      <c r="A8" s="379"/>
      <c r="B8" s="316" t="s">
        <v>261</v>
      </c>
      <c r="C8" s="360" t="s">
        <v>255</v>
      </c>
      <c r="D8" s="317">
        <v>894.21</v>
      </c>
      <c r="E8" s="379"/>
    </row>
    <row r="9" spans="1:5" ht="27" customHeight="1" x14ac:dyDescent="0.2">
      <c r="A9" s="379"/>
      <c r="B9" s="316" t="s">
        <v>262</v>
      </c>
      <c r="C9" s="360" t="s">
        <v>255</v>
      </c>
      <c r="D9" s="317">
        <v>305.26499999999999</v>
      </c>
      <c r="E9" s="379"/>
    </row>
    <row r="10" spans="1:5" ht="27" customHeight="1" x14ac:dyDescent="0.2">
      <c r="A10" s="379"/>
      <c r="B10" s="316" t="s">
        <v>263</v>
      </c>
      <c r="C10" s="360" t="s">
        <v>255</v>
      </c>
      <c r="D10" s="317">
        <v>316.83</v>
      </c>
      <c r="E10" s="379"/>
    </row>
    <row r="11" spans="1:5" ht="27" customHeight="1" x14ac:dyDescent="0.2">
      <c r="A11" s="379"/>
      <c r="B11" s="316" t="s">
        <v>264</v>
      </c>
      <c r="C11" s="360" t="s">
        <v>255</v>
      </c>
      <c r="D11" s="317">
        <v>303.41000000000003</v>
      </c>
      <c r="E11" s="379"/>
    </row>
    <row r="12" spans="1:5" ht="27" customHeight="1" x14ac:dyDescent="0.2">
      <c r="A12" s="379"/>
      <c r="B12" s="316" t="s">
        <v>265</v>
      </c>
      <c r="C12" s="360" t="s">
        <v>255</v>
      </c>
      <c r="D12" s="317">
        <v>422.27</v>
      </c>
      <c r="E12" s="379"/>
    </row>
    <row r="13" spans="1:5" ht="27" customHeight="1" x14ac:dyDescent="0.2">
      <c r="A13" s="379"/>
      <c r="B13" s="316" t="s">
        <v>266</v>
      </c>
      <c r="C13" s="360" t="s">
        <v>255</v>
      </c>
      <c r="D13" s="317">
        <v>277.94</v>
      </c>
      <c r="E13" s="379"/>
    </row>
    <row r="14" spans="1:5" ht="27" customHeight="1" x14ac:dyDescent="0.2">
      <c r="A14" s="379"/>
      <c r="B14" s="316" t="s">
        <v>267</v>
      </c>
      <c r="C14" s="360" t="s">
        <v>255</v>
      </c>
      <c r="D14" s="317">
        <v>389.89</v>
      </c>
      <c r="E14" s="379"/>
    </row>
    <row r="15" spans="1:5" ht="27" customHeight="1" x14ac:dyDescent="0.2">
      <c r="A15" s="379"/>
      <c r="B15" s="316" t="s">
        <v>268</v>
      </c>
      <c r="C15" s="360" t="s">
        <v>255</v>
      </c>
      <c r="D15" s="317">
        <v>300.31</v>
      </c>
      <c r="E15" s="379"/>
    </row>
    <row r="16" spans="1:5" ht="27" customHeight="1" x14ac:dyDescent="0.2">
      <c r="A16" s="379"/>
      <c r="B16" s="316" t="s">
        <v>269</v>
      </c>
      <c r="C16" s="360" t="s">
        <v>255</v>
      </c>
      <c r="D16" s="317">
        <v>560.71</v>
      </c>
      <c r="E16" s="379"/>
    </row>
    <row r="17" spans="1:5" ht="27" customHeight="1" x14ac:dyDescent="0.2">
      <c r="A17" s="379"/>
      <c r="B17" s="316" t="s">
        <v>270</v>
      </c>
      <c r="C17" s="360" t="s">
        <v>255</v>
      </c>
      <c r="D17" s="317">
        <v>526.78</v>
      </c>
      <c r="E17" s="379"/>
    </row>
    <row r="18" spans="1:5" ht="27" customHeight="1" x14ac:dyDescent="0.2">
      <c r="A18" s="379"/>
      <c r="B18" s="316" t="s">
        <v>271</v>
      </c>
      <c r="C18" s="360" t="s">
        <v>255</v>
      </c>
      <c r="D18" s="317">
        <v>590.54999999999995</v>
      </c>
      <c r="E18" s="379"/>
    </row>
    <row r="19" spans="1:5" ht="27" customHeight="1" x14ac:dyDescent="0.2">
      <c r="A19" s="379"/>
      <c r="B19" s="316" t="s">
        <v>272</v>
      </c>
      <c r="C19" s="360" t="s">
        <v>255</v>
      </c>
      <c r="D19" s="317">
        <v>207.685</v>
      </c>
      <c r="E19" s="379"/>
    </row>
    <row r="20" spans="1:5" ht="27" customHeight="1" x14ac:dyDescent="0.2">
      <c r="A20" s="379"/>
      <c r="B20" s="316" t="s">
        <v>273</v>
      </c>
      <c r="C20" s="360" t="s">
        <v>255</v>
      </c>
      <c r="D20" s="317">
        <v>223.56</v>
      </c>
      <c r="E20" s="379"/>
    </row>
    <row r="21" spans="1:5" ht="27" customHeight="1" x14ac:dyDescent="0.2">
      <c r="A21" s="379"/>
      <c r="B21" s="316" t="s">
        <v>274</v>
      </c>
      <c r="C21" s="360" t="s">
        <v>255</v>
      </c>
      <c r="D21" s="317">
        <v>129.01</v>
      </c>
      <c r="E21" s="379"/>
    </row>
    <row r="22" spans="1:5" ht="27" customHeight="1" x14ac:dyDescent="0.2">
      <c r="A22" s="379"/>
      <c r="B22" s="316" t="s">
        <v>275</v>
      </c>
      <c r="C22" s="360" t="s">
        <v>255</v>
      </c>
      <c r="D22" s="317">
        <v>470.21</v>
      </c>
      <c r="E22" s="379"/>
    </row>
    <row r="23" spans="1:5" ht="27" customHeight="1" x14ac:dyDescent="0.2">
      <c r="A23" s="379"/>
      <c r="B23" s="316" t="s">
        <v>276</v>
      </c>
      <c r="C23" s="360" t="s">
        <v>255</v>
      </c>
      <c r="D23" s="317">
        <v>752.37</v>
      </c>
      <c r="E23" s="379"/>
    </row>
    <row r="24" spans="1:5" ht="27" customHeight="1" x14ac:dyDescent="0.2">
      <c r="A24" s="379"/>
      <c r="B24" s="316" t="s">
        <v>277</v>
      </c>
      <c r="C24" s="360" t="s">
        <v>255</v>
      </c>
      <c r="D24" s="317">
        <v>605.83999999999992</v>
      </c>
      <c r="E24" s="379"/>
    </row>
    <row r="25" spans="1:5" ht="27" customHeight="1" x14ac:dyDescent="0.2">
      <c r="A25" s="379"/>
      <c r="B25" s="316" t="s">
        <v>278</v>
      </c>
      <c r="C25" s="360" t="s">
        <v>255</v>
      </c>
      <c r="D25" s="317">
        <v>391.27499999999998</v>
      </c>
      <c r="E25" s="379"/>
    </row>
    <row r="26" spans="1:5" ht="27" customHeight="1" x14ac:dyDescent="0.2">
      <c r="A26" s="379"/>
      <c r="B26" s="316" t="s">
        <v>279</v>
      </c>
      <c r="C26" s="360" t="s">
        <v>255</v>
      </c>
      <c r="D26" s="317">
        <v>543.13</v>
      </c>
      <c r="E26" s="379"/>
    </row>
    <row r="27" spans="1:5" ht="27" customHeight="1" x14ac:dyDescent="0.2">
      <c r="A27" s="379"/>
      <c r="B27" s="316" t="s">
        <v>280</v>
      </c>
      <c r="C27" s="360" t="s">
        <v>255</v>
      </c>
      <c r="D27" s="317">
        <v>382.35</v>
      </c>
      <c r="E27" s="379"/>
    </row>
    <row r="28" spans="1:5" ht="27" customHeight="1" x14ac:dyDescent="0.2">
      <c r="A28" s="379"/>
      <c r="B28" s="316" t="s">
        <v>281</v>
      </c>
      <c r="C28" s="360" t="s">
        <v>255</v>
      </c>
      <c r="D28" s="317">
        <v>334.88499999999999</v>
      </c>
      <c r="E28" s="379"/>
    </row>
    <row r="29" spans="1:5" ht="27" customHeight="1" x14ac:dyDescent="0.2">
      <c r="A29" s="379"/>
      <c r="B29" s="316" t="s">
        <v>282</v>
      </c>
      <c r="C29" s="360" t="s">
        <v>255</v>
      </c>
      <c r="D29" s="317">
        <v>544.88499999999999</v>
      </c>
      <c r="E29" s="379"/>
    </row>
    <row r="30" spans="1:5" ht="27" customHeight="1" x14ac:dyDescent="0.2">
      <c r="A30" s="379"/>
      <c r="B30" s="316" t="s">
        <v>283</v>
      </c>
      <c r="C30" s="360" t="s">
        <v>255</v>
      </c>
      <c r="D30" s="317">
        <v>429.17</v>
      </c>
      <c r="E30" s="379"/>
    </row>
    <row r="31" spans="1:5" ht="27" customHeight="1" x14ac:dyDescent="0.2">
      <c r="A31" s="379"/>
      <c r="B31" s="316" t="s">
        <v>284</v>
      </c>
      <c r="C31" s="360" t="s">
        <v>255</v>
      </c>
      <c r="D31" s="317">
        <v>478.04</v>
      </c>
      <c r="E31" s="379"/>
    </row>
    <row r="32" spans="1:5" ht="27" customHeight="1" x14ac:dyDescent="0.2">
      <c r="A32" s="379"/>
      <c r="B32" s="316" t="s">
        <v>285</v>
      </c>
      <c r="C32" s="360" t="s">
        <v>255</v>
      </c>
      <c r="D32" s="317">
        <v>324.26499999999999</v>
      </c>
      <c r="E32" s="379"/>
    </row>
    <row r="33" spans="1:5" ht="27" customHeight="1" x14ac:dyDescent="0.2">
      <c r="A33" s="379"/>
      <c r="B33" s="316" t="s">
        <v>286</v>
      </c>
      <c r="C33" s="360" t="s">
        <v>255</v>
      </c>
      <c r="D33" s="317">
        <v>392.53</v>
      </c>
      <c r="E33" s="379"/>
    </row>
    <row r="34" spans="1:5" ht="27" customHeight="1" x14ac:dyDescent="0.2">
      <c r="A34" s="379"/>
      <c r="B34" s="316" t="s">
        <v>287</v>
      </c>
      <c r="C34" s="360" t="s">
        <v>255</v>
      </c>
      <c r="D34" s="317">
        <v>285.15999999999997</v>
      </c>
      <c r="E34" s="379"/>
    </row>
    <row r="35" spans="1:5" ht="27" customHeight="1" x14ac:dyDescent="0.2">
      <c r="A35" s="379"/>
      <c r="B35" s="316" t="s">
        <v>288</v>
      </c>
      <c r="C35" s="360" t="s">
        <v>255</v>
      </c>
      <c r="D35" s="317">
        <v>237.245</v>
      </c>
      <c r="E35" s="379"/>
    </row>
    <row r="36" spans="1:5" ht="27" customHeight="1" x14ac:dyDescent="0.2">
      <c r="A36" s="379"/>
      <c r="B36" s="316" t="s">
        <v>289</v>
      </c>
      <c r="C36" s="360" t="s">
        <v>290</v>
      </c>
      <c r="D36" s="317">
        <v>89461.7</v>
      </c>
      <c r="E36" s="379"/>
    </row>
    <row r="37" spans="1:5" ht="27" customHeight="1" x14ac:dyDescent="0.2">
      <c r="A37" s="379"/>
      <c r="B37" s="316" t="s">
        <v>291</v>
      </c>
      <c r="C37" s="360" t="s">
        <v>255</v>
      </c>
      <c r="D37" s="317">
        <v>391.72</v>
      </c>
      <c r="E37" s="379"/>
    </row>
    <row r="38" spans="1:5" ht="27" customHeight="1" x14ac:dyDescent="0.2">
      <c r="A38" s="379"/>
      <c r="B38" s="316" t="s">
        <v>292</v>
      </c>
      <c r="C38" s="360" t="s">
        <v>255</v>
      </c>
      <c r="D38" s="317">
        <v>278.09500000000003</v>
      </c>
      <c r="E38" s="379"/>
    </row>
    <row r="39" spans="1:5" ht="27" customHeight="1" x14ac:dyDescent="0.2">
      <c r="A39" s="379"/>
      <c r="B39" s="316" t="s">
        <v>293</v>
      </c>
      <c r="C39" s="360" t="s">
        <v>255</v>
      </c>
      <c r="D39" s="317">
        <v>502.81</v>
      </c>
      <c r="E39" s="379"/>
    </row>
    <row r="40" spans="1:5" ht="27" customHeight="1" x14ac:dyDescent="0.2">
      <c r="A40" s="379"/>
      <c r="B40" s="316" t="s">
        <v>294</v>
      </c>
      <c r="C40" s="360" t="s">
        <v>255</v>
      </c>
      <c r="D40" s="317">
        <v>423.35</v>
      </c>
      <c r="E40" s="379"/>
    </row>
    <row r="41" spans="1:5" ht="27" customHeight="1" x14ac:dyDescent="0.2">
      <c r="A41" s="379"/>
      <c r="B41" s="316" t="s">
        <v>295</v>
      </c>
      <c r="C41" s="360" t="s">
        <v>255</v>
      </c>
      <c r="D41" s="317">
        <v>405.61</v>
      </c>
      <c r="E41" s="379"/>
    </row>
    <row r="42" spans="1:5" ht="27" customHeight="1" x14ac:dyDescent="0.2">
      <c r="A42" s="379"/>
      <c r="B42" s="316" t="s">
        <v>296</v>
      </c>
      <c r="C42" s="360" t="s">
        <v>255</v>
      </c>
      <c r="D42" s="317">
        <v>148.5</v>
      </c>
      <c r="E42" s="379"/>
    </row>
    <row r="43" spans="1:5" ht="27" customHeight="1" x14ac:dyDescent="0.2">
      <c r="A43" s="379"/>
      <c r="B43" s="316" t="s">
        <v>297</v>
      </c>
      <c r="C43" s="360" t="s">
        <v>255</v>
      </c>
      <c r="D43" s="317">
        <v>530.15499999999997</v>
      </c>
      <c r="E43" s="379"/>
    </row>
    <row r="44" spans="1:5" ht="27" customHeight="1" x14ac:dyDescent="0.2">
      <c r="A44" s="379"/>
      <c r="B44" s="316" t="s">
        <v>298</v>
      </c>
      <c r="C44" s="360" t="s">
        <v>255</v>
      </c>
      <c r="D44" s="317">
        <v>433.15</v>
      </c>
      <c r="E44" s="379"/>
    </row>
    <row r="45" spans="1:5" ht="27" customHeight="1" x14ac:dyDescent="0.2">
      <c r="A45" s="379"/>
      <c r="B45" s="316" t="s">
        <v>299</v>
      </c>
      <c r="C45" s="360" t="s">
        <v>255</v>
      </c>
      <c r="D45" s="317">
        <v>321.73</v>
      </c>
      <c r="E45" s="379"/>
    </row>
    <row r="46" spans="1:5" ht="27" customHeight="1" x14ac:dyDescent="0.2">
      <c r="A46" s="379"/>
      <c r="B46" s="316" t="s">
        <v>300</v>
      </c>
      <c r="C46" s="360" t="s">
        <v>255</v>
      </c>
      <c r="D46" s="317">
        <v>336.84</v>
      </c>
      <c r="E46" s="379"/>
    </row>
    <row r="47" spans="1:5" ht="27" customHeight="1" x14ac:dyDescent="0.2">
      <c r="A47" s="379"/>
      <c r="B47" s="316" t="s">
        <v>301</v>
      </c>
      <c r="C47" s="360" t="s">
        <v>255</v>
      </c>
      <c r="D47" s="317">
        <v>420.18</v>
      </c>
      <c r="E47" s="379"/>
    </row>
    <row r="48" spans="1:5" ht="27" customHeight="1" x14ac:dyDescent="0.2">
      <c r="A48" s="379"/>
      <c r="B48" s="316" t="s">
        <v>302</v>
      </c>
      <c r="C48" s="360" t="s">
        <v>255</v>
      </c>
      <c r="D48" s="317">
        <v>402</v>
      </c>
      <c r="E48" s="379"/>
    </row>
    <row r="49" spans="1:5" ht="27" customHeight="1" x14ac:dyDescent="0.2">
      <c r="A49" s="379"/>
      <c r="B49" s="316" t="s">
        <v>303</v>
      </c>
      <c r="C49" s="360" t="s">
        <v>255</v>
      </c>
      <c r="D49" s="317">
        <v>648.53</v>
      </c>
      <c r="E49" s="379"/>
    </row>
    <row r="50" spans="1:5" ht="27" customHeight="1" x14ac:dyDescent="0.2">
      <c r="A50" s="379"/>
      <c r="B50" s="316" t="s">
        <v>304</v>
      </c>
      <c r="C50" s="360" t="s">
        <v>255</v>
      </c>
      <c r="D50" s="317">
        <v>2139.3500000000004</v>
      </c>
      <c r="E50" s="379"/>
    </row>
    <row r="51" spans="1:5" ht="27" customHeight="1" x14ac:dyDescent="0.2">
      <c r="A51" s="379"/>
      <c r="B51" s="316" t="s">
        <v>305</v>
      </c>
      <c r="C51" s="360" t="s">
        <v>255</v>
      </c>
      <c r="D51" s="317">
        <v>226.005</v>
      </c>
      <c r="E51" s="379"/>
    </row>
    <row r="52" spans="1:5" ht="27" customHeight="1" x14ac:dyDescent="0.2">
      <c r="A52" s="379"/>
      <c r="B52" s="316" t="s">
        <v>306</v>
      </c>
      <c r="C52" s="360" t="s">
        <v>307</v>
      </c>
      <c r="D52" s="317">
        <v>437.62</v>
      </c>
      <c r="E52" s="379"/>
    </row>
    <row r="53" spans="1:5" ht="27" customHeight="1" x14ac:dyDescent="0.2">
      <c r="A53" s="379"/>
      <c r="B53" s="316" t="s">
        <v>308</v>
      </c>
      <c r="C53" s="360" t="s">
        <v>307</v>
      </c>
      <c r="D53" s="317">
        <v>141.93</v>
      </c>
      <c r="E53" s="379"/>
    </row>
    <row r="54" spans="1:5" ht="27" customHeight="1" x14ac:dyDescent="0.2">
      <c r="A54" s="379"/>
      <c r="B54" s="316" t="s">
        <v>309</v>
      </c>
      <c r="C54" s="360" t="s">
        <v>307</v>
      </c>
      <c r="D54" s="317">
        <v>245.1</v>
      </c>
      <c r="E54" s="379"/>
    </row>
    <row r="55" spans="1:5" ht="27" customHeight="1" x14ac:dyDescent="0.2">
      <c r="A55" s="379"/>
      <c r="B55" s="316" t="s">
        <v>310</v>
      </c>
      <c r="C55" s="360" t="s">
        <v>257</v>
      </c>
      <c r="D55" s="317">
        <v>3.2350000000000003</v>
      </c>
      <c r="E55" s="379"/>
    </row>
    <row r="56" spans="1:5" ht="27" customHeight="1" x14ac:dyDescent="0.2">
      <c r="A56" s="379"/>
      <c r="B56" s="316" t="s">
        <v>311</v>
      </c>
      <c r="C56" s="360" t="s">
        <v>257</v>
      </c>
      <c r="D56" s="317">
        <v>2.23</v>
      </c>
      <c r="E56" s="379"/>
    </row>
    <row r="57" spans="1:5" ht="27" customHeight="1" x14ac:dyDescent="0.2">
      <c r="A57" s="379"/>
      <c r="B57" s="316" t="s">
        <v>312</v>
      </c>
      <c r="C57" s="360" t="s">
        <v>255</v>
      </c>
      <c r="D57" s="317">
        <v>1677.4299999999998</v>
      </c>
      <c r="E57" s="379"/>
    </row>
    <row r="58" spans="1:5" ht="27" customHeight="1" x14ac:dyDescent="0.2">
      <c r="A58" s="379"/>
      <c r="B58" s="316" t="s">
        <v>313</v>
      </c>
      <c r="C58" s="360" t="s">
        <v>255</v>
      </c>
      <c r="D58" s="317">
        <v>305.5</v>
      </c>
      <c r="E58" s="379"/>
    </row>
    <row r="59" spans="1:5" ht="27" customHeight="1" x14ac:dyDescent="0.2">
      <c r="A59" s="379"/>
      <c r="B59" s="316" t="s">
        <v>314</v>
      </c>
      <c r="C59" s="360" t="s">
        <v>307</v>
      </c>
      <c r="D59" s="317">
        <v>298.16999999999996</v>
      </c>
      <c r="E59" s="379"/>
    </row>
    <row r="60" spans="1:5" ht="27" customHeight="1" x14ac:dyDescent="0.2">
      <c r="A60" s="379"/>
      <c r="B60" s="316" t="s">
        <v>315</v>
      </c>
      <c r="C60" s="360" t="s">
        <v>316</v>
      </c>
      <c r="D60" s="317">
        <v>4151.3900000000003</v>
      </c>
      <c r="E60" s="379"/>
    </row>
    <row r="61" spans="1:5" ht="27" customHeight="1" x14ac:dyDescent="0.2">
      <c r="A61" s="379"/>
      <c r="B61" s="316" t="s">
        <v>317</v>
      </c>
      <c r="C61" s="360" t="s">
        <v>255</v>
      </c>
      <c r="D61" s="317">
        <v>1092.94</v>
      </c>
      <c r="E61" s="379"/>
    </row>
    <row r="62" spans="1:5" ht="27" customHeight="1" x14ac:dyDescent="0.2">
      <c r="A62" s="379"/>
      <c r="B62" s="316" t="s">
        <v>318</v>
      </c>
      <c r="C62" s="360" t="s">
        <v>290</v>
      </c>
      <c r="D62" s="317">
        <v>128.55000000000001</v>
      </c>
      <c r="E62" s="379"/>
    </row>
    <row r="63" spans="1:5" ht="27" customHeight="1" x14ac:dyDescent="0.2">
      <c r="A63" s="379"/>
      <c r="B63" s="316" t="s">
        <v>319</v>
      </c>
      <c r="C63" s="360" t="s">
        <v>255</v>
      </c>
      <c r="D63" s="317">
        <v>3.82</v>
      </c>
      <c r="E63" s="379"/>
    </row>
    <row r="64" spans="1:5" ht="27" customHeight="1" x14ac:dyDescent="0.2">
      <c r="A64" s="379"/>
      <c r="B64" s="316" t="s">
        <v>320</v>
      </c>
      <c r="C64" s="360" t="s">
        <v>290</v>
      </c>
      <c r="D64" s="317">
        <v>14.385</v>
      </c>
      <c r="E64" s="379"/>
    </row>
    <row r="65" spans="1:5" ht="27" customHeight="1" x14ac:dyDescent="0.2">
      <c r="A65" s="379"/>
      <c r="B65" s="316" t="s">
        <v>321</v>
      </c>
      <c r="C65" s="360" t="s">
        <v>322</v>
      </c>
      <c r="D65" s="317">
        <v>190.01</v>
      </c>
      <c r="E65" s="379"/>
    </row>
    <row r="66" spans="1:5" ht="27" customHeight="1" x14ac:dyDescent="0.2">
      <c r="A66" s="379"/>
      <c r="B66" s="316"/>
      <c r="C66" s="360"/>
      <c r="D66" s="317"/>
      <c r="E66" s="379"/>
    </row>
    <row r="67" spans="1:5" ht="27" customHeight="1" x14ac:dyDescent="0.2">
      <c r="A67" s="379"/>
      <c r="B67" s="316"/>
      <c r="C67" s="360"/>
      <c r="D67" s="317"/>
      <c r="E67" s="379"/>
    </row>
    <row r="68" spans="1:5" ht="27" customHeight="1" x14ac:dyDescent="0.2">
      <c r="A68" s="379"/>
      <c r="B68" s="316"/>
      <c r="C68" s="360"/>
      <c r="D68" s="317"/>
      <c r="E68" s="379"/>
    </row>
    <row r="69" spans="1:5" ht="27" customHeight="1" x14ac:dyDescent="0.2">
      <c r="A69" s="379"/>
      <c r="B69" s="316"/>
      <c r="C69" s="360"/>
      <c r="D69" s="317"/>
      <c r="E69" s="379"/>
    </row>
    <row r="70" spans="1:5" ht="27" customHeight="1" x14ac:dyDescent="0.2">
      <c r="A70" s="379"/>
      <c r="B70" s="316"/>
      <c r="C70" s="360"/>
      <c r="D70" s="317"/>
      <c r="E70" s="379"/>
    </row>
    <row r="71" spans="1:5" ht="27" customHeight="1" x14ac:dyDescent="0.2">
      <c r="A71" s="379"/>
      <c r="B71" s="316"/>
      <c r="C71" s="360"/>
      <c r="D71" s="317"/>
      <c r="E71" s="379"/>
    </row>
    <row r="72" spans="1:5" ht="27" customHeight="1" x14ac:dyDescent="0.2">
      <c r="A72" s="379"/>
      <c r="B72" s="316"/>
      <c r="C72" s="360"/>
      <c r="D72" s="317"/>
      <c r="E72" s="379"/>
    </row>
    <row r="73" spans="1:5" ht="27" customHeight="1" x14ac:dyDescent="0.2">
      <c r="A73" s="379"/>
      <c r="B73" s="316"/>
      <c r="C73" s="360"/>
      <c r="D73" s="317"/>
      <c r="E73" s="379"/>
    </row>
    <row r="74" spans="1:5" ht="27" customHeight="1" x14ac:dyDescent="0.2">
      <c r="A74" s="379"/>
      <c r="B74" s="316"/>
      <c r="C74" s="360"/>
      <c r="D74" s="317"/>
      <c r="E74" s="379"/>
    </row>
    <row r="75" spans="1:5" ht="27" customHeight="1" x14ac:dyDescent="0.2">
      <c r="A75" s="379"/>
      <c r="B75" s="316"/>
      <c r="C75" s="360"/>
      <c r="D75" s="317"/>
      <c r="E75" s="379"/>
    </row>
    <row r="76" spans="1:5" ht="27" customHeight="1" x14ac:dyDescent="0.2">
      <c r="A76" s="379"/>
      <c r="B76" s="316"/>
      <c r="C76" s="360"/>
      <c r="D76" s="317"/>
      <c r="E76" s="379"/>
    </row>
    <row r="77" spans="1:5" ht="27" customHeight="1" x14ac:dyDescent="0.2">
      <c r="A77" s="379"/>
      <c r="B77" s="316"/>
      <c r="C77" s="360"/>
      <c r="D77" s="317"/>
      <c r="E77" s="379"/>
    </row>
    <row r="78" spans="1:5" ht="27" customHeight="1" x14ac:dyDescent="0.2">
      <c r="A78" s="379"/>
      <c r="B78" s="316"/>
      <c r="C78" s="360"/>
      <c r="D78" s="317"/>
      <c r="E78" s="379"/>
    </row>
    <row r="79" spans="1:5" ht="27" customHeight="1" x14ac:dyDescent="0.2">
      <c r="A79" s="379"/>
      <c r="B79" s="316"/>
      <c r="C79" s="360"/>
      <c r="D79" s="317"/>
      <c r="E79" s="379"/>
    </row>
    <row r="80" spans="1:5" ht="27" customHeight="1" x14ac:dyDescent="0.2">
      <c r="A80" s="379"/>
      <c r="B80" s="316"/>
      <c r="C80" s="360"/>
      <c r="D80" s="317"/>
      <c r="E80" s="379"/>
    </row>
    <row r="81" spans="1:5" ht="27" customHeight="1" x14ac:dyDescent="0.2">
      <c r="A81" s="379"/>
      <c r="B81" s="316"/>
      <c r="C81" s="360"/>
      <c r="D81" s="317"/>
      <c r="E81" s="379"/>
    </row>
    <row r="82" spans="1:5" ht="27" customHeight="1" x14ac:dyDescent="0.2">
      <c r="A82" s="379"/>
      <c r="B82" s="316"/>
      <c r="C82" s="360"/>
      <c r="D82" s="317"/>
      <c r="E82" s="379"/>
    </row>
    <row r="83" spans="1:5" ht="27" customHeight="1" x14ac:dyDescent="0.2">
      <c r="A83" s="379"/>
      <c r="B83" s="316"/>
      <c r="C83" s="360"/>
      <c r="D83" s="317"/>
      <c r="E83" s="379"/>
    </row>
    <row r="84" spans="1:5" ht="27" customHeight="1" x14ac:dyDescent="0.2">
      <c r="A84" s="379"/>
      <c r="B84" s="316"/>
      <c r="C84" s="360"/>
      <c r="D84" s="317"/>
      <c r="E84" s="379"/>
    </row>
    <row r="85" spans="1:5" ht="27" customHeight="1" x14ac:dyDescent="0.2">
      <c r="A85" s="379"/>
      <c r="B85" s="316"/>
      <c r="C85" s="360"/>
      <c r="D85" s="317"/>
      <c r="E85" s="379"/>
    </row>
    <row r="86" spans="1:5" ht="27" customHeight="1" x14ac:dyDescent="0.2">
      <c r="A86" s="379"/>
      <c r="B86" s="316"/>
      <c r="C86" s="360"/>
      <c r="D86" s="317"/>
      <c r="E86" s="379"/>
    </row>
    <row r="87" spans="1:5" ht="27" customHeight="1" x14ac:dyDescent="0.2">
      <c r="A87" s="379"/>
      <c r="B87" s="316"/>
      <c r="C87" s="360"/>
      <c r="D87" s="317"/>
      <c r="E87" s="379"/>
    </row>
    <row r="88" spans="1:5" ht="27" customHeight="1" x14ac:dyDescent="0.2">
      <c r="A88" s="379"/>
      <c r="B88" s="316"/>
      <c r="C88" s="360"/>
      <c r="D88" s="317"/>
      <c r="E88" s="379"/>
    </row>
    <row r="89" spans="1:5" ht="27" customHeight="1" x14ac:dyDescent="0.2">
      <c r="A89" s="379"/>
      <c r="B89" s="316"/>
      <c r="C89" s="360"/>
      <c r="D89" s="317"/>
      <c r="E89" s="379"/>
    </row>
    <row r="90" spans="1:5" ht="27" customHeight="1" x14ac:dyDescent="0.2">
      <c r="A90" s="379"/>
      <c r="B90" s="316"/>
      <c r="C90" s="360"/>
      <c r="D90" s="317"/>
      <c r="E90" s="379"/>
    </row>
    <row r="91" spans="1:5" ht="27" customHeight="1" x14ac:dyDescent="0.2">
      <c r="A91" s="379"/>
      <c r="B91" s="316"/>
      <c r="C91" s="360"/>
      <c r="D91" s="317"/>
      <c r="E91" s="379"/>
    </row>
    <row r="92" spans="1:5" ht="27" customHeight="1" x14ac:dyDescent="0.2">
      <c r="A92" s="379"/>
      <c r="B92" s="316"/>
      <c r="C92" s="360"/>
      <c r="D92" s="317"/>
      <c r="E92" s="379"/>
    </row>
    <row r="93" spans="1:5" ht="27" customHeight="1" x14ac:dyDescent="0.2">
      <c r="A93" s="379"/>
      <c r="B93" s="316"/>
      <c r="C93" s="360"/>
      <c r="D93" s="317"/>
      <c r="E93" s="379"/>
    </row>
    <row r="94" spans="1:5" ht="27" customHeight="1" x14ac:dyDescent="0.2">
      <c r="A94" s="379"/>
      <c r="B94" s="316"/>
      <c r="C94" s="360"/>
      <c r="D94" s="317"/>
      <c r="E94" s="379"/>
    </row>
    <row r="95" spans="1:5" ht="27" customHeight="1" x14ac:dyDescent="0.2">
      <c r="A95" s="379"/>
      <c r="B95" s="316"/>
      <c r="C95" s="360"/>
      <c r="D95" s="317"/>
      <c r="E95" s="379"/>
    </row>
    <row r="96" spans="1:5" ht="27" customHeight="1" x14ac:dyDescent="0.2">
      <c r="A96" s="379"/>
      <c r="B96" s="316"/>
      <c r="C96" s="360"/>
      <c r="D96" s="317"/>
      <c r="E96" s="379"/>
    </row>
    <row r="97" spans="1:5" ht="27" customHeight="1" x14ac:dyDescent="0.2">
      <c r="A97" s="379"/>
      <c r="B97" s="316"/>
      <c r="C97" s="360"/>
      <c r="D97" s="317"/>
      <c r="E97" s="379"/>
    </row>
    <row r="98" spans="1:5" ht="27" customHeight="1" x14ac:dyDescent="0.2">
      <c r="A98" s="379"/>
      <c r="B98" s="316"/>
      <c r="C98" s="360"/>
      <c r="D98" s="317"/>
      <c r="E98" s="379"/>
    </row>
    <row r="99" spans="1:5" ht="27" customHeight="1" x14ac:dyDescent="0.2">
      <c r="A99" s="379"/>
      <c r="B99" s="316"/>
      <c r="C99" s="360"/>
      <c r="D99" s="317"/>
      <c r="E99" s="379"/>
    </row>
    <row r="100" spans="1:5" ht="27" customHeight="1" x14ac:dyDescent="0.2">
      <c r="A100" s="379"/>
      <c r="B100" s="316"/>
      <c r="C100" s="360"/>
      <c r="D100" s="317"/>
      <c r="E100" s="379"/>
    </row>
    <row r="101" spans="1:5" ht="27" customHeight="1" x14ac:dyDescent="0.2">
      <c r="A101" s="379"/>
      <c r="B101" s="316"/>
      <c r="C101" s="360"/>
      <c r="D101" s="317"/>
      <c r="E101" s="379"/>
    </row>
    <row r="102" spans="1:5" ht="27" customHeight="1" x14ac:dyDescent="0.2">
      <c r="A102" s="379"/>
      <c r="B102" s="316"/>
      <c r="C102" s="360"/>
      <c r="D102" s="317"/>
      <c r="E102" s="379"/>
    </row>
    <row r="103" spans="1:5" ht="27" customHeight="1" x14ac:dyDescent="0.2">
      <c r="A103" s="379"/>
      <c r="B103" s="316"/>
      <c r="C103" s="360"/>
      <c r="D103" s="317"/>
      <c r="E103" s="379"/>
    </row>
    <row r="104" spans="1:5" ht="27" customHeight="1" x14ac:dyDescent="0.2">
      <c r="A104" s="379"/>
      <c r="B104" s="316"/>
      <c r="C104" s="360"/>
      <c r="D104" s="317"/>
      <c r="E104" s="379"/>
    </row>
    <row r="105" spans="1:5" ht="27" customHeight="1" x14ac:dyDescent="0.2">
      <c r="A105" s="379"/>
      <c r="B105" s="316"/>
      <c r="C105" s="360"/>
      <c r="D105" s="317"/>
      <c r="E105" s="379"/>
    </row>
    <row r="106" spans="1:5" ht="27" customHeight="1" x14ac:dyDescent="0.2">
      <c r="A106" s="379"/>
      <c r="B106" s="316"/>
      <c r="C106" s="360"/>
      <c r="D106" s="317"/>
      <c r="E106" s="379"/>
    </row>
    <row r="107" spans="1:5" ht="27" customHeight="1" x14ac:dyDescent="0.2">
      <c r="A107" s="379"/>
      <c r="B107" s="316"/>
      <c r="C107" s="360"/>
      <c r="D107" s="317"/>
      <c r="E107" s="379"/>
    </row>
    <row r="108" spans="1:5" ht="27" customHeight="1" x14ac:dyDescent="0.2">
      <c r="A108" s="379"/>
      <c r="B108" s="316"/>
      <c r="C108" s="360"/>
      <c r="D108" s="317"/>
      <c r="E108" s="379"/>
    </row>
    <row r="109" spans="1:5" ht="27" customHeight="1" x14ac:dyDescent="0.2">
      <c r="A109" s="379"/>
      <c r="B109" s="316"/>
      <c r="C109" s="360"/>
      <c r="D109" s="317"/>
      <c r="E109" s="379"/>
    </row>
    <row r="110" spans="1:5" ht="27" customHeight="1" x14ac:dyDescent="0.2">
      <c r="A110" s="379"/>
      <c r="B110" s="316"/>
      <c r="C110" s="360"/>
      <c r="D110" s="317"/>
      <c r="E110" s="379"/>
    </row>
    <row r="111" spans="1:5" ht="27" customHeight="1" x14ac:dyDescent="0.2">
      <c r="A111" s="379"/>
      <c r="B111" s="316"/>
      <c r="C111" s="360"/>
      <c r="D111" s="317"/>
      <c r="E111" s="379"/>
    </row>
    <row r="112" spans="1:5" ht="27" customHeight="1" x14ac:dyDescent="0.2">
      <c r="A112" s="379"/>
      <c r="B112" s="316"/>
      <c r="C112" s="360"/>
      <c r="D112" s="317"/>
      <c r="E112" s="379"/>
    </row>
    <row r="113" spans="1:5" ht="27" customHeight="1" x14ac:dyDescent="0.2">
      <c r="A113" s="379"/>
      <c r="B113" s="316"/>
      <c r="C113" s="360"/>
      <c r="D113" s="317"/>
      <c r="E113" s="379"/>
    </row>
    <row r="114" spans="1:5" ht="27" customHeight="1" x14ac:dyDescent="0.2">
      <c r="A114" s="379"/>
      <c r="B114" s="316"/>
      <c r="C114" s="360"/>
      <c r="D114" s="317"/>
      <c r="E114" s="379"/>
    </row>
    <row r="115" spans="1:5" ht="27" customHeight="1" x14ac:dyDescent="0.2">
      <c r="A115" s="379"/>
      <c r="B115" s="316"/>
      <c r="C115" s="360"/>
      <c r="D115" s="317"/>
      <c r="E115" s="379"/>
    </row>
    <row r="116" spans="1:5" ht="27" customHeight="1" x14ac:dyDescent="0.2">
      <c r="A116" s="379"/>
      <c r="B116" s="316"/>
      <c r="C116" s="360"/>
      <c r="D116" s="317"/>
      <c r="E116" s="379"/>
    </row>
    <row r="117" spans="1:5" ht="27" customHeight="1" x14ac:dyDescent="0.2">
      <c r="A117" s="379"/>
      <c r="B117" s="316"/>
      <c r="C117" s="360"/>
      <c r="D117" s="317"/>
      <c r="E117" s="379"/>
    </row>
    <row r="118" spans="1:5" ht="27" customHeight="1" x14ac:dyDescent="0.2">
      <c r="A118" s="379"/>
      <c r="B118" s="316"/>
      <c r="C118" s="360"/>
      <c r="D118" s="317"/>
      <c r="E118" s="379"/>
    </row>
    <row r="119" spans="1:5" ht="27" customHeight="1" x14ac:dyDescent="0.2">
      <c r="A119" s="379"/>
      <c r="B119" s="316"/>
      <c r="C119" s="360"/>
      <c r="D119" s="317"/>
      <c r="E119" s="379"/>
    </row>
    <row r="120" spans="1:5" ht="27" customHeight="1" x14ac:dyDescent="0.2">
      <c r="A120" s="379"/>
      <c r="B120" s="316"/>
      <c r="C120" s="360"/>
      <c r="D120" s="317"/>
      <c r="E120" s="379"/>
    </row>
    <row r="121" spans="1:5" ht="27" customHeight="1" x14ac:dyDescent="0.2">
      <c r="A121" s="379"/>
      <c r="B121" s="316"/>
      <c r="C121" s="360"/>
      <c r="D121" s="317"/>
      <c r="E121" s="379"/>
    </row>
    <row r="122" spans="1:5" ht="27" customHeight="1" x14ac:dyDescent="0.2">
      <c r="A122" s="379"/>
      <c r="B122" s="316"/>
      <c r="C122" s="360"/>
      <c r="D122" s="317"/>
      <c r="E122" s="379"/>
    </row>
    <row r="123" spans="1:5" ht="27" customHeight="1" x14ac:dyDescent="0.2">
      <c r="A123" s="379"/>
      <c r="B123" s="316"/>
      <c r="C123" s="360"/>
      <c r="D123" s="317"/>
      <c r="E123" s="379"/>
    </row>
    <row r="124" spans="1:5" ht="27" customHeight="1" x14ac:dyDescent="0.2">
      <c r="A124" s="379"/>
      <c r="B124" s="316"/>
      <c r="C124" s="360"/>
      <c r="D124" s="317"/>
      <c r="E124" s="379"/>
    </row>
    <row r="125" spans="1:5" ht="27" customHeight="1" x14ac:dyDescent="0.2">
      <c r="A125" s="379"/>
      <c r="B125" s="316"/>
      <c r="C125" s="360"/>
      <c r="D125" s="317"/>
      <c r="E125" s="379"/>
    </row>
    <row r="126" spans="1:5" ht="27" customHeight="1" x14ac:dyDescent="0.2">
      <c r="A126" s="379"/>
      <c r="B126" s="316"/>
      <c r="C126" s="360"/>
      <c r="D126" s="317"/>
      <c r="E126" s="379"/>
    </row>
    <row r="127" spans="1:5" ht="27" customHeight="1" x14ac:dyDescent="0.2">
      <c r="A127" s="379"/>
      <c r="B127" s="316"/>
      <c r="C127" s="360"/>
      <c r="D127" s="317"/>
      <c r="E127" s="379"/>
    </row>
    <row r="128" spans="1:5" ht="27" customHeight="1" x14ac:dyDescent="0.2">
      <c r="A128" s="379"/>
      <c r="B128" s="316"/>
      <c r="C128" s="360"/>
      <c r="D128" s="317"/>
      <c r="E128" s="379"/>
    </row>
    <row r="129" spans="1:5" ht="27" customHeight="1" x14ac:dyDescent="0.2">
      <c r="A129" s="379"/>
      <c r="B129" s="316"/>
      <c r="C129" s="360"/>
      <c r="D129" s="317"/>
      <c r="E129" s="379"/>
    </row>
    <row r="130" spans="1:5" ht="27" customHeight="1" x14ac:dyDescent="0.2">
      <c r="A130" s="379"/>
      <c r="B130" s="316"/>
      <c r="C130" s="360"/>
      <c r="D130" s="317"/>
      <c r="E130" s="379"/>
    </row>
    <row r="131" spans="1:5" ht="27" customHeight="1" x14ac:dyDescent="0.2">
      <c r="A131" s="379"/>
      <c r="B131" s="316"/>
      <c r="C131" s="360"/>
      <c r="D131" s="317"/>
      <c r="E131" s="379"/>
    </row>
    <row r="132" spans="1:5" ht="27" customHeight="1" x14ac:dyDescent="0.2">
      <c r="A132" s="379"/>
      <c r="B132" s="316"/>
      <c r="C132" s="360"/>
      <c r="D132" s="317"/>
      <c r="E132" s="379"/>
    </row>
    <row r="133" spans="1:5" ht="27" customHeight="1" x14ac:dyDescent="0.2">
      <c r="A133" s="379"/>
      <c r="B133" s="316"/>
      <c r="C133" s="360"/>
      <c r="D133" s="317"/>
      <c r="E133" s="379"/>
    </row>
    <row r="134" spans="1:5" ht="27" customHeight="1" x14ac:dyDescent="0.2">
      <c r="A134" s="379"/>
      <c r="B134" s="316"/>
      <c r="C134" s="360"/>
      <c r="D134" s="317"/>
      <c r="E134" s="379"/>
    </row>
    <row r="135" spans="1:5" ht="27" customHeight="1" x14ac:dyDescent="0.2">
      <c r="A135" s="379"/>
      <c r="B135" s="316"/>
      <c r="C135" s="360"/>
      <c r="D135" s="317"/>
      <c r="E135" s="379"/>
    </row>
    <row r="136" spans="1:5" ht="27" customHeight="1" x14ac:dyDescent="0.2">
      <c r="A136" s="379"/>
      <c r="B136" s="316"/>
      <c r="C136" s="360"/>
      <c r="D136" s="317"/>
      <c r="E136" s="379"/>
    </row>
    <row r="137" spans="1:5" ht="27" customHeight="1" x14ac:dyDescent="0.2">
      <c r="A137" s="379"/>
      <c r="B137" s="316"/>
      <c r="C137" s="360"/>
      <c r="D137" s="317"/>
      <c r="E137" s="379"/>
    </row>
    <row r="138" spans="1:5" ht="27" customHeight="1" x14ac:dyDescent="0.2">
      <c r="A138" s="379"/>
      <c r="B138" s="316"/>
      <c r="C138" s="360"/>
      <c r="D138" s="317"/>
      <c r="E138" s="379"/>
    </row>
    <row r="139" spans="1:5" ht="27" customHeight="1" x14ac:dyDescent="0.2">
      <c r="A139" s="379"/>
      <c r="B139" s="316"/>
      <c r="C139" s="360"/>
      <c r="D139" s="317"/>
      <c r="E139" s="379"/>
    </row>
    <row r="140" spans="1:5" ht="27" customHeight="1" x14ac:dyDescent="0.2">
      <c r="A140" s="379"/>
      <c r="B140" s="316"/>
      <c r="C140" s="360"/>
      <c r="D140" s="317"/>
      <c r="E140" s="379"/>
    </row>
    <row r="141" spans="1:5" ht="27" customHeight="1" x14ac:dyDescent="0.2">
      <c r="A141" s="379"/>
      <c r="B141" s="316"/>
      <c r="C141" s="360"/>
      <c r="D141" s="317"/>
      <c r="E141" s="379"/>
    </row>
    <row r="142" spans="1:5" ht="27" customHeight="1" x14ac:dyDescent="0.2">
      <c r="A142" s="379"/>
      <c r="B142" s="316"/>
      <c r="C142" s="360"/>
      <c r="D142" s="317"/>
      <c r="E142" s="379"/>
    </row>
    <row r="143" spans="1:5" ht="27" customHeight="1" x14ac:dyDescent="0.2">
      <c r="A143" s="379"/>
      <c r="B143" s="316"/>
      <c r="C143" s="360"/>
      <c r="D143" s="317"/>
      <c r="E143" s="379"/>
    </row>
    <row r="144" spans="1:5" ht="27" customHeight="1" x14ac:dyDescent="0.2">
      <c r="A144" s="379"/>
      <c r="B144" s="316"/>
      <c r="C144" s="360"/>
      <c r="D144" s="317"/>
      <c r="E144" s="379"/>
    </row>
    <row r="145" spans="1:5" ht="27" customHeight="1" x14ac:dyDescent="0.2">
      <c r="A145" s="379"/>
      <c r="B145" s="316"/>
      <c r="C145" s="360"/>
      <c r="D145" s="317"/>
      <c r="E145" s="379"/>
    </row>
    <row r="146" spans="1:5" ht="27" customHeight="1" x14ac:dyDescent="0.2">
      <c r="A146" s="379"/>
      <c r="B146" s="316"/>
      <c r="C146" s="360"/>
      <c r="D146" s="317"/>
      <c r="E146" s="379"/>
    </row>
    <row r="147" spans="1:5" ht="27" customHeight="1" x14ac:dyDescent="0.2">
      <c r="A147" s="379"/>
      <c r="B147" s="316"/>
      <c r="C147" s="360"/>
      <c r="D147" s="317"/>
      <c r="E147" s="379"/>
    </row>
    <row r="148" spans="1:5" ht="27" customHeight="1" x14ac:dyDescent="0.2">
      <c r="A148" s="379"/>
      <c r="B148" s="316"/>
      <c r="C148" s="360"/>
      <c r="D148" s="317"/>
      <c r="E148" s="379"/>
    </row>
    <row r="149" spans="1:5" ht="27" customHeight="1" x14ac:dyDescent="0.2">
      <c r="A149" s="379"/>
      <c r="B149" s="316"/>
      <c r="C149" s="360"/>
      <c r="D149" s="317"/>
      <c r="E149" s="379"/>
    </row>
    <row r="150" spans="1:5" ht="27" customHeight="1" x14ac:dyDescent="0.2">
      <c r="A150" s="379"/>
      <c r="B150" s="316"/>
      <c r="C150" s="360"/>
      <c r="D150" s="317"/>
      <c r="E150" s="379"/>
    </row>
    <row r="151" spans="1:5" ht="27" customHeight="1" x14ac:dyDescent="0.2">
      <c r="A151" s="379"/>
      <c r="B151" s="316"/>
      <c r="C151" s="360"/>
      <c r="D151" s="317"/>
      <c r="E151" s="379"/>
    </row>
    <row r="152" spans="1:5" ht="27" customHeight="1" x14ac:dyDescent="0.2">
      <c r="A152" s="379"/>
      <c r="B152" s="316"/>
      <c r="C152" s="360"/>
      <c r="D152" s="317"/>
      <c r="E152" s="379"/>
    </row>
    <row r="153" spans="1:5" ht="27" customHeight="1" x14ac:dyDescent="0.2">
      <c r="A153" s="379"/>
      <c r="B153" s="316"/>
      <c r="C153" s="360"/>
      <c r="D153" s="317"/>
      <c r="E153" s="379"/>
    </row>
    <row r="154" spans="1:5" ht="27" customHeight="1" x14ac:dyDescent="0.2">
      <c r="A154" s="379"/>
      <c r="B154" s="316"/>
      <c r="C154" s="360"/>
      <c r="D154" s="317"/>
      <c r="E154" s="379"/>
    </row>
    <row r="155" spans="1:5" ht="27" customHeight="1" x14ac:dyDescent="0.2">
      <c r="A155" s="379"/>
      <c r="B155" s="316"/>
      <c r="C155" s="360"/>
      <c r="D155" s="317"/>
      <c r="E155" s="379"/>
    </row>
    <row r="156" spans="1:5" ht="27" customHeight="1" x14ac:dyDescent="0.2">
      <c r="A156" s="379"/>
      <c r="B156" s="316"/>
      <c r="C156" s="360"/>
      <c r="D156" s="317"/>
      <c r="E156" s="379"/>
    </row>
    <row r="157" spans="1:5" ht="27" customHeight="1" x14ac:dyDescent="0.2">
      <c r="A157" s="379"/>
      <c r="B157" s="316"/>
      <c r="C157" s="360"/>
      <c r="D157" s="317"/>
      <c r="E157" s="379"/>
    </row>
    <row r="158" spans="1:5" ht="27" customHeight="1" x14ac:dyDescent="0.2">
      <c r="A158" s="379"/>
      <c r="B158" s="316"/>
      <c r="C158" s="360"/>
      <c r="D158" s="317"/>
      <c r="E158" s="379"/>
    </row>
    <row r="159" spans="1:5" ht="27" customHeight="1" x14ac:dyDescent="0.2">
      <c r="A159" s="379"/>
      <c r="B159" s="316"/>
      <c r="C159" s="360"/>
      <c r="D159" s="317"/>
      <c r="E159" s="379"/>
    </row>
    <row r="160" spans="1:5" ht="27" customHeight="1" x14ac:dyDescent="0.2">
      <c r="A160" s="379"/>
      <c r="B160" s="316"/>
      <c r="C160" s="360"/>
      <c r="D160" s="317"/>
      <c r="E160" s="379"/>
    </row>
    <row r="161" spans="1:5" ht="27" customHeight="1" x14ac:dyDescent="0.2">
      <c r="A161" s="379"/>
      <c r="B161" s="316"/>
      <c r="C161" s="360"/>
      <c r="D161" s="317"/>
      <c r="E161" s="379"/>
    </row>
    <row r="162" spans="1:5" ht="27" customHeight="1" x14ac:dyDescent="0.2">
      <c r="A162" s="379"/>
      <c r="B162" s="316"/>
      <c r="C162" s="360"/>
      <c r="D162" s="317"/>
      <c r="E162" s="379"/>
    </row>
    <row r="163" spans="1:5" ht="27" customHeight="1" x14ac:dyDescent="0.2">
      <c r="A163" s="379"/>
      <c r="B163" s="316"/>
      <c r="C163" s="360"/>
      <c r="D163" s="317"/>
      <c r="E163" s="379"/>
    </row>
    <row r="164" spans="1:5" ht="27" customHeight="1" x14ac:dyDescent="0.2">
      <c r="A164" s="379"/>
      <c r="B164" s="316"/>
      <c r="C164" s="360"/>
      <c r="D164" s="317"/>
      <c r="E164" s="379"/>
    </row>
    <row r="165" spans="1:5" ht="27" customHeight="1" x14ac:dyDescent="0.2">
      <c r="A165" s="379"/>
      <c r="B165" s="316"/>
      <c r="C165" s="360"/>
      <c r="D165" s="317"/>
      <c r="E165" s="379"/>
    </row>
    <row r="166" spans="1:5" ht="27" customHeight="1" x14ac:dyDescent="0.2">
      <c r="A166" s="379"/>
      <c r="B166" s="316"/>
      <c r="C166" s="360"/>
      <c r="D166" s="317"/>
      <c r="E166" s="379"/>
    </row>
    <row r="167" spans="1:5" ht="27" customHeight="1" x14ac:dyDescent="0.2">
      <c r="A167" s="379"/>
      <c r="B167" s="316"/>
      <c r="C167" s="360"/>
      <c r="D167" s="317"/>
      <c r="E167" s="379"/>
    </row>
    <row r="168" spans="1:5" ht="27" customHeight="1" x14ac:dyDescent="0.2">
      <c r="A168" s="379"/>
      <c r="B168" s="316"/>
      <c r="C168" s="360"/>
      <c r="D168" s="317"/>
      <c r="E168" s="379"/>
    </row>
    <row r="169" spans="1:5" ht="27" customHeight="1" x14ac:dyDescent="0.2">
      <c r="A169" s="379"/>
      <c r="B169" s="316"/>
      <c r="C169" s="360"/>
      <c r="D169" s="317"/>
      <c r="E169" s="379"/>
    </row>
    <row r="170" spans="1:5" ht="27" customHeight="1" x14ac:dyDescent="0.2">
      <c r="A170" s="379"/>
      <c r="B170" s="316"/>
      <c r="C170" s="360"/>
      <c r="D170" s="317"/>
      <c r="E170" s="379"/>
    </row>
    <row r="171" spans="1:5" ht="27" customHeight="1" x14ac:dyDescent="0.2">
      <c r="A171" s="379"/>
      <c r="B171" s="316"/>
      <c r="C171" s="360"/>
      <c r="D171" s="317"/>
      <c r="E171" s="379"/>
    </row>
    <row r="172" spans="1:5" ht="27" customHeight="1" x14ac:dyDescent="0.2">
      <c r="A172" s="379"/>
      <c r="B172" s="316"/>
      <c r="C172" s="360"/>
      <c r="D172" s="317"/>
      <c r="E172" s="379"/>
    </row>
    <row r="173" spans="1:5" ht="27" customHeight="1" x14ac:dyDescent="0.2">
      <c r="A173" s="379"/>
      <c r="B173" s="316"/>
      <c r="C173" s="360"/>
      <c r="D173" s="317"/>
      <c r="E173" s="379"/>
    </row>
    <row r="174" spans="1:5" ht="27" customHeight="1" x14ac:dyDescent="0.2">
      <c r="A174" s="379"/>
      <c r="B174" s="316"/>
      <c r="C174" s="360"/>
      <c r="D174" s="317"/>
      <c r="E174" s="379"/>
    </row>
    <row r="175" spans="1:5" ht="27" customHeight="1" x14ac:dyDescent="0.2">
      <c r="A175" s="379"/>
      <c r="B175" s="316"/>
      <c r="C175" s="360"/>
      <c r="D175" s="317"/>
      <c r="E175" s="379"/>
    </row>
    <row r="176" spans="1:5" ht="27" customHeight="1" x14ac:dyDescent="0.2">
      <c r="A176" s="379"/>
      <c r="B176" s="316"/>
      <c r="C176" s="360"/>
      <c r="D176" s="317"/>
      <c r="E176" s="379"/>
    </row>
    <row r="177" spans="1:5" ht="27" customHeight="1" x14ac:dyDescent="0.2">
      <c r="A177" s="379"/>
      <c r="B177" s="316"/>
      <c r="C177" s="360"/>
      <c r="D177" s="317"/>
      <c r="E177" s="379"/>
    </row>
    <row r="178" spans="1:5" ht="27" customHeight="1" x14ac:dyDescent="0.2">
      <c r="A178" s="379"/>
      <c r="B178" s="316"/>
      <c r="C178" s="360"/>
      <c r="D178" s="317"/>
      <c r="E178" s="379"/>
    </row>
    <row r="179" spans="1:5" ht="27" customHeight="1" x14ac:dyDescent="0.2">
      <c r="A179" s="379"/>
      <c r="B179" s="316"/>
      <c r="C179" s="360"/>
      <c r="D179" s="317"/>
      <c r="E179" s="379"/>
    </row>
    <row r="180" spans="1:5" ht="27" customHeight="1" x14ac:dyDescent="0.2">
      <c r="A180" s="379"/>
      <c r="B180" s="316"/>
      <c r="C180" s="360"/>
      <c r="D180" s="317"/>
      <c r="E180" s="379"/>
    </row>
    <row r="181" spans="1:5" ht="27" customHeight="1" x14ac:dyDescent="0.2">
      <c r="A181" s="379"/>
      <c r="B181" s="316"/>
      <c r="C181" s="360"/>
      <c r="D181" s="317"/>
      <c r="E181" s="379"/>
    </row>
    <row r="182" spans="1:5" ht="27" customHeight="1" x14ac:dyDescent="0.2">
      <c r="A182" s="379"/>
      <c r="B182" s="316"/>
      <c r="C182" s="360"/>
      <c r="D182" s="317"/>
      <c r="E182" s="379"/>
    </row>
    <row r="183" spans="1:5" ht="27" customHeight="1" x14ac:dyDescent="0.2">
      <c r="A183" s="379"/>
      <c r="B183" s="316"/>
      <c r="C183" s="360"/>
      <c r="D183" s="317"/>
      <c r="E183" s="379"/>
    </row>
    <row r="184" spans="1:5" ht="27" customHeight="1" x14ac:dyDescent="0.2">
      <c r="A184" s="379"/>
      <c r="B184" s="316"/>
      <c r="C184" s="360"/>
      <c r="D184" s="317"/>
      <c r="E184" s="379"/>
    </row>
    <row r="185" spans="1:5" ht="27" customHeight="1" x14ac:dyDescent="0.2">
      <c r="A185" s="379"/>
      <c r="B185" s="316"/>
      <c r="C185" s="360"/>
      <c r="D185" s="317"/>
      <c r="E185" s="379"/>
    </row>
    <row r="186" spans="1:5" ht="27" customHeight="1" x14ac:dyDescent="0.2">
      <c r="A186" s="379"/>
      <c r="B186" s="316"/>
      <c r="C186" s="360"/>
      <c r="D186" s="317"/>
      <c r="E186" s="379"/>
    </row>
    <row r="187" spans="1:5" ht="27" customHeight="1" x14ac:dyDescent="0.2">
      <c r="A187" s="379"/>
      <c r="B187" s="316"/>
      <c r="C187" s="360"/>
      <c r="D187" s="317"/>
      <c r="E187" s="379"/>
    </row>
    <row r="188" spans="1:5" ht="27" customHeight="1" x14ac:dyDescent="0.2">
      <c r="A188" s="379"/>
      <c r="B188" s="316"/>
      <c r="C188" s="360"/>
      <c r="D188" s="317"/>
      <c r="E188" s="379"/>
    </row>
    <row r="189" spans="1:5" ht="27" customHeight="1" x14ac:dyDescent="0.2">
      <c r="A189" s="379"/>
      <c r="B189" s="316"/>
      <c r="C189" s="360"/>
      <c r="D189" s="317"/>
      <c r="E189" s="379"/>
    </row>
    <row r="190" spans="1:5" ht="27" customHeight="1" x14ac:dyDescent="0.2">
      <c r="A190" s="379"/>
      <c r="B190" s="316"/>
      <c r="C190" s="360"/>
      <c r="D190" s="317"/>
      <c r="E190" s="379"/>
    </row>
    <row r="191" spans="1:5" ht="27" customHeight="1" x14ac:dyDescent="0.2">
      <c r="A191" s="379"/>
      <c r="B191" s="316"/>
      <c r="C191" s="360"/>
      <c r="D191" s="317"/>
      <c r="E191" s="379"/>
    </row>
    <row r="192" spans="1:5" ht="27" customHeight="1" x14ac:dyDescent="0.2">
      <c r="A192" s="379"/>
      <c r="B192" s="316"/>
      <c r="C192" s="360"/>
      <c r="D192" s="317"/>
      <c r="E192" s="379"/>
    </row>
    <row r="193" spans="1:5" ht="27" customHeight="1" x14ac:dyDescent="0.2">
      <c r="A193" s="379"/>
      <c r="B193" s="316"/>
      <c r="C193" s="360"/>
      <c r="D193" s="317"/>
      <c r="E193" s="379"/>
    </row>
    <row r="194" spans="1:5" ht="27" customHeight="1" x14ac:dyDescent="0.2">
      <c r="A194" s="379"/>
      <c r="B194" s="316"/>
      <c r="C194" s="360"/>
      <c r="D194" s="317"/>
      <c r="E194" s="379"/>
    </row>
    <row r="195" spans="1:5" ht="27" customHeight="1" x14ac:dyDescent="0.2">
      <c r="A195" s="379"/>
      <c r="B195" s="316"/>
      <c r="C195" s="360"/>
      <c r="D195" s="317"/>
      <c r="E195" s="379"/>
    </row>
    <row r="196" spans="1:5" ht="27" customHeight="1" x14ac:dyDescent="0.2">
      <c r="A196" s="379"/>
      <c r="B196" s="316"/>
      <c r="C196" s="360"/>
      <c r="D196" s="317"/>
      <c r="E196" s="379"/>
    </row>
    <row r="197" spans="1:5" ht="27" customHeight="1" x14ac:dyDescent="0.2">
      <c r="A197" s="379"/>
      <c r="B197" s="316"/>
      <c r="C197" s="360"/>
      <c r="D197" s="317"/>
      <c r="E197" s="379"/>
    </row>
    <row r="198" spans="1:5" ht="27" customHeight="1" x14ac:dyDescent="0.2">
      <c r="A198" s="379"/>
      <c r="B198" s="316"/>
      <c r="C198" s="360"/>
      <c r="D198" s="317"/>
      <c r="E198" s="379"/>
    </row>
    <row r="199" spans="1:5" ht="27" customHeight="1" x14ac:dyDescent="0.2">
      <c r="A199" s="379"/>
      <c r="B199" s="316"/>
      <c r="C199" s="360"/>
      <c r="D199" s="317"/>
      <c r="E199" s="379"/>
    </row>
    <row r="200" spans="1:5" ht="27" customHeight="1" x14ac:dyDescent="0.2">
      <c r="A200" s="379"/>
      <c r="B200" s="316"/>
      <c r="C200" s="360"/>
      <c r="D200" s="317"/>
      <c r="E200" s="379"/>
    </row>
    <row r="201" spans="1:5" ht="27" customHeight="1" x14ac:dyDescent="0.2">
      <c r="A201" s="379"/>
      <c r="B201" s="316"/>
      <c r="C201" s="360"/>
      <c r="D201" s="317"/>
      <c r="E201" s="379"/>
    </row>
    <row r="202" spans="1:5" ht="27" customHeight="1" x14ac:dyDescent="0.2">
      <c r="A202" s="379"/>
      <c r="B202" s="316"/>
      <c r="C202" s="360"/>
      <c r="D202" s="317"/>
      <c r="E202" s="379"/>
    </row>
    <row r="203" spans="1:5" ht="27" customHeight="1" x14ac:dyDescent="0.2">
      <c r="A203" s="379"/>
      <c r="B203" s="316"/>
      <c r="C203" s="360"/>
      <c r="D203" s="317"/>
      <c r="E203" s="379"/>
    </row>
    <row r="204" spans="1:5" ht="27" customHeight="1" x14ac:dyDescent="0.2">
      <c r="A204" s="379"/>
      <c r="B204" s="316"/>
      <c r="C204" s="360"/>
      <c r="D204" s="317"/>
      <c r="E204" s="379"/>
    </row>
    <row r="205" spans="1:5" ht="27" customHeight="1" x14ac:dyDescent="0.2">
      <c r="A205" s="379"/>
      <c r="B205" s="316"/>
      <c r="C205" s="360"/>
      <c r="D205" s="317"/>
      <c r="E205" s="379"/>
    </row>
    <row r="206" spans="1:5" ht="27" customHeight="1" x14ac:dyDescent="0.2">
      <c r="A206" s="379"/>
      <c r="B206" s="316"/>
      <c r="C206" s="360"/>
      <c r="D206" s="317"/>
      <c r="E206" s="379"/>
    </row>
    <row r="207" spans="1:5" ht="27" customHeight="1" x14ac:dyDescent="0.2">
      <c r="A207" s="379"/>
      <c r="B207" s="316"/>
      <c r="C207" s="360"/>
      <c r="D207" s="317"/>
      <c r="E207" s="379"/>
    </row>
    <row r="208" spans="1:5" ht="27" customHeight="1" x14ac:dyDescent="0.2">
      <c r="A208" s="379"/>
      <c r="B208" s="316"/>
      <c r="C208" s="360"/>
      <c r="D208" s="317"/>
      <c r="E208" s="379"/>
    </row>
    <row r="209" spans="1:5" ht="27" customHeight="1" x14ac:dyDescent="0.2">
      <c r="A209" s="379"/>
      <c r="B209" s="316"/>
      <c r="C209" s="360"/>
      <c r="D209" s="317"/>
      <c r="E209" s="379"/>
    </row>
    <row r="210" spans="1:5" ht="27" customHeight="1" x14ac:dyDescent="0.2">
      <c r="A210" s="379"/>
      <c r="B210" s="316"/>
      <c r="C210" s="360"/>
      <c r="D210" s="317"/>
      <c r="E210" s="379"/>
    </row>
    <row r="211" spans="1:5" ht="27" customHeight="1" x14ac:dyDescent="0.2">
      <c r="A211" s="379"/>
      <c r="B211" s="316"/>
      <c r="C211" s="360"/>
      <c r="D211" s="317"/>
      <c r="E211" s="379"/>
    </row>
    <row r="212" spans="1:5" ht="27" customHeight="1" x14ac:dyDescent="0.2">
      <c r="A212" s="379"/>
      <c r="B212" s="316"/>
      <c r="C212" s="360"/>
      <c r="D212" s="317"/>
      <c r="E212" s="379"/>
    </row>
    <row r="213" spans="1:5" ht="27" customHeight="1" x14ac:dyDescent="0.2">
      <c r="A213" s="379"/>
      <c r="B213" s="316"/>
      <c r="C213" s="360"/>
      <c r="D213" s="317"/>
      <c r="E213" s="379"/>
    </row>
    <row r="214" spans="1:5" ht="27" customHeight="1" x14ac:dyDescent="0.2">
      <c r="A214" s="379"/>
      <c r="B214" s="316"/>
      <c r="C214" s="360"/>
      <c r="D214" s="317"/>
      <c r="E214" s="379"/>
    </row>
    <row r="215" spans="1:5" ht="27" customHeight="1" x14ac:dyDescent="0.2">
      <c r="A215" s="379"/>
      <c r="B215" s="316"/>
      <c r="C215" s="360"/>
      <c r="D215" s="317"/>
      <c r="E215" s="379"/>
    </row>
    <row r="216" spans="1:5" ht="27" customHeight="1" x14ac:dyDescent="0.2">
      <c r="A216" s="379"/>
      <c r="B216" s="316"/>
      <c r="C216" s="360"/>
      <c r="D216" s="317"/>
      <c r="E216" s="379"/>
    </row>
    <row r="217" spans="1:5" ht="27" customHeight="1" x14ac:dyDescent="0.2">
      <c r="A217" s="379"/>
      <c r="B217" s="316"/>
      <c r="C217" s="360"/>
      <c r="D217" s="317"/>
      <c r="E217" s="379"/>
    </row>
    <row r="218" spans="1:5" ht="27" customHeight="1" x14ac:dyDescent="0.2">
      <c r="A218" s="379"/>
      <c r="B218" s="316"/>
      <c r="C218" s="360"/>
      <c r="D218" s="317"/>
      <c r="E218" s="379"/>
    </row>
    <row r="219" spans="1:5" ht="27" customHeight="1" x14ac:dyDescent="0.2">
      <c r="A219" s="379"/>
      <c r="B219" s="316"/>
      <c r="C219" s="360"/>
      <c r="D219" s="317"/>
      <c r="E219" s="379"/>
    </row>
    <row r="220" spans="1:5" ht="27" customHeight="1" x14ac:dyDescent="0.2">
      <c r="A220" s="379"/>
      <c r="B220" s="316"/>
      <c r="C220" s="360"/>
      <c r="D220" s="317"/>
      <c r="E220" s="379"/>
    </row>
    <row r="221" spans="1:5" ht="27" customHeight="1" x14ac:dyDescent="0.2">
      <c r="A221" s="379"/>
      <c r="B221" s="316"/>
      <c r="C221" s="360"/>
      <c r="D221" s="317"/>
      <c r="E221" s="379"/>
    </row>
    <row r="222" spans="1:5" ht="27" customHeight="1" x14ac:dyDescent="0.2">
      <c r="A222" s="379"/>
      <c r="B222" s="316"/>
      <c r="C222" s="360"/>
      <c r="D222" s="317"/>
      <c r="E222" s="379"/>
    </row>
    <row r="223" spans="1:5" ht="27" customHeight="1" x14ac:dyDescent="0.2">
      <c r="A223" s="379"/>
      <c r="B223" s="316"/>
      <c r="C223" s="360"/>
      <c r="D223" s="317"/>
      <c r="E223" s="379"/>
    </row>
    <row r="224" spans="1:5" ht="27" customHeight="1" x14ac:dyDescent="0.2">
      <c r="A224" s="379"/>
      <c r="B224" s="316"/>
      <c r="C224" s="360"/>
      <c r="D224" s="317"/>
      <c r="E224" s="379"/>
    </row>
    <row r="225" spans="1:5" ht="27" customHeight="1" x14ac:dyDescent="0.2">
      <c r="A225" s="379"/>
      <c r="B225" s="316"/>
      <c r="C225" s="360"/>
      <c r="D225" s="317"/>
      <c r="E225" s="379"/>
    </row>
    <row r="226" spans="1:5" ht="27" customHeight="1" x14ac:dyDescent="0.2">
      <c r="A226" s="379"/>
      <c r="B226" s="316"/>
      <c r="C226" s="360"/>
      <c r="D226" s="317"/>
      <c r="E226" s="379"/>
    </row>
    <row r="227" spans="1:5" ht="27" customHeight="1" x14ac:dyDescent="0.2">
      <c r="A227" s="379"/>
      <c r="B227" s="316"/>
      <c r="C227" s="360"/>
      <c r="D227" s="317"/>
      <c r="E227" s="379"/>
    </row>
    <row r="228" spans="1:5" ht="27" customHeight="1" x14ac:dyDescent="0.2">
      <c r="A228" s="379"/>
      <c r="B228" s="316"/>
      <c r="C228" s="360"/>
      <c r="D228" s="317"/>
      <c r="E228" s="379"/>
    </row>
    <row r="229" spans="1:5" ht="27" customHeight="1" x14ac:dyDescent="0.2">
      <c r="A229" s="379"/>
      <c r="B229" s="316"/>
      <c r="C229" s="360"/>
      <c r="D229" s="317"/>
      <c r="E229" s="379"/>
    </row>
    <row r="230" spans="1:5" ht="27" customHeight="1" x14ac:dyDescent="0.2">
      <c r="A230" s="379"/>
      <c r="B230" s="316"/>
      <c r="C230" s="360"/>
      <c r="D230" s="317"/>
      <c r="E230" s="379"/>
    </row>
    <row r="231" spans="1:5" ht="27" customHeight="1" x14ac:dyDescent="0.2">
      <c r="A231" s="379"/>
      <c r="B231" s="316"/>
      <c r="C231" s="360"/>
      <c r="D231" s="317"/>
      <c r="E231" s="379"/>
    </row>
    <row r="232" spans="1:5" ht="27" customHeight="1" x14ac:dyDescent="0.2">
      <c r="A232" s="379"/>
      <c r="B232" s="316"/>
      <c r="C232" s="360"/>
      <c r="D232" s="317"/>
      <c r="E232" s="379"/>
    </row>
    <row r="233" spans="1:5" ht="27" customHeight="1" x14ac:dyDescent="0.2">
      <c r="A233" s="379"/>
      <c r="B233" s="316"/>
      <c r="C233" s="360"/>
      <c r="D233" s="317"/>
      <c r="E233" s="379"/>
    </row>
    <row r="234" spans="1:5" ht="27" customHeight="1" x14ac:dyDescent="0.2">
      <c r="A234" s="379"/>
      <c r="B234" s="316"/>
      <c r="C234" s="360"/>
      <c r="D234" s="317"/>
      <c r="E234" s="379"/>
    </row>
    <row r="235" spans="1:5" ht="27" customHeight="1" x14ac:dyDescent="0.2">
      <c r="A235" s="379"/>
      <c r="B235" s="316"/>
      <c r="C235" s="360"/>
      <c r="D235" s="317"/>
      <c r="E235" s="379"/>
    </row>
    <row r="236" spans="1:5" ht="27" customHeight="1" x14ac:dyDescent="0.2">
      <c r="A236" s="379"/>
      <c r="B236" s="316"/>
      <c r="C236" s="360"/>
      <c r="D236" s="317"/>
      <c r="E236" s="379"/>
    </row>
    <row r="237" spans="1:5" ht="27" customHeight="1" x14ac:dyDescent="0.2">
      <c r="A237" s="379"/>
      <c r="B237" s="316"/>
      <c r="C237" s="360"/>
      <c r="D237" s="317"/>
      <c r="E237" s="379"/>
    </row>
    <row r="238" spans="1:5" ht="27" customHeight="1" x14ac:dyDescent="0.2">
      <c r="A238" s="379"/>
      <c r="B238" s="316"/>
      <c r="C238" s="360"/>
      <c r="D238" s="317"/>
      <c r="E238" s="379"/>
    </row>
    <row r="239" spans="1:5" ht="27" customHeight="1" x14ac:dyDescent="0.2">
      <c r="A239" s="379"/>
      <c r="B239" s="316"/>
      <c r="C239" s="360"/>
      <c r="D239" s="317"/>
      <c r="E239" s="379"/>
    </row>
    <row r="240" spans="1:5" ht="27" customHeight="1" x14ac:dyDescent="0.2">
      <c r="A240" s="379"/>
      <c r="B240" s="316"/>
      <c r="C240" s="360"/>
      <c r="D240" s="317"/>
      <c r="E240" s="379"/>
    </row>
    <row r="241" spans="1:5" ht="27" customHeight="1" x14ac:dyDescent="0.2">
      <c r="A241" s="379"/>
      <c r="B241" s="316"/>
      <c r="C241" s="360"/>
      <c r="D241" s="317"/>
      <c r="E241" s="379"/>
    </row>
    <row r="242" spans="1:5" ht="27" customHeight="1" x14ac:dyDescent="0.2">
      <c r="A242" s="379"/>
      <c r="B242" s="318"/>
      <c r="C242" s="361"/>
      <c r="D242" s="319"/>
      <c r="E242" s="379"/>
    </row>
    <row r="243" spans="1:5" ht="98.25" customHeight="1" x14ac:dyDescent="0.2">
      <c r="A243" s="379"/>
      <c r="B243" s="379"/>
      <c r="C243" s="379"/>
      <c r="D243" s="379"/>
      <c r="E243" s="379"/>
    </row>
  </sheetData>
  <sheetProtection algorithmName="SHA-512" hashValue="GAfUzMv98z9Wdp4IyjPXoJ7AKa0UbBkzJS7EE5+24g/a7wwUnCwRnqtl8DbcwDQrNC6rP6N1u7hLMW/kDym6pw==" saltValue="GSQohopLCTcr/zPjZLDFXw==" spinCount="100000" sheet="1" objects="1" scenarios="1"/>
  <autoFilter ref="B2:D242"/>
  <mergeCells count="1">
    <mergeCell ref="B1:D1"/>
  </mergeCells>
  <conditionalFormatting sqref="B3:D3">
    <cfRule type="containsBlanks" dxfId="113" priority="2" stopIfTrue="1">
      <formula>LEN(TRIM(B3))=0</formula>
    </cfRule>
  </conditionalFormatting>
  <conditionalFormatting sqref="B3:D242">
    <cfRule type="expression" dxfId="112" priority="1" stopIfTrue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scale="74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99FF99"/>
  </sheetPr>
  <dimension ref="A1:BG575"/>
  <sheetViews>
    <sheetView showRowColHeaders="0" showZeros="0" tabSelected="1" zoomScale="86" zoomScaleNormal="86" zoomScaleSheetLayoutView="122" workbookViewId="0">
      <pane xSplit="18" ySplit="10" topLeftCell="S123" activePane="bottomRight" state="frozen"/>
      <selection pane="topRight" activeCell="S1" sqref="S1"/>
      <selection pane="bottomLeft" activeCell="A11" sqref="A11"/>
      <selection pane="bottomRight" activeCell="B124" sqref="B124:Q144"/>
    </sheetView>
  </sheetViews>
  <sheetFormatPr defaultColWidth="7.77734375" defaultRowHeight="18.2" customHeight="1" x14ac:dyDescent="0.25"/>
  <cols>
    <col min="1" max="1" width="17.44140625" style="169" customWidth="1"/>
    <col min="2" max="2" width="9.77734375" style="169" customWidth="1"/>
    <col min="3" max="4" width="10.33203125" style="169" customWidth="1"/>
    <col min="5" max="9" width="9.77734375" style="169" customWidth="1"/>
    <col min="10" max="13" width="7.6640625" style="169" customWidth="1"/>
    <col min="14" max="17" width="9.109375" style="169" customWidth="1"/>
    <col min="18" max="18" width="5.21875" style="169" customWidth="1"/>
    <col min="19" max="19" width="18" style="169" hidden="1" customWidth="1"/>
    <col min="20" max="20" width="16.88671875" style="169" hidden="1" customWidth="1"/>
    <col min="21" max="21" width="8.44140625" style="169" hidden="1" customWidth="1"/>
    <col min="22" max="22" width="7.77734375" style="169" customWidth="1"/>
    <col min="23" max="23" width="52.5546875" style="169" hidden="1" customWidth="1"/>
    <col min="24" max="28" width="15.77734375" style="169" hidden="1" customWidth="1"/>
    <col min="29" max="29" width="59.5546875" style="169" hidden="1" customWidth="1"/>
    <col min="30" max="30" width="7.77734375" style="169" hidden="1" customWidth="1"/>
    <col min="31" max="31" width="15.77734375" style="169" hidden="1" customWidth="1"/>
    <col min="32" max="32" width="7.77734375" style="169" customWidth="1"/>
    <col min="33" max="33" width="59.5546875" style="169" hidden="1" customWidth="1"/>
    <col min="34" max="34" width="7.77734375" style="169" hidden="1" customWidth="1"/>
    <col min="35" max="35" width="15.77734375" style="169" hidden="1" customWidth="1"/>
    <col min="36" max="36" width="7.77734375" style="169" customWidth="1"/>
    <col min="37" max="37" width="59.5546875" style="169" hidden="1" customWidth="1"/>
    <col min="38" max="38" width="7.77734375" style="169" hidden="1" customWidth="1"/>
    <col min="39" max="39" width="15.77734375" style="169" hidden="1" customWidth="1"/>
    <col min="40" max="40" width="7.77734375" style="169" customWidth="1"/>
    <col min="41" max="41" width="59.5546875" style="220" hidden="1" customWidth="1"/>
    <col min="42" max="42" width="62.109375" style="169" hidden="1" customWidth="1"/>
    <col min="43" max="43" width="69.21875" style="169" hidden="1" customWidth="1"/>
    <col min="44" max="47" width="7.77734375" style="169" hidden="1" customWidth="1"/>
    <col min="48" max="51" width="10.5546875" style="169" hidden="1" customWidth="1"/>
    <col min="52" max="52" width="7.77734375" style="169" hidden="1" customWidth="1"/>
    <col min="53" max="53" width="10.5546875" style="169" hidden="1" customWidth="1"/>
    <col min="54" max="70" width="7.77734375" style="169" customWidth="1"/>
    <col min="71" max="16384" width="7.77734375" style="169"/>
  </cols>
  <sheetData>
    <row r="1" spans="1:41" ht="15" customHeight="1" x14ac:dyDescent="0.25">
      <c r="A1" s="79"/>
      <c r="B1" s="430" t="s">
        <v>203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  <c r="O1" s="430"/>
      <c r="P1" s="430"/>
      <c r="Q1" s="430"/>
      <c r="R1" s="376"/>
      <c r="S1" s="168"/>
      <c r="T1" s="168"/>
      <c r="U1" s="168"/>
      <c r="V1" s="168"/>
      <c r="AO1" s="169"/>
    </row>
    <row r="2" spans="1:41" ht="15" customHeight="1" x14ac:dyDescent="0.25">
      <c r="A2" s="79"/>
      <c r="B2" s="430" t="s">
        <v>204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  <c r="M2" s="430"/>
      <c r="N2" s="430"/>
      <c r="O2" s="430"/>
      <c r="P2" s="430"/>
      <c r="Q2" s="430"/>
      <c r="R2" s="376"/>
      <c r="S2" s="168"/>
      <c r="T2" s="168"/>
      <c r="U2" s="168"/>
      <c r="V2" s="168"/>
      <c r="AO2" s="169"/>
    </row>
    <row r="3" spans="1:41" ht="15" customHeight="1" x14ac:dyDescent="0.25">
      <c r="A3" s="79"/>
      <c r="B3" s="430" t="str">
        <f xml:space="preserve"> CONCATENATE("                   ",B8)</f>
        <v xml:space="preserve">                   Policlínica Asa Norte</v>
      </c>
      <c r="C3" s="430"/>
      <c r="D3" s="430"/>
      <c r="E3" s="430"/>
      <c r="F3" s="430"/>
      <c r="G3" s="430"/>
      <c r="H3" s="430"/>
      <c r="I3" s="430"/>
      <c r="J3" s="430"/>
      <c r="K3" s="430"/>
      <c r="L3" s="430"/>
      <c r="M3" s="430"/>
      <c r="N3" s="430"/>
      <c r="O3" s="430"/>
      <c r="P3" s="430"/>
      <c r="Q3" s="430"/>
      <c r="R3" s="376"/>
      <c r="S3" s="168"/>
      <c r="T3" s="168"/>
      <c r="U3" s="168"/>
      <c r="V3" s="168"/>
      <c r="AO3" s="169"/>
    </row>
    <row r="4" spans="1:41" ht="3.95" customHeight="1" x14ac:dyDescent="0.25">
      <c r="A4" s="79"/>
      <c r="B4" s="605"/>
      <c r="C4" s="605"/>
      <c r="D4" s="605"/>
      <c r="E4" s="605"/>
      <c r="F4" s="605"/>
      <c r="G4" s="605"/>
      <c r="H4" s="605"/>
      <c r="I4" s="605"/>
      <c r="J4" s="605"/>
      <c r="K4" s="605"/>
      <c r="L4" s="605"/>
      <c r="M4" s="605"/>
      <c r="N4" s="605"/>
      <c r="O4" s="605"/>
      <c r="P4" s="605"/>
      <c r="Q4" s="605"/>
      <c r="R4" s="376"/>
      <c r="S4" s="168"/>
      <c r="T4" s="168"/>
      <c r="U4" s="168"/>
      <c r="V4" s="168"/>
      <c r="AO4" s="169"/>
    </row>
    <row r="5" spans="1:41" ht="21" customHeight="1" x14ac:dyDescent="0.25">
      <c r="A5" s="79"/>
      <c r="B5" s="606" t="str">
        <f>IF(OR('CUSTO  TOTAL - QUADRIM.'!F5="-", 'CUSTO  TOTAL - QUADRIM.'!K2=""), "RELATÓRIO GERENCIAL DE CUSTO - QUADRIMESTRAL.",
CONCATENATE("RELATÓRIO GERENCIAL DE CUSTO - QUADRIMESTRE:  ",B10,"."))</f>
        <v>RELATÓRIO GERENCIAL DE CUSTO - QUADRIMESTRE:  JAN/25  a  ABR/25.</v>
      </c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606"/>
      <c r="R5" s="376"/>
      <c r="S5" s="168"/>
      <c r="T5" s="168"/>
      <c r="U5" s="168"/>
      <c r="V5" s="168"/>
      <c r="AO5" s="169"/>
    </row>
    <row r="6" spans="1:41" ht="3.95" customHeight="1" x14ac:dyDescent="0.25">
      <c r="A6" s="79"/>
      <c r="B6" s="609"/>
      <c r="C6" s="609"/>
      <c r="D6" s="609"/>
      <c r="E6" s="609"/>
      <c r="F6" s="609"/>
      <c r="G6" s="609"/>
      <c r="H6" s="609"/>
      <c r="I6" s="609"/>
      <c r="J6" s="609"/>
      <c r="K6" s="609"/>
      <c r="L6" s="609"/>
      <c r="M6" s="609"/>
      <c r="N6" s="609"/>
      <c r="O6" s="609"/>
      <c r="P6" s="609"/>
      <c r="Q6" s="609"/>
      <c r="R6" s="376"/>
      <c r="S6" s="168"/>
      <c r="T6" s="168"/>
      <c r="U6" s="168"/>
      <c r="V6" s="168"/>
      <c r="AO6" s="169"/>
    </row>
    <row r="7" spans="1:41" ht="14.1" customHeight="1" x14ac:dyDescent="0.25">
      <c r="A7" s="371"/>
      <c r="B7" s="610" t="s">
        <v>178</v>
      </c>
      <c r="C7" s="611"/>
      <c r="D7" s="611"/>
      <c r="E7" s="611"/>
      <c r="F7" s="611"/>
      <c r="G7" s="611"/>
      <c r="H7" s="611"/>
      <c r="I7" s="170" t="s">
        <v>201</v>
      </c>
      <c r="J7" s="170" t="s">
        <v>202</v>
      </c>
      <c r="K7" s="611" t="s">
        <v>8</v>
      </c>
      <c r="L7" s="611"/>
      <c r="M7" s="612" t="s">
        <v>4</v>
      </c>
      <c r="N7" s="612"/>
      <c r="O7" s="612"/>
      <c r="P7" s="612"/>
      <c r="Q7" s="613"/>
      <c r="R7" s="376"/>
      <c r="S7" s="617" t="s">
        <v>72</v>
      </c>
      <c r="T7" s="618"/>
      <c r="U7" s="168"/>
      <c r="V7" s="168"/>
      <c r="AO7" s="169"/>
    </row>
    <row r="8" spans="1:41" ht="18.2" customHeight="1" x14ac:dyDescent="0.25">
      <c r="A8" s="79"/>
      <c r="B8" s="619" t="s">
        <v>358</v>
      </c>
      <c r="C8" s="620"/>
      <c r="D8" s="620"/>
      <c r="E8" s="620"/>
      <c r="F8" s="620"/>
      <c r="G8" s="620"/>
      <c r="H8" s="620"/>
      <c r="I8" s="335"/>
      <c r="J8" s="335">
        <v>83</v>
      </c>
      <c r="K8" s="621" t="s">
        <v>359</v>
      </c>
      <c r="L8" s="622"/>
      <c r="M8" s="623" t="s">
        <v>360</v>
      </c>
      <c r="N8" s="623"/>
      <c r="O8" s="623"/>
      <c r="P8" s="623"/>
      <c r="Q8" s="624"/>
      <c r="R8" s="376"/>
      <c r="S8" s="171" t="str">
        <f>IF('CUSTO  TOTAL - QUADRIM.'!C5="","-",UPPER(TEXT('CUSTO  TOTAL - QUADRIM.'!C5,"MMM/AA")))</f>
        <v>JAN/25</v>
      </c>
      <c r="T8" s="171" t="str">
        <f>IF('CUSTO  TOTAL - QUADRIM.'!F5="","-",UPPER(TEXT('CUSTO  TOTAL - QUADRIM.'!F5,"MMM/AA")))</f>
        <v>ABR/25</v>
      </c>
      <c r="U8" s="168"/>
      <c r="V8" s="168"/>
      <c r="AO8" s="169"/>
    </row>
    <row r="9" spans="1:41" ht="14.1" customHeight="1" x14ac:dyDescent="0.25">
      <c r="A9" s="79"/>
      <c r="B9" s="610" t="s">
        <v>24</v>
      </c>
      <c r="C9" s="611"/>
      <c r="D9" s="611"/>
      <c r="E9" s="611" t="s">
        <v>9</v>
      </c>
      <c r="F9" s="611"/>
      <c r="G9" s="611" t="s">
        <v>10</v>
      </c>
      <c r="H9" s="611"/>
      <c r="I9" s="611"/>
      <c r="J9" s="611"/>
      <c r="K9" s="611" t="s">
        <v>8</v>
      </c>
      <c r="L9" s="611"/>
      <c r="M9" s="612" t="s">
        <v>11</v>
      </c>
      <c r="N9" s="612"/>
      <c r="O9" s="612"/>
      <c r="P9" s="612"/>
      <c r="Q9" s="613"/>
      <c r="R9" s="79"/>
      <c r="S9" s="168"/>
      <c r="T9" s="168"/>
      <c r="U9" s="168"/>
      <c r="V9" s="168"/>
      <c r="AO9" s="169"/>
    </row>
    <row r="10" spans="1:41" ht="18.2" customHeight="1" x14ac:dyDescent="0.25">
      <c r="A10" s="79"/>
      <c r="B10" s="636" t="str">
        <f xml:space="preserve"> CONCATENATE( S8,"  a  ", T8)</f>
        <v>JAN/25  a  ABR/25</v>
      </c>
      <c r="C10" s="637"/>
      <c r="D10" s="638"/>
      <c r="E10" s="639">
        <v>45852</v>
      </c>
      <c r="F10" s="640"/>
      <c r="G10" s="641" t="s">
        <v>361</v>
      </c>
      <c r="H10" s="642"/>
      <c r="I10" s="642"/>
      <c r="J10" s="643"/>
      <c r="K10" s="644" t="s">
        <v>362</v>
      </c>
      <c r="L10" s="622"/>
      <c r="M10" s="645" t="s">
        <v>363</v>
      </c>
      <c r="N10" s="623"/>
      <c r="O10" s="623"/>
      <c r="P10" s="623"/>
      <c r="Q10" s="624"/>
      <c r="R10" s="79"/>
      <c r="S10" s="168"/>
      <c r="T10" s="168"/>
      <c r="U10" s="168"/>
      <c r="V10" s="168"/>
      <c r="Z10" s="176"/>
      <c r="AA10" s="176"/>
      <c r="AO10" s="169"/>
    </row>
    <row r="11" spans="1:41" ht="18.2" customHeight="1" x14ac:dyDescent="0.25">
      <c r="A11" s="79"/>
      <c r="B11" s="630" t="str">
        <f>CONCATENATE("MÉDIA  DE  CUSTO:  ",$B$10)</f>
        <v>MÉDIA  DE  CUSTO:  JAN/25  a  ABR/25</v>
      </c>
      <c r="C11" s="631"/>
      <c r="D11" s="631"/>
      <c r="E11" s="631"/>
      <c r="F11" s="631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2"/>
      <c r="R11" s="79"/>
      <c r="S11" s="627" t="s">
        <v>87</v>
      </c>
      <c r="T11" s="628"/>
      <c r="U11" s="629"/>
      <c r="V11" s="172"/>
      <c r="W11" s="552" t="str">
        <f>CONCATENATE("ITEM  DE  CUSTO  CONSUMIDO  NO  PERÍODO³:  ",$B$10)</f>
        <v>ITEM  DE  CUSTO  CONSUMIDO  NO  PERÍODO³:  JAN/25  a  ABR/25</v>
      </c>
      <c r="X11" s="553"/>
      <c r="Y11" s="553"/>
      <c r="Z11" s="553"/>
      <c r="AA11" s="553"/>
      <c r="AB11" s="554"/>
      <c r="AO11" s="169"/>
    </row>
    <row r="12" spans="1:41" ht="18.2" customHeight="1" thickBot="1" x14ac:dyDescent="0.3">
      <c r="A12" s="79"/>
      <c r="B12" s="646" t="s">
        <v>215</v>
      </c>
      <c r="C12" s="647"/>
      <c r="D12" s="647"/>
      <c r="E12" s="625" t="s">
        <v>86</v>
      </c>
      <c r="F12" s="626"/>
      <c r="G12" s="368" t="s">
        <v>12</v>
      </c>
      <c r="H12" s="305"/>
      <c r="I12" s="304"/>
      <c r="J12" s="173"/>
      <c r="K12" s="173"/>
      <c r="L12" s="173"/>
      <c r="M12" s="173"/>
      <c r="N12" s="173"/>
      <c r="O12" s="173"/>
      <c r="P12" s="173"/>
      <c r="Q12" s="174"/>
      <c r="R12" s="376"/>
      <c r="S12" s="633" t="str">
        <f>CONCATENATE("CUSTOS  DA  UNIDADE  DE  SAÚDE:  ",T8)</f>
        <v>CUSTOS  DA  UNIDADE  DE  SAÚDE:  ABR/25</v>
      </c>
      <c r="T12" s="634"/>
      <c r="U12" s="635"/>
      <c r="V12" s="175"/>
      <c r="W12" s="187" t="s">
        <v>95</v>
      </c>
      <c r="X12" s="188">
        <f>IFERROR(VLOOKUP("Item Custo - Sintético Analítico",'CUSTO  TOTAL - QUADRIM.'!$B$5:$F$5,2,0),"Mês 1")</f>
        <v>45658</v>
      </c>
      <c r="Y12" s="188">
        <f>IFERROR(VLOOKUP("Item Custo - Sintético Analítico",'CUSTO  TOTAL - QUADRIM.'!$B$5:$F$5,3,0),"Mês 2")</f>
        <v>45689</v>
      </c>
      <c r="Z12" s="188">
        <f>IFERROR(VLOOKUP("Item Custo - Sintético Analítico",'CUSTO  TOTAL - QUADRIM.'!$B$5:$F$5,4,0),"Mês 3")</f>
        <v>45717</v>
      </c>
      <c r="AA12" s="189">
        <f>IFERROR(VLOOKUP("Item Custo - Sintético Analítico",'CUSTO  TOTAL - QUADRIM.'!$B$5:$F$5,5,0),"Mês 4")</f>
        <v>45748</v>
      </c>
      <c r="AB12" s="555" t="s">
        <v>86</v>
      </c>
      <c r="AO12" s="169"/>
    </row>
    <row r="13" spans="1:41" ht="18.2" customHeight="1" x14ac:dyDescent="0.25">
      <c r="A13" s="79"/>
      <c r="B13" s="680" t="s">
        <v>75</v>
      </c>
      <c r="C13" s="681"/>
      <c r="D13" s="681"/>
      <c r="E13" s="648">
        <f xml:space="preserve"> IFERROR( VLOOKUP( B13, $W$14:$AB$58, 6, 0), "-")</f>
        <v>1706408.8574999999</v>
      </c>
      <c r="F13" s="649"/>
      <c r="G13" s="177">
        <f xml:space="preserve"> IFERROR( E13*100/ $E$18/100," %")</f>
        <v>0.92383390129256593</v>
      </c>
      <c r="H13" s="178"/>
      <c r="I13" s="265"/>
      <c r="J13" s="179"/>
      <c r="K13" s="179"/>
      <c r="L13" s="179"/>
      <c r="M13" s="179"/>
      <c r="N13" s="173"/>
      <c r="O13" s="173"/>
      <c r="P13" s="173"/>
      <c r="Q13" s="174"/>
      <c r="R13" s="376"/>
      <c r="S13" s="180" t="s">
        <v>2</v>
      </c>
      <c r="T13" s="181" t="s">
        <v>74</v>
      </c>
      <c r="U13" s="181" t="s">
        <v>0</v>
      </c>
      <c r="V13" s="182"/>
      <c r="W13" s="193" t="s">
        <v>25</v>
      </c>
      <c r="X13" s="194" t="str">
        <f>UPPER(TEXT(X12,"MMM/AA"))</f>
        <v>JAN/25</v>
      </c>
      <c r="Y13" s="194" t="str">
        <f>UPPER(TEXT(Y12,"MMM/AA"))</f>
        <v>FEV/25</v>
      </c>
      <c r="Z13" s="194" t="str">
        <f>UPPER(TEXT(Z12,"MMM/AA"))</f>
        <v>MAR/25</v>
      </c>
      <c r="AA13" s="195" t="str">
        <f>UPPER(TEXT(AA12,"MMM/AA"))</f>
        <v>ABR/25</v>
      </c>
      <c r="AB13" s="556"/>
      <c r="AO13" s="169"/>
    </row>
    <row r="14" spans="1:41" ht="18.2" customHeight="1" x14ac:dyDescent="0.25">
      <c r="A14" s="79"/>
      <c r="B14" s="662" t="s">
        <v>183</v>
      </c>
      <c r="C14" s="663"/>
      <c r="D14" s="663"/>
      <c r="E14" s="650">
        <f xml:space="preserve"> IFERROR( VLOOKUP( B14, $W$14:$AB$58, 6, 0), "-")</f>
        <v>60516.627500000002</v>
      </c>
      <c r="F14" s="651"/>
      <c r="G14" s="183">
        <f xml:space="preserve"> IFERROR( E14*100/ $E$18/100," %")</f>
        <v>3.2763139871590817E-2</v>
      </c>
      <c r="H14" s="178"/>
      <c r="I14" s="184"/>
      <c r="J14" s="184"/>
      <c r="K14" s="184"/>
      <c r="L14" s="184"/>
      <c r="M14" s="184"/>
      <c r="N14" s="173"/>
      <c r="O14" s="173"/>
      <c r="P14" s="173"/>
      <c r="Q14" s="174"/>
      <c r="R14" s="376"/>
      <c r="S14" s="93" t="str">
        <f t="shared" ref="S14:S21" si="0" xml:space="preserve"> IF( E13="-", "", UPPER( B13))</f>
        <v>PESSOAL</v>
      </c>
      <c r="T14" s="185">
        <f t="shared" ref="T14:T21" si="1" xml:space="preserve"> IF( E13="-", "", E13)</f>
        <v>1706408.8574999999</v>
      </c>
      <c r="U14" s="186">
        <f t="shared" ref="U14:U21" si="2" xml:space="preserve"> IF( E13="-", "", G13)</f>
        <v>0.92383390129256593</v>
      </c>
      <c r="V14" s="182"/>
      <c r="W14" s="196" t="str">
        <f>'CUSTO  TOTAL - QUADRIM.'!B8</f>
        <v>Pessoal</v>
      </c>
      <c r="X14" s="197">
        <f t="shared" ref="X14" si="3">IFERROR(IF(W14="","", VLOOKUP(W14,_CUST_TOT_4m_,2,0)),"")</f>
        <v>1748881.79</v>
      </c>
      <c r="Y14" s="197">
        <f t="shared" ref="Y14" si="4">IFERROR(IF(W14="","", VLOOKUP(W14,_CUST_TOT_4m_,3,0)),"")</f>
        <v>1702634.46</v>
      </c>
      <c r="Z14" s="197">
        <f t="shared" ref="Z14" si="5">IFERROR(IF(W14="","", VLOOKUP(W14,_CUST_TOT_4m_,4,0)),"")</f>
        <v>1687127.68</v>
      </c>
      <c r="AA14" s="198">
        <f t="shared" ref="AA14" si="6">IFERROR(IF(W14="","", VLOOKUP(W14,_CUST_TOT_4m_,5,0)),"")</f>
        <v>1686991.5</v>
      </c>
      <c r="AB14" s="199">
        <f t="shared" ref="AB14:AB45" si="7">IFERROR(AVERAGE( X14:AA14),"")</f>
        <v>1706408.8574999999</v>
      </c>
      <c r="AO14" s="169"/>
    </row>
    <row r="15" spans="1:41" ht="18.2" customHeight="1" x14ac:dyDescent="0.25">
      <c r="A15" s="79"/>
      <c r="B15" s="660" t="s">
        <v>184</v>
      </c>
      <c r="C15" s="661"/>
      <c r="D15" s="661"/>
      <c r="E15" s="614">
        <f xml:space="preserve"> IFERROR( VLOOKUP( B15, $W$14:$AB$58, 6, 0), "-")</f>
        <v>63732.680000000008</v>
      </c>
      <c r="F15" s="615"/>
      <c r="G15" s="190">
        <f xml:space="preserve"> IFERROR( E15*100/ $E$18/100," %")</f>
        <v>3.4504280814910561E-2</v>
      </c>
      <c r="H15" s="178"/>
      <c r="I15" s="184"/>
      <c r="J15" s="184"/>
      <c r="K15" s="184"/>
      <c r="L15" s="184"/>
      <c r="M15" s="184"/>
      <c r="N15" s="191"/>
      <c r="O15" s="191"/>
      <c r="P15" s="191"/>
      <c r="Q15" s="192"/>
      <c r="R15" s="376"/>
      <c r="S15" s="93" t="str">
        <f t="shared" si="0"/>
        <v>MATERIAL DE CONSUMO</v>
      </c>
      <c r="T15" s="185">
        <f t="shared" si="1"/>
        <v>60516.627500000002</v>
      </c>
      <c r="U15" s="186">
        <f t="shared" si="2"/>
        <v>3.2763139871590817E-2</v>
      </c>
      <c r="V15" s="182"/>
      <c r="W15" s="201" t="str">
        <f>'CUSTO  TOTAL - QUADRIM.'!B9</f>
        <v>Provisão de Férias</v>
      </c>
      <c r="X15" s="197">
        <f t="shared" ref="X15:X78" si="8">IFERROR(IF(W15="","", VLOOKUP(W15,_CUST_TOT_4m_,2,0)),"")</f>
        <v>33024.81</v>
      </c>
      <c r="Y15" s="197">
        <f t="shared" ref="Y15:Y78" si="9">IFERROR(IF(W15="","", VLOOKUP(W15,_CUST_TOT_4m_,3,0)),"")</f>
        <v>31675.29</v>
      </c>
      <c r="Z15" s="197">
        <f t="shared" ref="Z15:Z78" si="10">IFERROR(IF(W15="","", VLOOKUP(W15,_CUST_TOT_4m_,4,0)),"")</f>
        <v>31986.67</v>
      </c>
      <c r="AA15" s="198">
        <f t="shared" ref="AA15:AA78" si="11">IFERROR(IF(W15="","", VLOOKUP(W15,_CUST_TOT_4m_,5,0)),"")</f>
        <v>31619.13</v>
      </c>
      <c r="AB15" s="199">
        <f t="shared" si="7"/>
        <v>32076.474999999999</v>
      </c>
      <c r="AO15" s="169"/>
    </row>
    <row r="16" spans="1:41" ht="18.2" customHeight="1" x14ac:dyDescent="0.25">
      <c r="A16" s="79"/>
      <c r="B16" s="662" t="s">
        <v>185</v>
      </c>
      <c r="C16" s="663"/>
      <c r="D16" s="663"/>
      <c r="E16" s="650">
        <f xml:space="preserve"> IFERROR( VLOOKUP( B16, $W$14:$AB$58, 6, 0), "-")</f>
        <v>16436.702499999999</v>
      </c>
      <c r="F16" s="651"/>
      <c r="G16" s="183">
        <f xml:space="preserve"> IFERROR( E16*100/ $E$18/100," %")</f>
        <v>8.8986780209327834E-3</v>
      </c>
      <c r="H16" s="178"/>
      <c r="I16" s="184"/>
      <c r="J16" s="184"/>
      <c r="K16" s="184"/>
      <c r="L16" s="184"/>
      <c r="M16" s="184"/>
      <c r="N16" s="191"/>
      <c r="O16" s="191"/>
      <c r="P16" s="191"/>
      <c r="Q16" s="192"/>
      <c r="R16" s="376"/>
      <c r="S16" s="93" t="str">
        <f t="shared" si="0"/>
        <v>SERVIÇOS DE TERCEIROS</v>
      </c>
      <c r="T16" s="185">
        <f t="shared" si="1"/>
        <v>63732.680000000008</v>
      </c>
      <c r="U16" s="186">
        <f t="shared" si="2"/>
        <v>3.4504280814910561E-2</v>
      </c>
      <c r="V16" s="182"/>
      <c r="W16" s="201" t="str">
        <f>'CUSTO  TOTAL - QUADRIM.'!B10</f>
        <v>Provisão de Gratificação Natalina (13º)</v>
      </c>
      <c r="X16" s="197">
        <f t="shared" si="8"/>
        <v>97862.67</v>
      </c>
      <c r="Y16" s="197">
        <f t="shared" si="9"/>
        <v>94306.84</v>
      </c>
      <c r="Z16" s="197">
        <f t="shared" si="10"/>
        <v>95246.14</v>
      </c>
      <c r="AA16" s="198">
        <f t="shared" si="11"/>
        <v>94127.76</v>
      </c>
      <c r="AB16" s="199">
        <f t="shared" si="7"/>
        <v>95385.852500000008</v>
      </c>
      <c r="AO16" s="169"/>
    </row>
    <row r="17" spans="1:41" ht="18.2" customHeight="1" thickBot="1" x14ac:dyDescent="0.3">
      <c r="A17" s="79"/>
      <c r="B17" s="692" t="s">
        <v>138</v>
      </c>
      <c r="C17" s="693"/>
      <c r="D17" s="693"/>
      <c r="E17" s="674" t="str">
        <f xml:space="preserve"> IFERROR( VLOOKUP( B17, $W$14:$AB$58, 6, 0), "-")</f>
        <v>-</v>
      </c>
      <c r="F17" s="675"/>
      <c r="G17" s="200" t="str">
        <f xml:space="preserve"> IFERROR( E17*100/ $E$18/100," %")</f>
        <v xml:space="preserve"> %</v>
      </c>
      <c r="H17" s="178"/>
      <c r="I17" s="184"/>
      <c r="J17" s="184"/>
      <c r="K17" s="184"/>
      <c r="L17" s="184"/>
      <c r="M17" s="184"/>
      <c r="N17" s="191"/>
      <c r="O17" s="191"/>
      <c r="P17" s="191"/>
      <c r="Q17" s="192"/>
      <c r="R17" s="376"/>
      <c r="S17" s="93" t="str">
        <f t="shared" si="0"/>
        <v>DESPESAS GERAIS</v>
      </c>
      <c r="T17" s="185">
        <f t="shared" si="1"/>
        <v>16436.702499999999</v>
      </c>
      <c r="U17" s="186">
        <f t="shared" si="2"/>
        <v>8.8986780209327834E-3</v>
      </c>
      <c r="V17" s="182"/>
      <c r="W17" s="201" t="str">
        <f>'CUSTO  TOTAL - QUADRIM.'!B11</f>
        <v>Provisão de Patronal</v>
      </c>
      <c r="X17" s="197">
        <f t="shared" si="8"/>
        <v>314348.64</v>
      </c>
      <c r="Y17" s="197">
        <f t="shared" si="9"/>
        <v>305157.45</v>
      </c>
      <c r="Z17" s="197">
        <f t="shared" si="10"/>
        <v>301495.84999999998</v>
      </c>
      <c r="AA17" s="198">
        <f t="shared" si="11"/>
        <v>303794.96000000002</v>
      </c>
      <c r="AB17" s="199">
        <f t="shared" si="7"/>
        <v>306199.22500000003</v>
      </c>
      <c r="AO17" s="169"/>
    </row>
    <row r="18" spans="1:41" ht="18.2" customHeight="1" x14ac:dyDescent="0.25">
      <c r="A18" s="79"/>
      <c r="B18" s="694" t="s">
        <v>216</v>
      </c>
      <c r="C18" s="695"/>
      <c r="D18" s="695"/>
      <c r="E18" s="670">
        <f xml:space="preserve"> IF( SUM( E13:F16) =0, "-", SUM( E13:F16))</f>
        <v>1847094.8674999997</v>
      </c>
      <c r="F18" s="671"/>
      <c r="G18" s="388" t="str">
        <f xml:space="preserve"> IFERROR( IF( E18*100/ $E$18/100=100%,"100%", E18*100/ $E$18/100), "%")</f>
        <v>100%</v>
      </c>
      <c r="H18" s="178"/>
      <c r="I18" s="184"/>
      <c r="J18" s="184"/>
      <c r="K18" s="184"/>
      <c r="L18" s="184"/>
      <c r="M18" s="184"/>
      <c r="N18" s="191"/>
      <c r="O18" s="191"/>
      <c r="P18" s="191"/>
      <c r="Q18" s="192"/>
      <c r="R18" s="376"/>
      <c r="S18" s="93" t="str">
        <f t="shared" si="0"/>
        <v/>
      </c>
      <c r="T18" s="185" t="str">
        <f t="shared" si="1"/>
        <v/>
      </c>
      <c r="U18" s="186" t="str">
        <f t="shared" si="2"/>
        <v/>
      </c>
      <c r="V18" s="202"/>
      <c r="W18" s="201" t="str">
        <f>'CUSTO  TOTAL - QUADRIM.'!B12</f>
        <v>Remuneração a Pessoal - Estatutário</v>
      </c>
      <c r="X18" s="197">
        <f t="shared" si="8"/>
        <v>1247234.8700000001</v>
      </c>
      <c r="Y18" s="197">
        <f t="shared" si="9"/>
        <v>1207439.96</v>
      </c>
      <c r="Z18" s="197">
        <f t="shared" si="10"/>
        <v>1219203.98</v>
      </c>
      <c r="AA18" s="198">
        <f t="shared" si="11"/>
        <v>1205392.06</v>
      </c>
      <c r="AB18" s="199">
        <f t="shared" si="7"/>
        <v>1219817.7175</v>
      </c>
      <c r="AO18" s="169"/>
    </row>
    <row r="19" spans="1:41" ht="18.2" customHeight="1" thickBot="1" x14ac:dyDescent="0.3">
      <c r="A19" s="79"/>
      <c r="B19" s="696" t="s">
        <v>214</v>
      </c>
      <c r="C19" s="697"/>
      <c r="D19" s="697"/>
      <c r="E19" s="672">
        <f xml:space="preserve"> IF( $E$18="-", "-", S24)</f>
        <v>81709.195000000007</v>
      </c>
      <c r="F19" s="673"/>
      <c r="G19" s="389">
        <f xml:space="preserve"> IFERROR( E19*100/ $E$18/100," %")</f>
        <v>4.4236599017023703E-2</v>
      </c>
      <c r="H19" s="178"/>
      <c r="I19" s="184"/>
      <c r="J19" s="184"/>
      <c r="K19" s="184"/>
      <c r="L19" s="184"/>
      <c r="M19" s="184"/>
      <c r="N19" s="191"/>
      <c r="O19" s="191"/>
      <c r="P19" s="191"/>
      <c r="Q19" s="192"/>
      <c r="R19" s="376"/>
      <c r="S19" s="203" t="str">
        <f t="shared" si="0"/>
        <v xml:space="preserve">SOMA DOS GRUPOS:  </v>
      </c>
      <c r="T19" s="204">
        <f t="shared" si="1"/>
        <v>1847094.8674999997</v>
      </c>
      <c r="U19" s="205" t="str">
        <f t="shared" si="2"/>
        <v>100%</v>
      </c>
      <c r="V19" s="182"/>
      <c r="W19" s="201" t="str">
        <f>'CUSTO  TOTAL - QUADRIM.'!B13</f>
        <v>Remuneração a Pessoal - Residente</v>
      </c>
      <c r="X19" s="197">
        <f t="shared" si="8"/>
        <v>56410.8</v>
      </c>
      <c r="Y19" s="197">
        <f t="shared" si="9"/>
        <v>64054.92</v>
      </c>
      <c r="Z19" s="197">
        <f t="shared" si="10"/>
        <v>39195.040000000001</v>
      </c>
      <c r="AA19" s="198">
        <f t="shared" si="11"/>
        <v>52057.59</v>
      </c>
      <c r="AB19" s="199">
        <f t="shared" si="7"/>
        <v>52929.587500000001</v>
      </c>
      <c r="AO19" s="169"/>
    </row>
    <row r="20" spans="1:41" ht="18.2" customHeight="1" x14ac:dyDescent="0.25">
      <c r="A20" s="79"/>
      <c r="B20" s="655" t="s">
        <v>217</v>
      </c>
      <c r="C20" s="656"/>
      <c r="D20" s="657"/>
      <c r="E20" s="664">
        <f xml:space="preserve"> IFERROR( E18 - E19, E18)</f>
        <v>1765385.6724999996</v>
      </c>
      <c r="F20" s="665"/>
      <c r="G20" s="390">
        <f xml:space="preserve"> IFERROR( E20*100/ $E$18/100," %")</f>
        <v>0.9557634009829763</v>
      </c>
      <c r="H20" s="306"/>
      <c r="I20" s="206"/>
      <c r="J20" s="206"/>
      <c r="K20" s="206"/>
      <c r="L20" s="206"/>
      <c r="M20" s="206"/>
      <c r="N20" s="207"/>
      <c r="O20" s="207"/>
      <c r="P20" s="207"/>
      <c r="Q20" s="208"/>
      <c r="R20" s="376"/>
      <c r="S20" s="93" t="str">
        <f t="shared" si="0"/>
        <v xml:space="preserve">CUSTO EXTERNO:  </v>
      </c>
      <c r="T20" s="185">
        <f t="shared" si="1"/>
        <v>81709.195000000007</v>
      </c>
      <c r="U20" s="186">
        <f t="shared" si="2"/>
        <v>4.4236599017023703E-2</v>
      </c>
      <c r="V20" s="182"/>
      <c r="W20" s="201" t="str">
        <f>'CUSTO  TOTAL - QUADRIM.'!B14</f>
        <v>Material de Consumo</v>
      </c>
      <c r="X20" s="197">
        <f t="shared" si="8"/>
        <v>48206.54</v>
      </c>
      <c r="Y20" s="197">
        <f t="shared" si="9"/>
        <v>52293.16</v>
      </c>
      <c r="Z20" s="197">
        <f t="shared" si="10"/>
        <v>80914.3</v>
      </c>
      <c r="AA20" s="198">
        <f t="shared" si="11"/>
        <v>60652.51</v>
      </c>
      <c r="AB20" s="199">
        <f t="shared" si="7"/>
        <v>60516.627500000002</v>
      </c>
      <c r="AO20" s="169"/>
    </row>
    <row r="21" spans="1:41" ht="18.2" customHeight="1" x14ac:dyDescent="0.25">
      <c r="A21" s="79"/>
      <c r="B21" s="666"/>
      <c r="C21" s="666"/>
      <c r="D21" s="666"/>
      <c r="E21" s="666"/>
      <c r="F21" s="666"/>
      <c r="G21" s="666"/>
      <c r="H21" s="666"/>
      <c r="I21" s="666"/>
      <c r="J21" s="666"/>
      <c r="K21" s="666"/>
      <c r="L21" s="666"/>
      <c r="M21" s="666"/>
      <c r="N21" s="666"/>
      <c r="O21" s="666"/>
      <c r="P21" s="666"/>
      <c r="Q21" s="666"/>
      <c r="R21" s="376"/>
      <c r="S21" s="209" t="str">
        <f t="shared" si="0"/>
        <v>CUSTO  TOTAL  (SOMA + CUSTO EXTERNO): .</v>
      </c>
      <c r="T21" s="185">
        <f t="shared" si="1"/>
        <v>1765385.6724999996</v>
      </c>
      <c r="U21" s="186">
        <f t="shared" si="2"/>
        <v>0.9557634009829763</v>
      </c>
      <c r="V21" s="210"/>
      <c r="W21" s="201" t="str">
        <f>'CUSTO  TOTAL - QUADRIM.'!B15</f>
        <v>Material de Expediente</v>
      </c>
      <c r="X21" s="197">
        <f t="shared" si="8"/>
        <v>298.48</v>
      </c>
      <c r="Y21" s="197">
        <f t="shared" si="9"/>
        <v>733.94</v>
      </c>
      <c r="Z21" s="197">
        <f t="shared" si="10"/>
        <v>394.18</v>
      </c>
      <c r="AA21" s="198">
        <f t="shared" si="11"/>
        <v>922.81</v>
      </c>
      <c r="AB21" s="199">
        <f t="shared" si="7"/>
        <v>587.35249999999996</v>
      </c>
      <c r="AO21" s="169"/>
    </row>
    <row r="22" spans="1:41" ht="18.2" customHeight="1" x14ac:dyDescent="0.25">
      <c r="A22" s="79"/>
      <c r="B22" s="667" t="str">
        <f>CONCATENATE("DESTAQUE DE ITEM DE CUSTO - CUSTO MÉDIO:  ",$B$10)</f>
        <v>DESTAQUE DE ITEM DE CUSTO - CUSTO MÉDIO:  JAN/25  a  ABR/25</v>
      </c>
      <c r="C22" s="668"/>
      <c r="D22" s="668"/>
      <c r="E22" s="668"/>
      <c r="F22" s="668"/>
      <c r="G22" s="668"/>
      <c r="H22" s="668"/>
      <c r="I22" s="668"/>
      <c r="J22" s="668"/>
      <c r="K22" s="668"/>
      <c r="L22" s="668"/>
      <c r="M22" s="668"/>
      <c r="N22" s="668"/>
      <c r="O22" s="668"/>
      <c r="P22" s="668"/>
      <c r="Q22" s="669"/>
      <c r="R22" s="79"/>
      <c r="S22" s="211"/>
      <c r="T22" s="212"/>
      <c r="U22" s="213"/>
      <c r="W22" s="201" t="str">
        <f>'CUSTO  TOTAL - QUADRIM.'!B16</f>
        <v>Material Laboratorial</v>
      </c>
      <c r="X22" s="197">
        <f t="shared" si="8"/>
        <v>53.45</v>
      </c>
      <c r="Y22" s="197">
        <f t="shared" si="9"/>
        <v>56.65</v>
      </c>
      <c r="Z22" s="197">
        <f t="shared" si="10"/>
        <v>0</v>
      </c>
      <c r="AA22" s="198">
        <f t="shared" si="11"/>
        <v>0</v>
      </c>
      <c r="AB22" s="199">
        <f t="shared" si="7"/>
        <v>27.524999999999999</v>
      </c>
      <c r="AO22" s="169"/>
    </row>
    <row r="23" spans="1:41" ht="18.2" customHeight="1" thickBot="1" x14ac:dyDescent="0.3">
      <c r="A23" s="79"/>
      <c r="B23" s="600" t="str">
        <f>B12</f>
        <v xml:space="preserve"> GRUPOS  DE  CUSTOS</v>
      </c>
      <c r="C23" s="601"/>
      <c r="D23" s="601"/>
      <c r="E23" s="616" t="s">
        <v>218</v>
      </c>
      <c r="F23" s="601"/>
      <c r="G23" s="601"/>
      <c r="H23" s="601"/>
      <c r="I23" s="601"/>
      <c r="J23" s="601"/>
      <c r="K23" s="601"/>
      <c r="L23" s="601"/>
      <c r="M23" s="602"/>
      <c r="N23" s="616" t="s">
        <v>86</v>
      </c>
      <c r="O23" s="602"/>
      <c r="P23" s="616" t="s">
        <v>21</v>
      </c>
      <c r="Q23" s="654"/>
      <c r="R23" s="79"/>
      <c r="S23" s="214" t="s">
        <v>88</v>
      </c>
      <c r="T23" s="465" t="s">
        <v>13</v>
      </c>
      <c r="U23" s="466"/>
      <c r="W23" s="201" t="str">
        <f>'CUSTO  TOTAL - QUADRIM.'!B17</f>
        <v>Material Médico-Hospitalar</v>
      </c>
      <c r="X23" s="197">
        <f t="shared" si="8"/>
        <v>28086.65</v>
      </c>
      <c r="Y23" s="197">
        <f t="shared" si="9"/>
        <v>32114.66</v>
      </c>
      <c r="Z23" s="197">
        <f t="shared" si="10"/>
        <v>31998.04</v>
      </c>
      <c r="AA23" s="198">
        <f t="shared" si="11"/>
        <v>27792.17</v>
      </c>
      <c r="AB23" s="199">
        <f t="shared" si="7"/>
        <v>29997.88</v>
      </c>
      <c r="AO23" s="169"/>
    </row>
    <row r="24" spans="1:41" ht="18.2" customHeight="1" x14ac:dyDescent="0.25">
      <c r="A24" s="79"/>
      <c r="B24" s="564" t="str">
        <f xml:space="preserve">
CONCATENATE( "PESSOAL", CHAR(10),
"Soma da Média:", CHAR(10), TEXT( SUM( N24:O38), "R$ 0.000,00"))</f>
        <v>PESSOAL
Soma da Média:
R$ 1.706.408,86</v>
      </c>
      <c r="C24" s="565"/>
      <c r="D24" s="566"/>
      <c r="E24" s="597" t="s">
        <v>96</v>
      </c>
      <c r="F24" s="598"/>
      <c r="G24" s="598"/>
      <c r="H24" s="598"/>
      <c r="I24" s="598"/>
      <c r="J24" s="598"/>
      <c r="K24" s="598"/>
      <c r="L24" s="598"/>
      <c r="M24" s="599"/>
      <c r="N24" s="607" t="str">
        <f t="shared" ref="N24:N37" si="12">IFERROR( VLOOKUP( E24, $W$14:$AB$85, 6, 0), "-")</f>
        <v>-</v>
      </c>
      <c r="O24" s="608"/>
      <c r="P24" s="425" t="str">
        <f t="shared" ref="P24:P38" si="13">IFERROR( (N24*100)/ $E$13/ 100, "-")</f>
        <v>-</v>
      </c>
      <c r="Q24" s="426"/>
      <c r="R24" s="79"/>
      <c r="S24" s="215">
        <f>AVERAGE('C.  EXTERNO - QUADRIM.'!F6:F124)</f>
        <v>81709.195000000007</v>
      </c>
      <c r="T24" s="467" t="s">
        <v>14</v>
      </c>
      <c r="U24" s="468"/>
      <c r="W24" s="201" t="str">
        <f>'CUSTO  TOTAL - QUADRIM.'!B18</f>
        <v>Material para Reabilitação (Órteses, próteses e materiais especiais - OPME)</v>
      </c>
      <c r="X24" s="197">
        <f t="shared" si="8"/>
        <v>17330.23</v>
      </c>
      <c r="Y24" s="197">
        <f t="shared" si="9"/>
        <v>18039.669999999998</v>
      </c>
      <c r="Z24" s="197">
        <f t="shared" si="10"/>
        <v>13901.03</v>
      </c>
      <c r="AA24" s="198">
        <f t="shared" si="11"/>
        <v>29132.83</v>
      </c>
      <c r="AB24" s="199">
        <f t="shared" si="7"/>
        <v>19600.939999999999</v>
      </c>
      <c r="AO24" s="169"/>
    </row>
    <row r="25" spans="1:41" ht="18.2" customHeight="1" x14ac:dyDescent="0.25">
      <c r="A25" s="79"/>
      <c r="B25" s="564"/>
      <c r="C25" s="565"/>
      <c r="D25" s="566"/>
      <c r="E25" s="483" t="s">
        <v>170</v>
      </c>
      <c r="F25" s="484"/>
      <c r="G25" s="484"/>
      <c r="H25" s="484"/>
      <c r="I25" s="484"/>
      <c r="J25" s="484"/>
      <c r="K25" s="484"/>
      <c r="L25" s="484"/>
      <c r="M25" s="485"/>
      <c r="N25" s="498" t="str">
        <f t="shared" si="12"/>
        <v>-</v>
      </c>
      <c r="O25" s="499"/>
      <c r="P25" s="490" t="str">
        <f t="shared" si="13"/>
        <v>-</v>
      </c>
      <c r="Q25" s="491"/>
      <c r="R25" s="79"/>
      <c r="T25" s="91">
        <f>IFERROR(AVERAGE(P24:Q38),"-")</f>
        <v>0.2</v>
      </c>
      <c r="U25" s="92" t="s">
        <v>75</v>
      </c>
      <c r="W25" s="201" t="str">
        <f>'CUSTO  TOTAL - QUADRIM.'!B19</f>
        <v>Medicamentos</v>
      </c>
      <c r="X25" s="197">
        <f t="shared" si="8"/>
        <v>2388.56</v>
      </c>
      <c r="Y25" s="197">
        <f t="shared" si="9"/>
        <v>1151.23</v>
      </c>
      <c r="Z25" s="197">
        <f t="shared" si="10"/>
        <v>34494.22</v>
      </c>
      <c r="AA25" s="198">
        <f t="shared" si="11"/>
        <v>2687.49</v>
      </c>
      <c r="AB25" s="199">
        <f t="shared" si="7"/>
        <v>10180.375</v>
      </c>
      <c r="AO25" s="169"/>
    </row>
    <row r="26" spans="1:41" ht="18.2" customHeight="1" x14ac:dyDescent="0.25">
      <c r="A26" s="79"/>
      <c r="B26" s="564"/>
      <c r="C26" s="565"/>
      <c r="D26" s="566"/>
      <c r="E26" s="492" t="s">
        <v>90</v>
      </c>
      <c r="F26" s="493"/>
      <c r="G26" s="493"/>
      <c r="H26" s="493"/>
      <c r="I26" s="493"/>
      <c r="J26" s="493"/>
      <c r="K26" s="493"/>
      <c r="L26" s="493"/>
      <c r="M26" s="494"/>
      <c r="N26" s="475">
        <f t="shared" si="12"/>
        <v>32076.474999999999</v>
      </c>
      <c r="O26" s="476"/>
      <c r="P26" s="427">
        <f t="shared" si="13"/>
        <v>1.8797649144293663E-2</v>
      </c>
      <c r="Q26" s="428"/>
      <c r="R26" s="79"/>
      <c r="S26" s="216"/>
      <c r="T26" s="217"/>
      <c r="U26" s="217"/>
      <c r="W26" s="201" t="str">
        <f>'CUSTO  TOTAL - QUADRIM.'!B20</f>
        <v>Outros Materiais de Consumo</v>
      </c>
      <c r="X26" s="197">
        <f t="shared" si="8"/>
        <v>49.17</v>
      </c>
      <c r="Y26" s="197">
        <f t="shared" si="9"/>
        <v>197.01</v>
      </c>
      <c r="Z26" s="197">
        <f t="shared" si="10"/>
        <v>126.83</v>
      </c>
      <c r="AA26" s="198">
        <f t="shared" si="11"/>
        <v>117.21</v>
      </c>
      <c r="AB26" s="199">
        <f t="shared" si="7"/>
        <v>122.55499999999999</v>
      </c>
      <c r="AO26" s="169"/>
    </row>
    <row r="27" spans="1:41" ht="18.2" customHeight="1" x14ac:dyDescent="0.25">
      <c r="A27" s="79"/>
      <c r="B27" s="564"/>
      <c r="C27" s="565"/>
      <c r="D27" s="566"/>
      <c r="E27" s="483" t="s">
        <v>171</v>
      </c>
      <c r="F27" s="484"/>
      <c r="G27" s="484"/>
      <c r="H27" s="484"/>
      <c r="I27" s="484"/>
      <c r="J27" s="484"/>
      <c r="K27" s="484"/>
      <c r="L27" s="484"/>
      <c r="M27" s="485"/>
      <c r="N27" s="498" t="str">
        <f t="shared" si="12"/>
        <v>-</v>
      </c>
      <c r="O27" s="499"/>
      <c r="P27" s="490" t="str">
        <f t="shared" si="13"/>
        <v>-</v>
      </c>
      <c r="Q27" s="491"/>
      <c r="R27" s="79"/>
      <c r="S27" s="216"/>
      <c r="T27" s="217"/>
      <c r="U27" s="217"/>
      <c r="W27" s="201" t="str">
        <f>'CUSTO  TOTAL - QUADRIM.'!B21</f>
        <v>Serviços de Terceiros</v>
      </c>
      <c r="X27" s="197">
        <f t="shared" si="8"/>
        <v>65840.25</v>
      </c>
      <c r="Y27" s="197">
        <f t="shared" si="9"/>
        <v>57459.35</v>
      </c>
      <c r="Z27" s="197">
        <f t="shared" si="10"/>
        <v>66193.67</v>
      </c>
      <c r="AA27" s="198">
        <f t="shared" si="11"/>
        <v>65437.45</v>
      </c>
      <c r="AB27" s="199">
        <f t="shared" si="7"/>
        <v>63732.680000000008</v>
      </c>
      <c r="AO27" s="169"/>
    </row>
    <row r="28" spans="1:41" ht="18.2" customHeight="1" x14ac:dyDescent="0.25">
      <c r="A28" s="79"/>
      <c r="B28" s="564"/>
      <c r="C28" s="565"/>
      <c r="D28" s="566"/>
      <c r="E28" s="492" t="s">
        <v>172</v>
      </c>
      <c r="F28" s="493"/>
      <c r="G28" s="493"/>
      <c r="H28" s="493"/>
      <c r="I28" s="493"/>
      <c r="J28" s="493"/>
      <c r="K28" s="493"/>
      <c r="L28" s="493"/>
      <c r="M28" s="494"/>
      <c r="N28" s="475" t="str">
        <f t="shared" si="12"/>
        <v>-</v>
      </c>
      <c r="O28" s="476"/>
      <c r="P28" s="427" t="str">
        <f t="shared" si="13"/>
        <v>-</v>
      </c>
      <c r="Q28" s="428"/>
      <c r="R28" s="79"/>
      <c r="S28" s="216"/>
      <c r="W28" s="201" t="str">
        <f>'CUSTO  TOTAL - QUADRIM.'!B22</f>
        <v>Serviço de Coleta de Resíduos de Serviços de Saúde</v>
      </c>
      <c r="X28" s="197">
        <f t="shared" si="8"/>
        <v>717.85</v>
      </c>
      <c r="Y28" s="197">
        <f t="shared" si="9"/>
        <v>879.2</v>
      </c>
      <c r="Z28" s="197">
        <f t="shared" si="10"/>
        <v>927.61</v>
      </c>
      <c r="AA28" s="198">
        <f t="shared" si="11"/>
        <v>1048.05</v>
      </c>
      <c r="AB28" s="199">
        <f t="shared" si="7"/>
        <v>893.17750000000001</v>
      </c>
      <c r="AO28" s="169"/>
    </row>
    <row r="29" spans="1:41" ht="18.2" customHeight="1" x14ac:dyDescent="0.25">
      <c r="A29" s="79"/>
      <c r="B29" s="564"/>
      <c r="C29" s="565"/>
      <c r="D29" s="566"/>
      <c r="E29" s="483" t="s">
        <v>91</v>
      </c>
      <c r="F29" s="484"/>
      <c r="G29" s="484"/>
      <c r="H29" s="484"/>
      <c r="I29" s="484"/>
      <c r="J29" s="484"/>
      <c r="K29" s="484"/>
      <c r="L29" s="484"/>
      <c r="M29" s="485"/>
      <c r="N29" s="498">
        <f t="shared" si="12"/>
        <v>95385.852500000008</v>
      </c>
      <c r="O29" s="499"/>
      <c r="P29" s="490">
        <f t="shared" si="13"/>
        <v>5.5898591993800643E-2</v>
      </c>
      <c r="Q29" s="491"/>
      <c r="R29" s="79"/>
      <c r="S29" s="216"/>
      <c r="W29" s="201" t="str">
        <f>'CUSTO  TOTAL - QUADRIM.'!B23</f>
        <v>Serviço de Manutenção e Conservação de Bens Móveis e Outras Naturezas</v>
      </c>
      <c r="X29" s="197">
        <f t="shared" si="8"/>
        <v>806.67</v>
      </c>
      <c r="Y29" s="197">
        <f t="shared" si="9"/>
        <v>0</v>
      </c>
      <c r="Z29" s="197">
        <f t="shared" si="10"/>
        <v>0</v>
      </c>
      <c r="AA29" s="198">
        <f t="shared" si="11"/>
        <v>0</v>
      </c>
      <c r="AB29" s="199">
        <f t="shared" si="7"/>
        <v>201.66749999999999</v>
      </c>
      <c r="AO29" s="169"/>
    </row>
    <row r="30" spans="1:41" ht="18.2" customHeight="1" x14ac:dyDescent="0.25">
      <c r="A30" s="79"/>
      <c r="B30" s="564"/>
      <c r="C30" s="565"/>
      <c r="D30" s="566"/>
      <c r="E30" s="492" t="s">
        <v>92</v>
      </c>
      <c r="F30" s="493"/>
      <c r="G30" s="493"/>
      <c r="H30" s="493"/>
      <c r="I30" s="493"/>
      <c r="J30" s="493"/>
      <c r="K30" s="493"/>
      <c r="L30" s="493"/>
      <c r="M30" s="494"/>
      <c r="N30" s="475">
        <f t="shared" si="12"/>
        <v>306199.22500000003</v>
      </c>
      <c r="O30" s="476"/>
      <c r="P30" s="427">
        <f t="shared" si="13"/>
        <v>0.17944071472331774</v>
      </c>
      <c r="Q30" s="428"/>
      <c r="R30" s="79"/>
      <c r="S30" s="216"/>
      <c r="W30" s="201" t="str">
        <f>'CUSTO  TOTAL - QUADRIM.'!B24</f>
        <v>Serviço de Manutenção e Conservação de Máquinas e Equipamentos</v>
      </c>
      <c r="X30" s="197">
        <f t="shared" si="8"/>
        <v>1558.33</v>
      </c>
      <c r="Y30" s="197">
        <f t="shared" si="9"/>
        <v>1558.33</v>
      </c>
      <c r="Z30" s="197">
        <f t="shared" si="10"/>
        <v>2283.33</v>
      </c>
      <c r="AA30" s="198">
        <f t="shared" si="11"/>
        <v>1712.33</v>
      </c>
      <c r="AB30" s="199">
        <f t="shared" si="7"/>
        <v>1778.08</v>
      </c>
      <c r="AO30" s="169"/>
    </row>
    <row r="31" spans="1:41" ht="18.2" customHeight="1" x14ac:dyDescent="0.25">
      <c r="A31" s="79"/>
      <c r="B31" s="564"/>
      <c r="C31" s="565"/>
      <c r="D31" s="566"/>
      <c r="E31" s="483" t="s">
        <v>174</v>
      </c>
      <c r="F31" s="484"/>
      <c r="G31" s="484"/>
      <c r="H31" s="484"/>
      <c r="I31" s="484"/>
      <c r="J31" s="484"/>
      <c r="K31" s="484"/>
      <c r="L31" s="484"/>
      <c r="M31" s="485"/>
      <c r="N31" s="498" t="str">
        <f t="shared" si="12"/>
        <v>-</v>
      </c>
      <c r="O31" s="499"/>
      <c r="P31" s="490" t="str">
        <f t="shared" si="13"/>
        <v>-</v>
      </c>
      <c r="Q31" s="491"/>
      <c r="R31" s="79"/>
      <c r="S31" s="216"/>
      <c r="T31" s="217"/>
      <c r="U31" s="217"/>
      <c r="W31" s="201" t="str">
        <f>'CUSTO  TOTAL - QUADRIM.'!B25</f>
        <v>Serviços de Brigada de Incêndio.</v>
      </c>
      <c r="X31" s="197">
        <f t="shared" si="8"/>
        <v>7045.42</v>
      </c>
      <c r="Y31" s="197">
        <f t="shared" si="9"/>
        <v>7045.42</v>
      </c>
      <c r="Z31" s="197">
        <f t="shared" si="10"/>
        <v>7237.57</v>
      </c>
      <c r="AA31" s="198">
        <f t="shared" si="11"/>
        <v>7045.42</v>
      </c>
      <c r="AB31" s="199">
        <f t="shared" si="7"/>
        <v>7093.4575000000004</v>
      </c>
      <c r="AO31" s="169"/>
    </row>
    <row r="32" spans="1:41" ht="18.2" customHeight="1" x14ac:dyDescent="0.25">
      <c r="A32" s="79"/>
      <c r="B32" s="564"/>
      <c r="C32" s="565"/>
      <c r="D32" s="566"/>
      <c r="E32" s="492" t="s">
        <v>175</v>
      </c>
      <c r="F32" s="493"/>
      <c r="G32" s="493"/>
      <c r="H32" s="493"/>
      <c r="I32" s="493"/>
      <c r="J32" s="493"/>
      <c r="K32" s="493"/>
      <c r="L32" s="493"/>
      <c r="M32" s="494"/>
      <c r="N32" s="475">
        <f t="shared" si="12"/>
        <v>1219817.7175</v>
      </c>
      <c r="O32" s="476"/>
      <c r="P32" s="427">
        <f t="shared" si="13"/>
        <v>0.71484492836442048</v>
      </c>
      <c r="Q32" s="428"/>
      <c r="R32" s="79"/>
      <c r="S32" s="218"/>
      <c r="W32" s="201" t="str">
        <f>'CUSTO  TOTAL - QUADRIM.'!B26</f>
        <v>Serviços de Cópias e Reprodução de Documentos</v>
      </c>
      <c r="X32" s="197">
        <f t="shared" si="8"/>
        <v>1645.11</v>
      </c>
      <c r="Y32" s="197">
        <f t="shared" si="9"/>
        <v>1652.49</v>
      </c>
      <c r="Z32" s="197">
        <f t="shared" si="10"/>
        <v>1678.29</v>
      </c>
      <c r="AA32" s="198">
        <f t="shared" si="11"/>
        <v>1564.78</v>
      </c>
      <c r="AB32" s="199">
        <f t="shared" si="7"/>
        <v>1635.1674999999998</v>
      </c>
      <c r="AO32" s="169"/>
    </row>
    <row r="33" spans="1:41" ht="18.2" customHeight="1" x14ac:dyDescent="0.25">
      <c r="A33" s="79"/>
      <c r="B33" s="564"/>
      <c r="C33" s="565"/>
      <c r="D33" s="566"/>
      <c r="E33" s="483" t="s">
        <v>173</v>
      </c>
      <c r="F33" s="484"/>
      <c r="G33" s="484"/>
      <c r="H33" s="484"/>
      <c r="I33" s="484"/>
      <c r="J33" s="484"/>
      <c r="K33" s="484"/>
      <c r="L33" s="484"/>
      <c r="M33" s="485"/>
      <c r="N33" s="498" t="str">
        <f t="shared" si="12"/>
        <v>-</v>
      </c>
      <c r="O33" s="499"/>
      <c r="P33" s="490" t="str">
        <f t="shared" si="13"/>
        <v>-</v>
      </c>
      <c r="Q33" s="491"/>
      <c r="R33" s="79"/>
      <c r="S33" s="218"/>
      <c r="W33" s="201" t="str">
        <f>'CUSTO  TOTAL - QUADRIM.'!B27</f>
        <v>Serviços de Limpeza e Conservação</v>
      </c>
      <c r="X33" s="197">
        <f t="shared" si="8"/>
        <v>30837.99</v>
      </c>
      <c r="Y33" s="197">
        <f t="shared" si="9"/>
        <v>30837.99</v>
      </c>
      <c r="Z33" s="197">
        <f t="shared" si="10"/>
        <v>30837.99</v>
      </c>
      <c r="AA33" s="198">
        <f t="shared" si="11"/>
        <v>30837.99</v>
      </c>
      <c r="AB33" s="199">
        <f t="shared" si="7"/>
        <v>30837.99</v>
      </c>
      <c r="AO33" s="169"/>
    </row>
    <row r="34" spans="1:41" ht="18.2" customHeight="1" x14ac:dyDescent="0.25">
      <c r="A34" s="79"/>
      <c r="B34" s="564"/>
      <c r="C34" s="565"/>
      <c r="D34" s="566"/>
      <c r="E34" s="492" t="s">
        <v>97</v>
      </c>
      <c r="F34" s="493"/>
      <c r="G34" s="493"/>
      <c r="H34" s="493"/>
      <c r="I34" s="493"/>
      <c r="J34" s="493"/>
      <c r="K34" s="493"/>
      <c r="L34" s="493"/>
      <c r="M34" s="494"/>
      <c r="N34" s="475">
        <f t="shared" si="12"/>
        <v>52929.587500000001</v>
      </c>
      <c r="O34" s="476"/>
      <c r="P34" s="427">
        <f t="shared" si="13"/>
        <v>3.1018115774167562E-2</v>
      </c>
      <c r="Q34" s="428"/>
      <c r="R34" s="79"/>
      <c r="S34" s="219"/>
      <c r="W34" s="201" t="str">
        <f>'CUSTO  TOTAL - QUADRIM.'!B28</f>
        <v>Serviços de Vigilância e/ou Segurança</v>
      </c>
      <c r="X34" s="197">
        <f t="shared" si="8"/>
        <v>23228.880000000001</v>
      </c>
      <c r="Y34" s="197">
        <f t="shared" si="9"/>
        <v>15485.92</v>
      </c>
      <c r="Z34" s="197">
        <f t="shared" si="10"/>
        <v>23228.880000000001</v>
      </c>
      <c r="AA34" s="198">
        <f t="shared" si="11"/>
        <v>23228.880000000001</v>
      </c>
      <c r="AB34" s="199">
        <f t="shared" si="7"/>
        <v>21293.140000000003</v>
      </c>
      <c r="AO34" s="169"/>
    </row>
    <row r="35" spans="1:41" ht="18.2" customHeight="1" x14ac:dyDescent="0.25">
      <c r="A35" s="79"/>
      <c r="B35" s="564"/>
      <c r="C35" s="565"/>
      <c r="D35" s="566"/>
      <c r="E35" s="483" t="s">
        <v>176</v>
      </c>
      <c r="F35" s="484"/>
      <c r="G35" s="484"/>
      <c r="H35" s="484"/>
      <c r="I35" s="484"/>
      <c r="J35" s="484"/>
      <c r="K35" s="484"/>
      <c r="L35" s="484"/>
      <c r="M35" s="485"/>
      <c r="N35" s="498" t="str">
        <f t="shared" si="12"/>
        <v>-</v>
      </c>
      <c r="O35" s="499"/>
      <c r="P35" s="490" t="str">
        <f t="shared" si="13"/>
        <v>-</v>
      </c>
      <c r="Q35" s="491"/>
      <c r="R35" s="79"/>
      <c r="S35" s="219"/>
      <c r="W35" s="201" t="str">
        <f>'CUSTO  TOTAL - QUADRIM.'!B29</f>
        <v>Despesas Gerais</v>
      </c>
      <c r="X35" s="197">
        <f t="shared" si="8"/>
        <v>17347.61</v>
      </c>
      <c r="Y35" s="197">
        <f t="shared" si="9"/>
        <v>17775.02</v>
      </c>
      <c r="Z35" s="197">
        <f t="shared" si="10"/>
        <v>15282.61</v>
      </c>
      <c r="AA35" s="198">
        <f t="shared" si="11"/>
        <v>15341.57</v>
      </c>
      <c r="AB35" s="199">
        <f t="shared" si="7"/>
        <v>16436.702499999999</v>
      </c>
      <c r="AO35" s="169"/>
    </row>
    <row r="36" spans="1:41" ht="18.2" customHeight="1" x14ac:dyDescent="0.25">
      <c r="A36" s="79"/>
      <c r="B36" s="564"/>
      <c r="C36" s="565"/>
      <c r="D36" s="566"/>
      <c r="E36" s="492" t="s">
        <v>177</v>
      </c>
      <c r="F36" s="493"/>
      <c r="G36" s="493"/>
      <c r="H36" s="493"/>
      <c r="I36" s="493"/>
      <c r="J36" s="493"/>
      <c r="K36" s="493"/>
      <c r="L36" s="493"/>
      <c r="M36" s="494"/>
      <c r="N36" s="475" t="str">
        <f t="shared" si="12"/>
        <v>-</v>
      </c>
      <c r="O36" s="476"/>
      <c r="P36" s="427" t="str">
        <f t="shared" si="13"/>
        <v>-</v>
      </c>
      <c r="Q36" s="428"/>
      <c r="R36" s="79"/>
      <c r="S36" s="219"/>
      <c r="W36" s="201" t="str">
        <f>'CUSTO  TOTAL - QUADRIM.'!B30</f>
        <v>Serviço de Água e Esgoto</v>
      </c>
      <c r="X36" s="197">
        <f t="shared" si="8"/>
        <v>6604.73</v>
      </c>
      <c r="Y36" s="197">
        <f t="shared" si="9"/>
        <v>6376.11</v>
      </c>
      <c r="Z36" s="197">
        <f t="shared" si="10"/>
        <v>5408.12</v>
      </c>
      <c r="AA36" s="198">
        <f t="shared" si="11"/>
        <v>4815.49</v>
      </c>
      <c r="AB36" s="199">
        <f t="shared" si="7"/>
        <v>5801.1124999999993</v>
      </c>
      <c r="AO36" s="169"/>
    </row>
    <row r="37" spans="1:41" ht="18.2" customHeight="1" x14ac:dyDescent="0.25">
      <c r="A37" s="79"/>
      <c r="B37" s="564"/>
      <c r="C37" s="565"/>
      <c r="D37" s="566"/>
      <c r="E37" s="483" t="s">
        <v>169</v>
      </c>
      <c r="F37" s="484"/>
      <c r="G37" s="484"/>
      <c r="H37" s="484"/>
      <c r="I37" s="484"/>
      <c r="J37" s="484"/>
      <c r="K37" s="484"/>
      <c r="L37" s="484"/>
      <c r="M37" s="485"/>
      <c r="N37" s="498" t="str">
        <f t="shared" si="12"/>
        <v>-</v>
      </c>
      <c r="O37" s="499"/>
      <c r="P37" s="490" t="str">
        <f t="shared" si="13"/>
        <v>-</v>
      </c>
      <c r="Q37" s="491"/>
      <c r="R37" s="79"/>
      <c r="S37" s="219"/>
      <c r="W37" s="201" t="str">
        <f>'CUSTO  TOTAL - QUADRIM.'!B31</f>
        <v>Serviços de Energia Elétrica</v>
      </c>
      <c r="X37" s="197">
        <f t="shared" si="8"/>
        <v>10483.879999999999</v>
      </c>
      <c r="Y37" s="197">
        <f t="shared" si="9"/>
        <v>11139.91</v>
      </c>
      <c r="Z37" s="197">
        <f t="shared" si="10"/>
        <v>9615.49</v>
      </c>
      <c r="AA37" s="198">
        <f t="shared" si="11"/>
        <v>10267.08</v>
      </c>
      <c r="AB37" s="199">
        <f t="shared" si="7"/>
        <v>10376.59</v>
      </c>
      <c r="AO37" s="169"/>
    </row>
    <row r="38" spans="1:41" ht="18.2" customHeight="1" thickBot="1" x14ac:dyDescent="0.3">
      <c r="A38" s="79"/>
      <c r="B38" s="567"/>
      <c r="C38" s="568"/>
      <c r="D38" s="569"/>
      <c r="E38" s="492" t="s">
        <v>101</v>
      </c>
      <c r="F38" s="493"/>
      <c r="G38" s="493"/>
      <c r="H38" s="493"/>
      <c r="I38" s="493"/>
      <c r="J38" s="493"/>
      <c r="K38" s="493"/>
      <c r="L38" s="493"/>
      <c r="M38" s="494"/>
      <c r="N38" s="652" t="str">
        <f>IFERROR(IF($E$13-SUM($N$24:$O$37)&gt;0.001,$E$13-SUM($N$24:$O$37), "-"),"-")</f>
        <v>-</v>
      </c>
      <c r="O38" s="653"/>
      <c r="P38" s="481" t="str">
        <f t="shared" si="13"/>
        <v>-</v>
      </c>
      <c r="Q38" s="482"/>
      <c r="R38" s="79"/>
      <c r="S38" s="219"/>
      <c r="W38" s="201" t="str">
        <f>'CUSTO  TOTAL - QUADRIM.'!B32</f>
        <v>Serviços de Telecomunicações - (Telefonia Fixa - Ramais)</v>
      </c>
      <c r="X38" s="197">
        <f t="shared" si="8"/>
        <v>259</v>
      </c>
      <c r="Y38" s="197">
        <f t="shared" si="9"/>
        <v>259</v>
      </c>
      <c r="Z38" s="197">
        <f t="shared" si="10"/>
        <v>259</v>
      </c>
      <c r="AA38" s="198">
        <f t="shared" si="11"/>
        <v>259</v>
      </c>
      <c r="AB38" s="199">
        <f t="shared" si="7"/>
        <v>259</v>
      </c>
      <c r="AO38" s="169"/>
    </row>
    <row r="39" spans="1:41" ht="18.2" customHeight="1" thickTop="1" x14ac:dyDescent="0.25">
      <c r="A39" s="79"/>
      <c r="B39" s="561" t="str">
        <f xml:space="preserve">
CONCATENATE( "MATERIAL DE CONSUMO", CHAR(10),
"Soma da Média:", CHAR(10), TEXT( SUM( N39:O51), "R$ 0.000,00"))</f>
        <v>MATERIAL DE CONSUMO
Soma da Média:
R$ 60.516,63</v>
      </c>
      <c r="C39" s="562"/>
      <c r="D39" s="563"/>
      <c r="E39" s="570" t="s">
        <v>44</v>
      </c>
      <c r="F39" s="571"/>
      <c r="G39" s="571"/>
      <c r="H39" s="571"/>
      <c r="I39" s="571"/>
      <c r="J39" s="571"/>
      <c r="K39" s="571"/>
      <c r="L39" s="571"/>
      <c r="M39" s="572"/>
      <c r="N39" s="576" t="str">
        <f t="shared" ref="N39:N50" si="14">IFERROR( VLOOKUP( E39, $W$14:$AB$85, 6, 0), "-")</f>
        <v>-</v>
      </c>
      <c r="O39" s="577"/>
      <c r="P39" s="676" t="str">
        <f t="shared" ref="P39:P51" si="15">IFERROR( (N39*100)/ $E$14/ 100, "-")</f>
        <v>-</v>
      </c>
      <c r="Q39" s="677"/>
      <c r="R39" s="79"/>
      <c r="S39" s="219"/>
      <c r="W39" s="201">
        <f>'CUSTO  TOTAL - QUADRIM.'!B33</f>
        <v>0</v>
      </c>
      <c r="X39" s="197" t="str">
        <f t="shared" si="8"/>
        <v/>
      </c>
      <c r="Y39" s="197" t="str">
        <f t="shared" si="9"/>
        <v/>
      </c>
      <c r="Z39" s="197" t="str">
        <f t="shared" si="10"/>
        <v/>
      </c>
      <c r="AA39" s="198" t="str">
        <f t="shared" si="11"/>
        <v/>
      </c>
      <c r="AB39" s="199" t="str">
        <f t="shared" si="7"/>
        <v/>
      </c>
      <c r="AO39" s="169"/>
    </row>
    <row r="40" spans="1:41" ht="18.2" customHeight="1" x14ac:dyDescent="0.25">
      <c r="A40" s="79"/>
      <c r="B40" s="564"/>
      <c r="C40" s="565"/>
      <c r="D40" s="566"/>
      <c r="E40" s="573" t="s">
        <v>45</v>
      </c>
      <c r="F40" s="574"/>
      <c r="G40" s="574"/>
      <c r="H40" s="574"/>
      <c r="I40" s="574"/>
      <c r="J40" s="574"/>
      <c r="K40" s="574"/>
      <c r="L40" s="574"/>
      <c r="M40" s="575"/>
      <c r="N40" s="498" t="str">
        <f t="shared" si="14"/>
        <v>-</v>
      </c>
      <c r="O40" s="499"/>
      <c r="P40" s="490" t="str">
        <f t="shared" si="15"/>
        <v>-</v>
      </c>
      <c r="Q40" s="491"/>
      <c r="R40" s="79"/>
      <c r="T40" s="465" t="s">
        <v>13</v>
      </c>
      <c r="U40" s="466"/>
      <c r="W40" s="201">
        <f>'CUSTO  TOTAL - QUADRIM.'!B34</f>
        <v>0</v>
      </c>
      <c r="X40" s="197" t="str">
        <f t="shared" si="8"/>
        <v/>
      </c>
      <c r="Y40" s="197" t="str">
        <f t="shared" si="9"/>
        <v/>
      </c>
      <c r="Z40" s="197" t="str">
        <f t="shared" si="10"/>
        <v/>
      </c>
      <c r="AA40" s="198" t="str">
        <f t="shared" si="11"/>
        <v/>
      </c>
      <c r="AB40" s="199" t="str">
        <f t="shared" si="7"/>
        <v/>
      </c>
      <c r="AO40" s="169"/>
    </row>
    <row r="41" spans="1:41" ht="18.2" customHeight="1" x14ac:dyDescent="0.25">
      <c r="A41" s="79"/>
      <c r="B41" s="564"/>
      <c r="C41" s="565"/>
      <c r="D41" s="566"/>
      <c r="E41" s="492" t="s">
        <v>46</v>
      </c>
      <c r="F41" s="493"/>
      <c r="G41" s="493"/>
      <c r="H41" s="493"/>
      <c r="I41" s="493"/>
      <c r="J41" s="493"/>
      <c r="K41" s="493"/>
      <c r="L41" s="493"/>
      <c r="M41" s="494"/>
      <c r="N41" s="475">
        <f t="shared" si="14"/>
        <v>587.35249999999996</v>
      </c>
      <c r="O41" s="476"/>
      <c r="P41" s="427">
        <f t="shared" si="15"/>
        <v>9.7056383388185331E-3</v>
      </c>
      <c r="Q41" s="428"/>
      <c r="R41" s="79"/>
      <c r="T41" s="469" t="s">
        <v>14</v>
      </c>
      <c r="U41" s="470"/>
      <c r="W41" s="201">
        <f>'CUSTO  TOTAL - QUADRIM.'!B35</f>
        <v>0</v>
      </c>
      <c r="X41" s="197" t="str">
        <f t="shared" si="8"/>
        <v/>
      </c>
      <c r="Y41" s="197" t="str">
        <f t="shared" si="9"/>
        <v/>
      </c>
      <c r="Z41" s="197" t="str">
        <f t="shared" si="10"/>
        <v/>
      </c>
      <c r="AA41" s="198" t="str">
        <f t="shared" si="11"/>
        <v/>
      </c>
      <c r="AB41" s="199" t="str">
        <f t="shared" si="7"/>
        <v/>
      </c>
      <c r="AO41" s="169"/>
    </row>
    <row r="42" spans="1:41" ht="18.2" customHeight="1" x14ac:dyDescent="0.25">
      <c r="A42" s="79"/>
      <c r="B42" s="564"/>
      <c r="C42" s="565"/>
      <c r="D42" s="566"/>
      <c r="E42" s="483" t="s">
        <v>47</v>
      </c>
      <c r="F42" s="484"/>
      <c r="G42" s="484"/>
      <c r="H42" s="484"/>
      <c r="I42" s="484"/>
      <c r="J42" s="484"/>
      <c r="K42" s="484"/>
      <c r="L42" s="484"/>
      <c r="M42" s="485"/>
      <c r="N42" s="498">
        <f t="shared" si="14"/>
        <v>27.524999999999999</v>
      </c>
      <c r="O42" s="499"/>
      <c r="P42" s="490">
        <f t="shared" si="15"/>
        <v>4.5483367360482868E-4</v>
      </c>
      <c r="Q42" s="491"/>
      <c r="R42" s="79"/>
      <c r="T42" s="91">
        <f>IFERROR(AVERAGE(P39:Q51),"-")</f>
        <v>0.16666666666666666</v>
      </c>
      <c r="U42" s="93" t="s">
        <v>139</v>
      </c>
      <c r="W42" s="201">
        <f>'CUSTO  TOTAL - QUADRIM.'!B36</f>
        <v>0</v>
      </c>
      <c r="X42" s="197" t="str">
        <f t="shared" si="8"/>
        <v/>
      </c>
      <c r="Y42" s="197" t="str">
        <f t="shared" si="9"/>
        <v/>
      </c>
      <c r="Z42" s="197" t="str">
        <f t="shared" si="10"/>
        <v/>
      </c>
      <c r="AA42" s="198" t="str">
        <f t="shared" si="11"/>
        <v/>
      </c>
      <c r="AB42" s="199" t="str">
        <f t="shared" si="7"/>
        <v/>
      </c>
      <c r="AO42" s="169"/>
    </row>
    <row r="43" spans="1:41" ht="18.2" customHeight="1" x14ac:dyDescent="0.25">
      <c r="A43" s="79"/>
      <c r="B43" s="564"/>
      <c r="C43" s="565"/>
      <c r="D43" s="566"/>
      <c r="E43" s="492" t="s">
        <v>48</v>
      </c>
      <c r="F43" s="493"/>
      <c r="G43" s="493"/>
      <c r="H43" s="493"/>
      <c r="I43" s="493"/>
      <c r="J43" s="493"/>
      <c r="K43" s="493"/>
      <c r="L43" s="493"/>
      <c r="M43" s="494"/>
      <c r="N43" s="475">
        <f t="shared" si="14"/>
        <v>29997.88</v>
      </c>
      <c r="O43" s="476"/>
      <c r="P43" s="427">
        <f t="shared" si="15"/>
        <v>0.49569649267054744</v>
      </c>
      <c r="Q43" s="428"/>
      <c r="R43" s="79"/>
      <c r="W43" s="201">
        <f>'CUSTO  TOTAL - QUADRIM.'!B37</f>
        <v>0</v>
      </c>
      <c r="X43" s="197" t="str">
        <f t="shared" si="8"/>
        <v/>
      </c>
      <c r="Y43" s="197" t="str">
        <f t="shared" si="9"/>
        <v/>
      </c>
      <c r="Z43" s="197" t="str">
        <f t="shared" si="10"/>
        <v/>
      </c>
      <c r="AA43" s="198" t="str">
        <f t="shared" si="11"/>
        <v/>
      </c>
      <c r="AB43" s="199" t="str">
        <f t="shared" si="7"/>
        <v/>
      </c>
      <c r="AO43" s="169"/>
    </row>
    <row r="44" spans="1:41" ht="18.2" customHeight="1" x14ac:dyDescent="0.25">
      <c r="A44" s="79"/>
      <c r="B44" s="564"/>
      <c r="C44" s="565"/>
      <c r="D44" s="566"/>
      <c r="E44" s="483" t="s">
        <v>49</v>
      </c>
      <c r="F44" s="484"/>
      <c r="G44" s="484"/>
      <c r="H44" s="484"/>
      <c r="I44" s="484"/>
      <c r="J44" s="484"/>
      <c r="K44" s="484"/>
      <c r="L44" s="484"/>
      <c r="M44" s="485"/>
      <c r="N44" s="498" t="str">
        <f t="shared" si="14"/>
        <v>-</v>
      </c>
      <c r="O44" s="499"/>
      <c r="P44" s="490" t="str">
        <f t="shared" si="15"/>
        <v>-</v>
      </c>
      <c r="Q44" s="491"/>
      <c r="R44" s="79"/>
      <c r="S44" s="219"/>
      <c r="W44" s="201">
        <f>'CUSTO  TOTAL - QUADRIM.'!B38</f>
        <v>0</v>
      </c>
      <c r="X44" s="197" t="str">
        <f t="shared" si="8"/>
        <v/>
      </c>
      <c r="Y44" s="197" t="str">
        <f t="shared" si="9"/>
        <v/>
      </c>
      <c r="Z44" s="197" t="str">
        <f t="shared" si="10"/>
        <v/>
      </c>
      <c r="AA44" s="198" t="str">
        <f t="shared" si="11"/>
        <v/>
      </c>
      <c r="AB44" s="199" t="str">
        <f t="shared" si="7"/>
        <v/>
      </c>
      <c r="AO44" s="169"/>
    </row>
    <row r="45" spans="1:41" ht="18.2" customHeight="1" x14ac:dyDescent="0.25">
      <c r="A45" s="79"/>
      <c r="B45" s="564"/>
      <c r="C45" s="565"/>
      <c r="D45" s="566"/>
      <c r="E45" s="492" t="s">
        <v>98</v>
      </c>
      <c r="F45" s="493"/>
      <c r="G45" s="493"/>
      <c r="H45" s="493"/>
      <c r="I45" s="493"/>
      <c r="J45" s="493"/>
      <c r="K45" s="493"/>
      <c r="L45" s="493"/>
      <c r="M45" s="494"/>
      <c r="N45" s="475">
        <f t="shared" si="14"/>
        <v>19600.939999999999</v>
      </c>
      <c r="O45" s="476"/>
      <c r="P45" s="427">
        <f t="shared" si="15"/>
        <v>0.32389346217285486</v>
      </c>
      <c r="Q45" s="428"/>
      <c r="R45" s="79"/>
      <c r="W45" s="201">
        <f>'CUSTO  TOTAL - QUADRIM.'!B39</f>
        <v>0</v>
      </c>
      <c r="X45" s="197" t="str">
        <f t="shared" si="8"/>
        <v/>
      </c>
      <c r="Y45" s="197" t="str">
        <f t="shared" si="9"/>
        <v/>
      </c>
      <c r="Z45" s="197" t="str">
        <f t="shared" si="10"/>
        <v/>
      </c>
      <c r="AA45" s="198" t="str">
        <f t="shared" si="11"/>
        <v/>
      </c>
      <c r="AB45" s="199" t="str">
        <f t="shared" si="7"/>
        <v/>
      </c>
      <c r="AO45" s="169"/>
    </row>
    <row r="46" spans="1:41" ht="18.2" customHeight="1" x14ac:dyDescent="0.25">
      <c r="A46" s="79"/>
      <c r="B46" s="564"/>
      <c r="C46" s="565"/>
      <c r="D46" s="566"/>
      <c r="E46" s="483" t="s">
        <v>50</v>
      </c>
      <c r="F46" s="484"/>
      <c r="G46" s="484"/>
      <c r="H46" s="484"/>
      <c r="I46" s="484"/>
      <c r="J46" s="484"/>
      <c r="K46" s="484"/>
      <c r="L46" s="484"/>
      <c r="M46" s="485"/>
      <c r="N46" s="498">
        <f t="shared" si="14"/>
        <v>10180.375</v>
      </c>
      <c r="O46" s="499"/>
      <c r="P46" s="490">
        <f t="shared" si="15"/>
        <v>0.1682244272452228</v>
      </c>
      <c r="Q46" s="491"/>
      <c r="R46" s="79"/>
      <c r="W46" s="201">
        <f>'CUSTO  TOTAL - QUADRIM.'!B40</f>
        <v>0</v>
      </c>
      <c r="X46" s="197" t="str">
        <f t="shared" si="8"/>
        <v/>
      </c>
      <c r="Y46" s="197" t="str">
        <f t="shared" si="9"/>
        <v/>
      </c>
      <c r="Z46" s="197" t="str">
        <f t="shared" si="10"/>
        <v/>
      </c>
      <c r="AA46" s="198" t="str">
        <f t="shared" si="11"/>
        <v/>
      </c>
      <c r="AB46" s="199" t="str">
        <f t="shared" ref="AB46:AB77" si="16">IFERROR(AVERAGE( X46:AA46),"")</f>
        <v/>
      </c>
      <c r="AO46" s="169"/>
    </row>
    <row r="47" spans="1:41" ht="18.2" customHeight="1" x14ac:dyDescent="0.25">
      <c r="A47" s="79"/>
      <c r="B47" s="564"/>
      <c r="C47" s="565"/>
      <c r="D47" s="566"/>
      <c r="E47" s="492" t="s">
        <v>76</v>
      </c>
      <c r="F47" s="493"/>
      <c r="G47" s="493"/>
      <c r="H47" s="493"/>
      <c r="I47" s="493"/>
      <c r="J47" s="493"/>
      <c r="K47" s="493"/>
      <c r="L47" s="493"/>
      <c r="M47" s="494"/>
      <c r="N47" s="475" t="str">
        <f t="shared" si="14"/>
        <v>-</v>
      </c>
      <c r="O47" s="476"/>
      <c r="P47" s="427" t="str">
        <f t="shared" si="15"/>
        <v>-</v>
      </c>
      <c r="Q47" s="428"/>
      <c r="R47" s="79"/>
      <c r="W47" s="201">
        <f>'CUSTO  TOTAL - QUADRIM.'!B41</f>
        <v>0</v>
      </c>
      <c r="X47" s="197" t="str">
        <f t="shared" si="8"/>
        <v/>
      </c>
      <c r="Y47" s="197" t="str">
        <f t="shared" si="9"/>
        <v/>
      </c>
      <c r="Z47" s="197" t="str">
        <f t="shared" si="10"/>
        <v/>
      </c>
      <c r="AA47" s="198" t="str">
        <f t="shared" si="11"/>
        <v/>
      </c>
      <c r="AB47" s="199" t="str">
        <f t="shared" si="16"/>
        <v/>
      </c>
      <c r="AO47" s="169"/>
    </row>
    <row r="48" spans="1:41" ht="18.2" customHeight="1" x14ac:dyDescent="0.25">
      <c r="A48" s="79"/>
      <c r="B48" s="564"/>
      <c r="C48" s="565"/>
      <c r="D48" s="566"/>
      <c r="E48" s="483" t="s">
        <v>77</v>
      </c>
      <c r="F48" s="484"/>
      <c r="G48" s="484"/>
      <c r="H48" s="484"/>
      <c r="I48" s="484"/>
      <c r="J48" s="484"/>
      <c r="K48" s="484"/>
      <c r="L48" s="484"/>
      <c r="M48" s="485"/>
      <c r="N48" s="498" t="str">
        <f t="shared" si="14"/>
        <v>-</v>
      </c>
      <c r="O48" s="499"/>
      <c r="P48" s="490" t="str">
        <f t="shared" si="15"/>
        <v>-</v>
      </c>
      <c r="Q48" s="491"/>
      <c r="R48" s="79"/>
      <c r="W48" s="201">
        <f>'CUSTO  TOTAL - QUADRIM.'!B42</f>
        <v>0</v>
      </c>
      <c r="X48" s="197" t="str">
        <f t="shared" si="8"/>
        <v/>
      </c>
      <c r="Y48" s="197" t="str">
        <f t="shared" si="9"/>
        <v/>
      </c>
      <c r="Z48" s="197" t="str">
        <f t="shared" si="10"/>
        <v/>
      </c>
      <c r="AA48" s="198" t="str">
        <f t="shared" si="11"/>
        <v/>
      </c>
      <c r="AB48" s="199" t="str">
        <f t="shared" si="16"/>
        <v/>
      </c>
      <c r="AO48" s="169"/>
    </row>
    <row r="49" spans="1:41" ht="18.2" customHeight="1" x14ac:dyDescent="0.25">
      <c r="A49" s="79"/>
      <c r="B49" s="564"/>
      <c r="C49" s="565"/>
      <c r="D49" s="566"/>
      <c r="E49" s="492" t="s">
        <v>51</v>
      </c>
      <c r="F49" s="493"/>
      <c r="G49" s="493"/>
      <c r="H49" s="493"/>
      <c r="I49" s="493"/>
      <c r="J49" s="493"/>
      <c r="K49" s="493"/>
      <c r="L49" s="493"/>
      <c r="M49" s="494"/>
      <c r="N49" s="475">
        <f t="shared" si="14"/>
        <v>122.55499999999999</v>
      </c>
      <c r="O49" s="476"/>
      <c r="P49" s="427">
        <f t="shared" si="15"/>
        <v>2.0251458989514904E-3</v>
      </c>
      <c r="Q49" s="428"/>
      <c r="R49" s="79"/>
      <c r="S49" s="219"/>
      <c r="W49" s="201">
        <f>'CUSTO  TOTAL - QUADRIM.'!B43</f>
        <v>0</v>
      </c>
      <c r="X49" s="197" t="str">
        <f t="shared" si="8"/>
        <v/>
      </c>
      <c r="Y49" s="197" t="str">
        <f t="shared" si="9"/>
        <v/>
      </c>
      <c r="Z49" s="197" t="str">
        <f t="shared" si="10"/>
        <v/>
      </c>
      <c r="AA49" s="198" t="str">
        <f t="shared" si="11"/>
        <v/>
      </c>
      <c r="AB49" s="199" t="str">
        <f t="shared" si="16"/>
        <v/>
      </c>
      <c r="AO49" s="169"/>
    </row>
    <row r="50" spans="1:41" ht="18.2" customHeight="1" x14ac:dyDescent="0.25">
      <c r="A50" s="79"/>
      <c r="B50" s="564"/>
      <c r="C50" s="565"/>
      <c r="D50" s="566"/>
      <c r="E50" s="686" t="s">
        <v>78</v>
      </c>
      <c r="F50" s="687"/>
      <c r="G50" s="687"/>
      <c r="H50" s="687"/>
      <c r="I50" s="687"/>
      <c r="J50" s="687"/>
      <c r="K50" s="687"/>
      <c r="L50" s="687"/>
      <c r="M50" s="688"/>
      <c r="N50" s="498" t="str">
        <f t="shared" si="14"/>
        <v>-</v>
      </c>
      <c r="O50" s="499"/>
      <c r="P50" s="490" t="str">
        <f t="shared" si="15"/>
        <v>-</v>
      </c>
      <c r="Q50" s="491"/>
      <c r="R50" s="79"/>
      <c r="S50" s="219"/>
      <c r="W50" s="201">
        <f>'CUSTO  TOTAL - QUADRIM.'!B44</f>
        <v>0</v>
      </c>
      <c r="X50" s="197" t="str">
        <f t="shared" si="8"/>
        <v/>
      </c>
      <c r="Y50" s="197" t="str">
        <f t="shared" si="9"/>
        <v/>
      </c>
      <c r="Z50" s="197" t="str">
        <f t="shared" si="10"/>
        <v/>
      </c>
      <c r="AA50" s="198" t="str">
        <f t="shared" si="11"/>
        <v/>
      </c>
      <c r="AB50" s="199" t="str">
        <f t="shared" si="16"/>
        <v/>
      </c>
      <c r="AO50" s="169"/>
    </row>
    <row r="51" spans="1:41" ht="18.2" customHeight="1" thickBot="1" x14ac:dyDescent="0.3">
      <c r="A51" s="79"/>
      <c r="B51" s="567"/>
      <c r="C51" s="568"/>
      <c r="D51" s="569"/>
      <c r="E51" s="594" t="s">
        <v>101</v>
      </c>
      <c r="F51" s="595"/>
      <c r="G51" s="595"/>
      <c r="H51" s="595"/>
      <c r="I51" s="595"/>
      <c r="J51" s="595"/>
      <c r="K51" s="595"/>
      <c r="L51" s="595"/>
      <c r="M51" s="596"/>
      <c r="N51" s="510" t="str">
        <f>IFERROR(IF($E$14-SUM($N$39:$O$50)&gt;0.001,$E$14-SUM($N$39:$O$50), "-"),"-")</f>
        <v>-</v>
      </c>
      <c r="O51" s="511"/>
      <c r="P51" s="481" t="str">
        <f t="shared" si="15"/>
        <v>-</v>
      </c>
      <c r="Q51" s="482"/>
      <c r="R51" s="79"/>
      <c r="S51" s="219"/>
      <c r="W51" s="201">
        <f>'CUSTO  TOTAL - QUADRIM.'!B45</f>
        <v>0</v>
      </c>
      <c r="X51" s="197" t="str">
        <f t="shared" si="8"/>
        <v/>
      </c>
      <c r="Y51" s="197" t="str">
        <f t="shared" si="9"/>
        <v/>
      </c>
      <c r="Z51" s="197" t="str">
        <f t="shared" si="10"/>
        <v/>
      </c>
      <c r="AA51" s="198" t="str">
        <f t="shared" si="11"/>
        <v/>
      </c>
      <c r="AB51" s="199" t="str">
        <f t="shared" si="16"/>
        <v/>
      </c>
      <c r="AO51" s="169"/>
    </row>
    <row r="52" spans="1:41" ht="18.2" customHeight="1" thickTop="1" x14ac:dyDescent="0.25">
      <c r="A52" s="79"/>
      <c r="B52" s="564" t="str">
        <f xml:space="preserve">
CONCATENATE( "SERVIÇO DE TERCEIROS", CHAR(10),
"Soma da Média:", CHAR(10), TEXT( SUM( N52:O65), "R$ 0.000,00"))</f>
        <v>SERVIÇO DE TERCEIROS
Soma da Média:
R$ 63.732,68</v>
      </c>
      <c r="C52" s="565"/>
      <c r="D52" s="566"/>
      <c r="E52" s="689" t="s">
        <v>79</v>
      </c>
      <c r="F52" s="690"/>
      <c r="G52" s="690"/>
      <c r="H52" s="690"/>
      <c r="I52" s="690"/>
      <c r="J52" s="690"/>
      <c r="K52" s="690"/>
      <c r="L52" s="690"/>
      <c r="M52" s="691"/>
      <c r="N52" s="702" t="str">
        <f t="shared" ref="N52:N64" si="17">IFERROR( VLOOKUP( E52, $W$14:$AB$85, 6, 0), "-")</f>
        <v>-</v>
      </c>
      <c r="O52" s="703"/>
      <c r="P52" s="473" t="str">
        <f t="shared" ref="P52:P65" si="18">IFERROR( (N52*100)/ $E$15/ 100, "-")</f>
        <v>-</v>
      </c>
      <c r="Q52" s="474"/>
      <c r="R52" s="79"/>
      <c r="S52" s="219"/>
      <c r="W52" s="201">
        <f>'CUSTO  TOTAL - QUADRIM.'!B46</f>
        <v>0</v>
      </c>
      <c r="X52" s="197" t="str">
        <f t="shared" si="8"/>
        <v/>
      </c>
      <c r="Y52" s="197" t="str">
        <f t="shared" si="9"/>
        <v/>
      </c>
      <c r="Z52" s="197" t="str">
        <f t="shared" si="10"/>
        <v/>
      </c>
      <c r="AA52" s="198" t="str">
        <f t="shared" si="11"/>
        <v/>
      </c>
      <c r="AB52" s="199" t="str">
        <f t="shared" si="16"/>
        <v/>
      </c>
      <c r="AO52" s="169"/>
    </row>
    <row r="53" spans="1:41" ht="18.2" customHeight="1" x14ac:dyDescent="0.25">
      <c r="A53" s="79"/>
      <c r="B53" s="564"/>
      <c r="C53" s="565"/>
      <c r="D53" s="566"/>
      <c r="E53" s="597" t="s">
        <v>52</v>
      </c>
      <c r="F53" s="598"/>
      <c r="G53" s="598"/>
      <c r="H53" s="598"/>
      <c r="I53" s="598"/>
      <c r="J53" s="598"/>
      <c r="K53" s="598"/>
      <c r="L53" s="598"/>
      <c r="M53" s="599"/>
      <c r="N53" s="475" t="str">
        <f t="shared" si="17"/>
        <v>-</v>
      </c>
      <c r="O53" s="476"/>
      <c r="P53" s="427" t="str">
        <f t="shared" si="18"/>
        <v>-</v>
      </c>
      <c r="Q53" s="428"/>
      <c r="R53" s="79"/>
      <c r="T53" s="465" t="s">
        <v>13</v>
      </c>
      <c r="U53" s="466"/>
      <c r="W53" s="201">
        <f>'CUSTO  TOTAL - QUADRIM.'!B47</f>
        <v>0</v>
      </c>
      <c r="X53" s="197" t="str">
        <f t="shared" si="8"/>
        <v/>
      </c>
      <c r="Y53" s="197" t="str">
        <f t="shared" si="9"/>
        <v/>
      </c>
      <c r="Z53" s="197" t="str">
        <f t="shared" si="10"/>
        <v/>
      </c>
      <c r="AA53" s="198" t="str">
        <f t="shared" si="11"/>
        <v/>
      </c>
      <c r="AB53" s="199" t="str">
        <f t="shared" si="16"/>
        <v/>
      </c>
      <c r="AO53" s="169"/>
    </row>
    <row r="54" spans="1:41" ht="18.2" customHeight="1" x14ac:dyDescent="0.25">
      <c r="A54" s="79"/>
      <c r="B54" s="564"/>
      <c r="C54" s="565"/>
      <c r="D54" s="566"/>
      <c r="E54" s="483" t="s">
        <v>89</v>
      </c>
      <c r="F54" s="484"/>
      <c r="G54" s="484"/>
      <c r="H54" s="484"/>
      <c r="I54" s="484"/>
      <c r="J54" s="484"/>
      <c r="K54" s="484"/>
      <c r="L54" s="484"/>
      <c r="M54" s="485"/>
      <c r="N54" s="498" t="str">
        <f t="shared" si="17"/>
        <v>-</v>
      </c>
      <c r="O54" s="499"/>
      <c r="P54" s="490" t="str">
        <f t="shared" si="18"/>
        <v>-</v>
      </c>
      <c r="Q54" s="491"/>
      <c r="R54" s="79"/>
      <c r="T54" s="469" t="s">
        <v>14</v>
      </c>
      <c r="U54" s="470"/>
      <c r="W54" s="201">
        <f>'CUSTO  TOTAL - QUADRIM.'!B48</f>
        <v>0</v>
      </c>
      <c r="X54" s="197" t="str">
        <f t="shared" si="8"/>
        <v/>
      </c>
      <c r="Y54" s="197" t="str">
        <f t="shared" si="9"/>
        <v/>
      </c>
      <c r="Z54" s="197" t="str">
        <f t="shared" si="10"/>
        <v/>
      </c>
      <c r="AA54" s="198" t="str">
        <f t="shared" si="11"/>
        <v/>
      </c>
      <c r="AB54" s="199" t="str">
        <f t="shared" si="16"/>
        <v/>
      </c>
      <c r="AO54" s="169"/>
    </row>
    <row r="55" spans="1:41" ht="18.2" customHeight="1" x14ac:dyDescent="0.25">
      <c r="A55" s="79"/>
      <c r="B55" s="564"/>
      <c r="C55" s="565"/>
      <c r="D55" s="566"/>
      <c r="E55" s="492" t="s">
        <v>53</v>
      </c>
      <c r="F55" s="493"/>
      <c r="G55" s="493"/>
      <c r="H55" s="493"/>
      <c r="I55" s="493"/>
      <c r="J55" s="493"/>
      <c r="K55" s="493"/>
      <c r="L55" s="493"/>
      <c r="M55" s="494"/>
      <c r="N55" s="475">
        <f t="shared" si="17"/>
        <v>893.17750000000001</v>
      </c>
      <c r="O55" s="476"/>
      <c r="P55" s="427">
        <f t="shared" si="18"/>
        <v>1.4014434980609631E-2</v>
      </c>
      <c r="Q55" s="428"/>
      <c r="R55" s="79"/>
      <c r="T55" s="91">
        <f>IFERROR(AVERAGE(P52:Q65),"-")</f>
        <v>0.16666666666666666</v>
      </c>
      <c r="U55" s="93" t="s">
        <v>140</v>
      </c>
      <c r="W55" s="201">
        <f>'CUSTO  TOTAL - QUADRIM.'!B49</f>
        <v>0</v>
      </c>
      <c r="X55" s="197" t="str">
        <f t="shared" si="8"/>
        <v/>
      </c>
      <c r="Y55" s="197" t="str">
        <f t="shared" si="9"/>
        <v/>
      </c>
      <c r="Z55" s="197" t="str">
        <f t="shared" si="10"/>
        <v/>
      </c>
      <c r="AA55" s="198" t="str">
        <f t="shared" si="11"/>
        <v/>
      </c>
      <c r="AB55" s="199" t="str">
        <f t="shared" si="16"/>
        <v/>
      </c>
      <c r="AO55" s="169"/>
    </row>
    <row r="56" spans="1:41" ht="18.2" customHeight="1" x14ac:dyDescent="0.25">
      <c r="A56" s="79"/>
      <c r="B56" s="564"/>
      <c r="C56" s="565"/>
      <c r="D56" s="566"/>
      <c r="E56" s="483" t="s">
        <v>54</v>
      </c>
      <c r="F56" s="484"/>
      <c r="G56" s="484"/>
      <c r="H56" s="484"/>
      <c r="I56" s="484"/>
      <c r="J56" s="484"/>
      <c r="K56" s="484"/>
      <c r="L56" s="484"/>
      <c r="M56" s="485"/>
      <c r="N56" s="498" t="str">
        <f t="shared" si="17"/>
        <v>-</v>
      </c>
      <c r="O56" s="499"/>
      <c r="P56" s="490" t="str">
        <f t="shared" si="18"/>
        <v>-</v>
      </c>
      <c r="Q56" s="491"/>
      <c r="R56" s="79"/>
      <c r="S56" s="219"/>
      <c r="W56" s="201">
        <f>'CUSTO  TOTAL - QUADRIM.'!B50</f>
        <v>0</v>
      </c>
      <c r="X56" s="197" t="str">
        <f t="shared" si="8"/>
        <v/>
      </c>
      <c r="Y56" s="197" t="str">
        <f t="shared" si="9"/>
        <v/>
      </c>
      <c r="Z56" s="197" t="str">
        <f t="shared" si="10"/>
        <v/>
      </c>
      <c r="AA56" s="198" t="str">
        <f t="shared" si="11"/>
        <v/>
      </c>
      <c r="AB56" s="199" t="str">
        <f t="shared" si="16"/>
        <v/>
      </c>
      <c r="AO56" s="169"/>
    </row>
    <row r="57" spans="1:41" ht="18.2" customHeight="1" x14ac:dyDescent="0.25">
      <c r="A57" s="79"/>
      <c r="B57" s="564"/>
      <c r="C57" s="565"/>
      <c r="D57" s="566"/>
      <c r="E57" s="492" t="s">
        <v>80</v>
      </c>
      <c r="F57" s="493"/>
      <c r="G57" s="493"/>
      <c r="H57" s="493"/>
      <c r="I57" s="493"/>
      <c r="J57" s="493"/>
      <c r="K57" s="493"/>
      <c r="L57" s="493"/>
      <c r="M57" s="494"/>
      <c r="N57" s="475" t="str">
        <f t="shared" si="17"/>
        <v>-</v>
      </c>
      <c r="O57" s="476"/>
      <c r="P57" s="427" t="str">
        <f t="shared" si="18"/>
        <v>-</v>
      </c>
      <c r="Q57" s="428"/>
      <c r="R57" s="79"/>
      <c r="S57" s="219"/>
      <c r="W57" s="201">
        <f>'CUSTO  TOTAL - QUADRIM.'!B51</f>
        <v>0</v>
      </c>
      <c r="X57" s="197" t="str">
        <f t="shared" si="8"/>
        <v/>
      </c>
      <c r="Y57" s="197" t="str">
        <f t="shared" si="9"/>
        <v/>
      </c>
      <c r="Z57" s="197" t="str">
        <f t="shared" si="10"/>
        <v/>
      </c>
      <c r="AA57" s="198" t="str">
        <f t="shared" si="11"/>
        <v/>
      </c>
      <c r="AB57" s="199" t="str">
        <f t="shared" si="16"/>
        <v/>
      </c>
      <c r="AO57" s="169"/>
    </row>
    <row r="58" spans="1:41" ht="18.2" customHeight="1" x14ac:dyDescent="0.25">
      <c r="A58" s="79"/>
      <c r="B58" s="564"/>
      <c r="C58" s="565"/>
      <c r="D58" s="566"/>
      <c r="E58" s="483" t="s">
        <v>55</v>
      </c>
      <c r="F58" s="484"/>
      <c r="G58" s="484"/>
      <c r="H58" s="484"/>
      <c r="I58" s="484"/>
      <c r="J58" s="484"/>
      <c r="K58" s="484"/>
      <c r="L58" s="484"/>
      <c r="M58" s="485"/>
      <c r="N58" s="498" t="str">
        <f t="shared" si="17"/>
        <v>-</v>
      </c>
      <c r="O58" s="499"/>
      <c r="P58" s="490" t="str">
        <f t="shared" si="18"/>
        <v>-</v>
      </c>
      <c r="Q58" s="491"/>
      <c r="R58" s="79"/>
      <c r="S58" s="219"/>
      <c r="W58" s="201">
        <f>'CUSTO  TOTAL - QUADRIM.'!B52</f>
        <v>0</v>
      </c>
      <c r="X58" s="197" t="str">
        <f t="shared" si="8"/>
        <v/>
      </c>
      <c r="Y58" s="197" t="str">
        <f t="shared" si="9"/>
        <v/>
      </c>
      <c r="Z58" s="197" t="str">
        <f t="shared" si="10"/>
        <v/>
      </c>
      <c r="AA58" s="198" t="str">
        <f t="shared" si="11"/>
        <v/>
      </c>
      <c r="AB58" s="199" t="str">
        <f t="shared" si="16"/>
        <v/>
      </c>
      <c r="AO58" s="169"/>
    </row>
    <row r="59" spans="1:41" ht="18.2" customHeight="1" x14ac:dyDescent="0.25">
      <c r="A59" s="79"/>
      <c r="B59" s="564"/>
      <c r="C59" s="565"/>
      <c r="D59" s="566"/>
      <c r="E59" s="492" t="s">
        <v>56</v>
      </c>
      <c r="F59" s="493"/>
      <c r="G59" s="493"/>
      <c r="H59" s="493"/>
      <c r="I59" s="493"/>
      <c r="J59" s="493"/>
      <c r="K59" s="493"/>
      <c r="L59" s="493"/>
      <c r="M59" s="494"/>
      <c r="N59" s="475">
        <f t="shared" si="17"/>
        <v>1778.08</v>
      </c>
      <c r="O59" s="476"/>
      <c r="P59" s="427">
        <f t="shared" si="18"/>
        <v>2.7899030764122892E-2</v>
      </c>
      <c r="Q59" s="428"/>
      <c r="R59" s="79"/>
      <c r="S59" s="219"/>
      <c r="W59" s="201">
        <f>'CUSTO  TOTAL - QUADRIM.'!B53</f>
        <v>0</v>
      </c>
      <c r="X59" s="197" t="str">
        <f t="shared" si="8"/>
        <v/>
      </c>
      <c r="Y59" s="197" t="str">
        <f t="shared" si="9"/>
        <v/>
      </c>
      <c r="Z59" s="197" t="str">
        <f t="shared" si="10"/>
        <v/>
      </c>
      <c r="AA59" s="198" t="str">
        <f t="shared" si="11"/>
        <v/>
      </c>
      <c r="AB59" s="199" t="str">
        <f t="shared" si="16"/>
        <v/>
      </c>
      <c r="AO59" s="169"/>
    </row>
    <row r="60" spans="1:41" ht="18.2" customHeight="1" x14ac:dyDescent="0.25">
      <c r="A60" s="79"/>
      <c r="B60" s="564"/>
      <c r="C60" s="565"/>
      <c r="D60" s="566"/>
      <c r="E60" s="483" t="s">
        <v>57</v>
      </c>
      <c r="F60" s="484"/>
      <c r="G60" s="484"/>
      <c r="H60" s="484"/>
      <c r="I60" s="484"/>
      <c r="J60" s="484"/>
      <c r="K60" s="484"/>
      <c r="L60" s="484"/>
      <c r="M60" s="485"/>
      <c r="N60" s="498">
        <f t="shared" si="17"/>
        <v>1635.1674999999998</v>
      </c>
      <c r="O60" s="499"/>
      <c r="P60" s="490">
        <f t="shared" si="18"/>
        <v>2.5656656836021953E-2</v>
      </c>
      <c r="Q60" s="491"/>
      <c r="R60" s="79"/>
      <c r="S60" s="219"/>
      <c r="W60" s="201">
        <f>'CUSTO  TOTAL - QUADRIM.'!B54</f>
        <v>0</v>
      </c>
      <c r="X60" s="197" t="str">
        <f t="shared" si="8"/>
        <v/>
      </c>
      <c r="Y60" s="197" t="str">
        <f t="shared" si="9"/>
        <v/>
      </c>
      <c r="Z60" s="197" t="str">
        <f t="shared" si="10"/>
        <v/>
      </c>
      <c r="AA60" s="198" t="str">
        <f t="shared" si="11"/>
        <v/>
      </c>
      <c r="AB60" s="199" t="str">
        <f t="shared" si="16"/>
        <v/>
      </c>
      <c r="AO60" s="169"/>
    </row>
    <row r="61" spans="1:41" ht="18.2" customHeight="1" x14ac:dyDescent="0.25">
      <c r="A61" s="79"/>
      <c r="B61" s="564"/>
      <c r="C61" s="565"/>
      <c r="D61" s="566"/>
      <c r="E61" s="492" t="s">
        <v>58</v>
      </c>
      <c r="F61" s="493"/>
      <c r="G61" s="493"/>
      <c r="H61" s="493"/>
      <c r="I61" s="493"/>
      <c r="J61" s="493"/>
      <c r="K61" s="493"/>
      <c r="L61" s="493"/>
      <c r="M61" s="494"/>
      <c r="N61" s="475" t="str">
        <f t="shared" si="17"/>
        <v>-</v>
      </c>
      <c r="O61" s="476"/>
      <c r="P61" s="427" t="str">
        <f t="shared" si="18"/>
        <v>-</v>
      </c>
      <c r="Q61" s="428"/>
      <c r="R61" s="79"/>
      <c r="S61" s="219"/>
      <c r="W61" s="201">
        <f>'CUSTO  TOTAL - QUADRIM.'!B55</f>
        <v>0</v>
      </c>
      <c r="X61" s="197" t="str">
        <f t="shared" si="8"/>
        <v/>
      </c>
      <c r="Y61" s="197" t="str">
        <f t="shared" si="9"/>
        <v/>
      </c>
      <c r="Z61" s="197" t="str">
        <f t="shared" si="10"/>
        <v/>
      </c>
      <c r="AA61" s="198" t="str">
        <f t="shared" si="11"/>
        <v/>
      </c>
      <c r="AB61" s="199" t="str">
        <f t="shared" si="16"/>
        <v/>
      </c>
      <c r="AO61" s="169"/>
    </row>
    <row r="62" spans="1:41" ht="18.2" customHeight="1" x14ac:dyDescent="0.25">
      <c r="A62" s="79"/>
      <c r="B62" s="564"/>
      <c r="C62" s="565"/>
      <c r="D62" s="566"/>
      <c r="E62" s="483" t="s">
        <v>81</v>
      </c>
      <c r="F62" s="484"/>
      <c r="G62" s="484"/>
      <c r="H62" s="484"/>
      <c r="I62" s="484"/>
      <c r="J62" s="484"/>
      <c r="K62" s="484"/>
      <c r="L62" s="484"/>
      <c r="M62" s="485"/>
      <c r="N62" s="498">
        <f t="shared" si="17"/>
        <v>30837.99</v>
      </c>
      <c r="O62" s="499"/>
      <c r="P62" s="490">
        <f t="shared" si="18"/>
        <v>0.48386463585086958</v>
      </c>
      <c r="Q62" s="491"/>
      <c r="R62" s="79"/>
      <c r="S62" s="219"/>
      <c r="W62" s="201">
        <f>'CUSTO  TOTAL - QUADRIM.'!B56</f>
        <v>0</v>
      </c>
      <c r="X62" s="197" t="str">
        <f t="shared" si="8"/>
        <v/>
      </c>
      <c r="Y62" s="197" t="str">
        <f t="shared" si="9"/>
        <v/>
      </c>
      <c r="Z62" s="197" t="str">
        <f t="shared" si="10"/>
        <v/>
      </c>
      <c r="AA62" s="198" t="str">
        <f t="shared" si="11"/>
        <v/>
      </c>
      <c r="AB62" s="199" t="str">
        <f t="shared" si="16"/>
        <v/>
      </c>
      <c r="AO62" s="169"/>
    </row>
    <row r="63" spans="1:41" ht="18.2" customHeight="1" x14ac:dyDescent="0.25">
      <c r="A63" s="79"/>
      <c r="B63" s="564"/>
      <c r="C63" s="565"/>
      <c r="D63" s="566"/>
      <c r="E63" s="492" t="s">
        <v>59</v>
      </c>
      <c r="F63" s="493"/>
      <c r="G63" s="493"/>
      <c r="H63" s="493"/>
      <c r="I63" s="493"/>
      <c r="J63" s="493"/>
      <c r="K63" s="493"/>
      <c r="L63" s="493"/>
      <c r="M63" s="494"/>
      <c r="N63" s="475">
        <f t="shared" si="17"/>
        <v>21293.140000000003</v>
      </c>
      <c r="O63" s="476"/>
      <c r="P63" s="427">
        <f t="shared" si="18"/>
        <v>0.334100809820017</v>
      </c>
      <c r="Q63" s="428"/>
      <c r="R63" s="79"/>
      <c r="S63" s="219"/>
      <c r="W63" s="201">
        <f>'CUSTO  TOTAL - QUADRIM.'!B57</f>
        <v>0</v>
      </c>
      <c r="X63" s="197" t="str">
        <f t="shared" si="8"/>
        <v/>
      </c>
      <c r="Y63" s="197" t="str">
        <f t="shared" si="9"/>
        <v/>
      </c>
      <c r="Z63" s="197" t="str">
        <f t="shared" si="10"/>
        <v/>
      </c>
      <c r="AA63" s="198" t="str">
        <f t="shared" si="11"/>
        <v/>
      </c>
      <c r="AB63" s="199" t="str">
        <f t="shared" si="16"/>
        <v/>
      </c>
      <c r="AO63" s="169"/>
    </row>
    <row r="64" spans="1:41" ht="18.2" customHeight="1" x14ac:dyDescent="0.25">
      <c r="A64" s="79"/>
      <c r="B64" s="564"/>
      <c r="C64" s="565"/>
      <c r="D64" s="566"/>
      <c r="E64" s="495" t="s">
        <v>82</v>
      </c>
      <c r="F64" s="496"/>
      <c r="G64" s="496"/>
      <c r="H64" s="496"/>
      <c r="I64" s="496"/>
      <c r="J64" s="496"/>
      <c r="K64" s="496"/>
      <c r="L64" s="496"/>
      <c r="M64" s="497"/>
      <c r="N64" s="498" t="str">
        <f t="shared" si="17"/>
        <v>-</v>
      </c>
      <c r="O64" s="499"/>
      <c r="P64" s="490" t="str">
        <f t="shared" si="18"/>
        <v>-</v>
      </c>
      <c r="Q64" s="491"/>
      <c r="R64" s="79"/>
      <c r="S64" s="219"/>
      <c r="W64" s="201">
        <f>'CUSTO  TOTAL - QUADRIM.'!B58</f>
        <v>0</v>
      </c>
      <c r="X64" s="197" t="str">
        <f t="shared" si="8"/>
        <v/>
      </c>
      <c r="Y64" s="197" t="str">
        <f t="shared" si="9"/>
        <v/>
      </c>
      <c r="Z64" s="197" t="str">
        <f t="shared" si="10"/>
        <v/>
      </c>
      <c r="AA64" s="198" t="str">
        <f t="shared" si="11"/>
        <v/>
      </c>
      <c r="AB64" s="199" t="str">
        <f t="shared" si="16"/>
        <v/>
      </c>
      <c r="AO64" s="169"/>
    </row>
    <row r="65" spans="1:41" ht="18.2" customHeight="1" thickBot="1" x14ac:dyDescent="0.3">
      <c r="A65" s="79"/>
      <c r="B65" s="564"/>
      <c r="C65" s="565"/>
      <c r="D65" s="566"/>
      <c r="E65" s="594" t="s">
        <v>101</v>
      </c>
      <c r="F65" s="595"/>
      <c r="G65" s="595"/>
      <c r="H65" s="595"/>
      <c r="I65" s="595"/>
      <c r="J65" s="595"/>
      <c r="K65" s="595"/>
      <c r="L65" s="595"/>
      <c r="M65" s="596"/>
      <c r="N65" s="510">
        <f>IFERROR(IF( $E$15-SUM($N$52:$O$64)&gt;0,$E$15-SUM($N$52:$O$64), "-"),"-")</f>
        <v>7295.125</v>
      </c>
      <c r="O65" s="511"/>
      <c r="P65" s="512">
        <f t="shared" si="18"/>
        <v>0.11446443174835892</v>
      </c>
      <c r="Q65" s="513"/>
      <c r="R65" s="79"/>
      <c r="S65" s="219"/>
      <c r="W65" s="201">
        <f>'CUSTO  TOTAL - QUADRIM.'!B59</f>
        <v>0</v>
      </c>
      <c r="X65" s="197" t="str">
        <f t="shared" si="8"/>
        <v/>
      </c>
      <c r="Y65" s="197" t="str">
        <f t="shared" si="9"/>
        <v/>
      </c>
      <c r="Z65" s="197" t="str">
        <f t="shared" si="10"/>
        <v/>
      </c>
      <c r="AA65" s="198" t="str">
        <f t="shared" si="11"/>
        <v/>
      </c>
      <c r="AB65" s="199" t="str">
        <f t="shared" si="16"/>
        <v/>
      </c>
      <c r="AO65" s="169"/>
    </row>
    <row r="66" spans="1:41" ht="18.2" customHeight="1" thickTop="1" x14ac:dyDescent="0.25">
      <c r="A66" s="79"/>
      <c r="B66" s="561" t="str">
        <f xml:space="preserve">
CONCATENATE( "DESPESAS GERAIS", CHAR(10),
"Soma da Média:", CHAR(10), TEXT( SUM( N66:O69), "R$ 0.000,00"))</f>
        <v>DESPESAS GERAIS
Soma da Média:
R$ 16.436,70</v>
      </c>
      <c r="C66" s="562"/>
      <c r="D66" s="563"/>
      <c r="E66" s="714" t="s">
        <v>60</v>
      </c>
      <c r="F66" s="715"/>
      <c r="G66" s="715"/>
      <c r="H66" s="715"/>
      <c r="I66" s="715"/>
      <c r="J66" s="715"/>
      <c r="K66" s="715"/>
      <c r="L66" s="715"/>
      <c r="M66" s="716"/>
      <c r="N66" s="477">
        <f>IFERROR( VLOOKUP( E66, $W$14:$AB$85, 6, 0), "-")</f>
        <v>5801.1124999999993</v>
      </c>
      <c r="O66" s="478"/>
      <c r="P66" s="473">
        <f>IFERROR( (N66*100)/ $E$16/ 100, "-")</f>
        <v>0.35293651509480073</v>
      </c>
      <c r="Q66" s="474"/>
      <c r="R66" s="79"/>
      <c r="S66" s="219"/>
      <c r="W66" s="201">
        <f>'CUSTO  TOTAL - QUADRIM.'!B60</f>
        <v>0</v>
      </c>
      <c r="X66" s="197" t="str">
        <f t="shared" si="8"/>
        <v/>
      </c>
      <c r="Y66" s="197" t="str">
        <f t="shared" si="9"/>
        <v/>
      </c>
      <c r="Z66" s="197" t="str">
        <f t="shared" si="10"/>
        <v/>
      </c>
      <c r="AA66" s="198" t="str">
        <f t="shared" si="11"/>
        <v/>
      </c>
      <c r="AB66" s="199" t="str">
        <f t="shared" si="16"/>
        <v/>
      </c>
      <c r="AO66" s="169"/>
    </row>
    <row r="67" spans="1:41" ht="18.2" customHeight="1" x14ac:dyDescent="0.25">
      <c r="A67" s="79"/>
      <c r="B67" s="564"/>
      <c r="C67" s="565"/>
      <c r="D67" s="566"/>
      <c r="E67" s="492" t="s">
        <v>61</v>
      </c>
      <c r="F67" s="493"/>
      <c r="G67" s="493"/>
      <c r="H67" s="493"/>
      <c r="I67" s="493"/>
      <c r="J67" s="493"/>
      <c r="K67" s="493"/>
      <c r="L67" s="493"/>
      <c r="M67" s="494"/>
      <c r="N67" s="475">
        <f>IFERROR( VLOOKUP( E67, $W$14:$AB$85, 6, 0), "-")</f>
        <v>10376.59</v>
      </c>
      <c r="O67" s="476"/>
      <c r="P67" s="427">
        <f>IFERROR( (N67*100)/ $E$16/ 100, "-")</f>
        <v>0.63130606640839304</v>
      </c>
      <c r="Q67" s="428"/>
      <c r="R67" s="79"/>
      <c r="T67" s="465" t="s">
        <v>13</v>
      </c>
      <c r="U67" s="466"/>
      <c r="W67" s="201">
        <f>'CUSTO  TOTAL - QUADRIM.'!B61</f>
        <v>0</v>
      </c>
      <c r="X67" s="197" t="str">
        <f t="shared" si="8"/>
        <v/>
      </c>
      <c r="Y67" s="197" t="str">
        <f t="shared" si="9"/>
        <v/>
      </c>
      <c r="Z67" s="197" t="str">
        <f t="shared" si="10"/>
        <v/>
      </c>
      <c r="AA67" s="198" t="str">
        <f t="shared" si="11"/>
        <v/>
      </c>
      <c r="AB67" s="199" t="str">
        <f t="shared" si="16"/>
        <v/>
      </c>
      <c r="AO67" s="169"/>
    </row>
    <row r="68" spans="1:41" ht="18.2" customHeight="1" x14ac:dyDescent="0.25">
      <c r="A68" s="79"/>
      <c r="B68" s="564"/>
      <c r="C68" s="565"/>
      <c r="D68" s="566"/>
      <c r="E68" s="483" t="s">
        <v>62</v>
      </c>
      <c r="F68" s="484"/>
      <c r="G68" s="484"/>
      <c r="H68" s="484"/>
      <c r="I68" s="484"/>
      <c r="J68" s="484"/>
      <c r="K68" s="484"/>
      <c r="L68" s="484"/>
      <c r="M68" s="485"/>
      <c r="N68" s="498">
        <f>IFERROR( VLOOKUP( E68, $W$14:$AB$85, 6, 0), "-")</f>
        <v>259</v>
      </c>
      <c r="O68" s="499"/>
      <c r="P68" s="490">
        <f>IFERROR( (N68*100)/ $E$16/ 100, "-")</f>
        <v>1.5757418496806157E-2</v>
      </c>
      <c r="Q68" s="491"/>
      <c r="R68" s="79"/>
      <c r="T68" s="469" t="s">
        <v>14</v>
      </c>
      <c r="U68" s="470"/>
      <c r="W68" s="201">
        <f>'CUSTO  TOTAL - QUADRIM.'!B62</f>
        <v>0</v>
      </c>
      <c r="X68" s="197" t="str">
        <f t="shared" si="8"/>
        <v/>
      </c>
      <c r="Y68" s="197" t="str">
        <f t="shared" si="9"/>
        <v/>
      </c>
      <c r="Z68" s="197" t="str">
        <f t="shared" si="10"/>
        <v/>
      </c>
      <c r="AA68" s="198" t="str">
        <f t="shared" si="11"/>
        <v/>
      </c>
      <c r="AB68" s="199" t="str">
        <f t="shared" si="16"/>
        <v/>
      </c>
      <c r="AO68" s="169"/>
    </row>
    <row r="69" spans="1:41" ht="18.2" customHeight="1" thickBot="1" x14ac:dyDescent="0.3">
      <c r="A69" s="79"/>
      <c r="B69" s="567"/>
      <c r="C69" s="568"/>
      <c r="D69" s="569"/>
      <c r="E69" s="594" t="s">
        <v>101</v>
      </c>
      <c r="F69" s="595"/>
      <c r="G69" s="595"/>
      <c r="H69" s="595"/>
      <c r="I69" s="595"/>
      <c r="J69" s="595"/>
      <c r="K69" s="595"/>
      <c r="L69" s="595"/>
      <c r="M69" s="596"/>
      <c r="N69" s="479" t="str">
        <f>IFERROR(IF($E$16-SUM($N$66:$O$68)&gt;0,$E$16-SUM($N$66:$O$68), "-"),"-")</f>
        <v>-</v>
      </c>
      <c r="O69" s="480"/>
      <c r="P69" s="481" t="str">
        <f>IFERROR( (N69*100)/ $E$16/ 100, "-")</f>
        <v>-</v>
      </c>
      <c r="Q69" s="482"/>
      <c r="R69" s="79"/>
      <c r="T69" s="94">
        <f>IFERROR(AVERAGE(P66:Q69),"-")</f>
        <v>0.33333333333333331</v>
      </c>
      <c r="U69" s="93" t="s">
        <v>141</v>
      </c>
      <c r="W69" s="201">
        <f>'CUSTO  TOTAL - QUADRIM.'!B63</f>
        <v>0</v>
      </c>
      <c r="X69" s="197" t="str">
        <f t="shared" si="8"/>
        <v/>
      </c>
      <c r="Y69" s="197" t="str">
        <f t="shared" si="9"/>
        <v/>
      </c>
      <c r="Z69" s="197" t="str">
        <f t="shared" si="10"/>
        <v/>
      </c>
      <c r="AA69" s="198" t="str">
        <f t="shared" si="11"/>
        <v/>
      </c>
      <c r="AB69" s="199" t="str">
        <f t="shared" si="16"/>
        <v/>
      </c>
      <c r="AO69" s="169"/>
    </row>
    <row r="70" spans="1:41" ht="18.2" customHeight="1" thickTop="1" x14ac:dyDescent="0.25">
      <c r="A70" s="79"/>
      <c r="B70" s="581" t="s">
        <v>138</v>
      </c>
      <c r="C70" s="582"/>
      <c r="D70" s="583"/>
      <c r="E70" s="587" t="s">
        <v>137</v>
      </c>
      <c r="F70" s="588"/>
      <c r="G70" s="588"/>
      <c r="H70" s="588"/>
      <c r="I70" s="588"/>
      <c r="J70" s="588"/>
      <c r="K70" s="588"/>
      <c r="L70" s="588"/>
      <c r="M70" s="589"/>
      <c r="N70" s="471" t="str">
        <f>IFERROR( VLOOKUP( E70, $W$14:$AB$85, 6, 0), "-")</f>
        <v>-</v>
      </c>
      <c r="O70" s="472"/>
      <c r="P70" s="473" t="str">
        <f>IFERROR( (N70*100)/ $E$17/ 100, "-")</f>
        <v>-</v>
      </c>
      <c r="Q70" s="474"/>
      <c r="R70" s="79"/>
      <c r="S70" s="219"/>
      <c r="W70" s="201">
        <f>'CUSTO  TOTAL - QUADRIM.'!B64</f>
        <v>0</v>
      </c>
      <c r="X70" s="197" t="str">
        <f t="shared" si="8"/>
        <v/>
      </c>
      <c r="Y70" s="197" t="str">
        <f t="shared" si="9"/>
        <v/>
      </c>
      <c r="Z70" s="197" t="str">
        <f t="shared" si="10"/>
        <v/>
      </c>
      <c r="AA70" s="198" t="str">
        <f t="shared" si="11"/>
        <v/>
      </c>
      <c r="AB70" s="199" t="str">
        <f t="shared" si="16"/>
        <v/>
      </c>
      <c r="AO70" s="169"/>
    </row>
    <row r="71" spans="1:41" ht="18.2" customHeight="1" thickBot="1" x14ac:dyDescent="0.3">
      <c r="A71" s="79"/>
      <c r="B71" s="584"/>
      <c r="C71" s="585"/>
      <c r="D71" s="586"/>
      <c r="E71" s="705" t="s">
        <v>142</v>
      </c>
      <c r="F71" s="706"/>
      <c r="G71" s="706"/>
      <c r="H71" s="706"/>
      <c r="I71" s="706"/>
      <c r="J71" s="706"/>
      <c r="K71" s="706"/>
      <c r="L71" s="706"/>
      <c r="M71" s="707"/>
      <c r="N71" s="531" t="str">
        <f>IFERROR( VLOOKUP( E71, $W$14:$AB$85, 6, 0), "-")</f>
        <v>-</v>
      </c>
      <c r="O71" s="532"/>
      <c r="P71" s="427" t="str">
        <f>IFERROR( (N71*100)/ $E$17/ 100, "-")</f>
        <v>-</v>
      </c>
      <c r="Q71" s="428"/>
      <c r="R71" s="79"/>
      <c r="S71" s="219"/>
      <c r="W71" s="201">
        <f>'CUSTO  TOTAL - QUADRIM.'!B65</f>
        <v>0</v>
      </c>
      <c r="X71" s="197" t="str">
        <f t="shared" si="8"/>
        <v/>
      </c>
      <c r="Y71" s="197" t="str">
        <f t="shared" si="9"/>
        <v/>
      </c>
      <c r="Z71" s="197" t="str">
        <f t="shared" si="10"/>
        <v/>
      </c>
      <c r="AA71" s="198" t="str">
        <f t="shared" si="11"/>
        <v/>
      </c>
      <c r="AB71" s="199" t="str">
        <f t="shared" si="16"/>
        <v/>
      </c>
      <c r="AO71" s="169"/>
    </row>
    <row r="72" spans="1:41" ht="18.2" customHeight="1" x14ac:dyDescent="0.25">
      <c r="A72" s="79"/>
      <c r="B72" s="578" t="s">
        <v>7</v>
      </c>
      <c r="C72" s="579"/>
      <c r="D72" s="579"/>
      <c r="E72" s="579"/>
      <c r="F72" s="579"/>
      <c r="G72" s="579"/>
      <c r="H72" s="579"/>
      <c r="I72" s="579"/>
      <c r="J72" s="579"/>
      <c r="K72" s="579"/>
      <c r="L72" s="579"/>
      <c r="M72" s="580"/>
      <c r="N72" s="708">
        <f xml:space="preserve"> IF( SUM( N24:O71)=0, "-", SUM( N24:O71))</f>
        <v>1847094.8674999997</v>
      </c>
      <c r="O72" s="709"/>
      <c r="P72" s="592" t="s">
        <v>95</v>
      </c>
      <c r="Q72" s="593"/>
      <c r="R72" s="79"/>
      <c r="S72" s="219"/>
      <c r="W72" s="201">
        <f>'CUSTO  TOTAL - QUADRIM.'!B66</f>
        <v>0</v>
      </c>
      <c r="X72" s="197" t="str">
        <f t="shared" si="8"/>
        <v/>
      </c>
      <c r="Y72" s="197" t="str">
        <f t="shared" si="9"/>
        <v/>
      </c>
      <c r="Z72" s="197" t="str">
        <f t="shared" si="10"/>
        <v/>
      </c>
      <c r="AA72" s="198" t="str">
        <f t="shared" si="11"/>
        <v/>
      </c>
      <c r="AB72" s="199" t="str">
        <f t="shared" si="16"/>
        <v/>
      </c>
      <c r="AO72" s="169"/>
    </row>
    <row r="73" spans="1:41" ht="18.2" customHeight="1" x14ac:dyDescent="0.25">
      <c r="A73" s="79"/>
      <c r="B73" s="458"/>
      <c r="C73" s="458"/>
      <c r="D73" s="458"/>
      <c r="E73" s="458"/>
      <c r="F73" s="458"/>
      <c r="G73" s="458"/>
      <c r="H73" s="458"/>
      <c r="I73" s="458"/>
      <c r="J73" s="458"/>
      <c r="K73" s="458"/>
      <c r="L73" s="458"/>
      <c r="M73" s="458"/>
      <c r="N73" s="458"/>
      <c r="O73" s="458"/>
      <c r="P73" s="458"/>
      <c r="Q73" s="458"/>
      <c r="R73" s="79"/>
      <c r="S73" s="219"/>
      <c r="W73" s="201">
        <f>'CUSTO  TOTAL - QUADRIM.'!B67</f>
        <v>0</v>
      </c>
      <c r="X73" s="197" t="str">
        <f t="shared" si="8"/>
        <v/>
      </c>
      <c r="Y73" s="197" t="str">
        <f t="shared" si="9"/>
        <v/>
      </c>
      <c r="Z73" s="197" t="str">
        <f t="shared" si="10"/>
        <v/>
      </c>
      <c r="AA73" s="198" t="str">
        <f t="shared" si="11"/>
        <v/>
      </c>
      <c r="AB73" s="199" t="str">
        <f t="shared" si="16"/>
        <v/>
      </c>
      <c r="AO73" s="169"/>
    </row>
    <row r="74" spans="1:41" ht="18.2" customHeight="1" x14ac:dyDescent="0.25">
      <c r="A74" s="372"/>
      <c r="B74" s="217"/>
      <c r="C74" s="217"/>
      <c r="D74" s="217"/>
      <c r="E74" s="217"/>
      <c r="F74" s="217"/>
      <c r="G74" s="220"/>
      <c r="H74" s="220"/>
      <c r="I74" s="220"/>
      <c r="J74" s="220"/>
      <c r="K74" s="220"/>
      <c r="L74" s="220"/>
      <c r="M74" s="220"/>
      <c r="N74" s="220"/>
      <c r="O74" s="220"/>
      <c r="P74" s="220"/>
      <c r="Q74" s="220"/>
      <c r="R74" s="79"/>
      <c r="W74" s="201">
        <f>'CUSTO  TOTAL - QUADRIM.'!B68</f>
        <v>0</v>
      </c>
      <c r="X74" s="197" t="str">
        <f t="shared" si="8"/>
        <v/>
      </c>
      <c r="Y74" s="197" t="str">
        <f t="shared" si="9"/>
        <v/>
      </c>
      <c r="Z74" s="197" t="str">
        <f t="shared" si="10"/>
        <v/>
      </c>
      <c r="AA74" s="198" t="str">
        <f t="shared" si="11"/>
        <v/>
      </c>
      <c r="AB74" s="199" t="str">
        <f t="shared" si="16"/>
        <v/>
      </c>
      <c r="AO74" s="169"/>
    </row>
    <row r="75" spans="1:41" ht="18.2" customHeight="1" x14ac:dyDescent="0.25">
      <c r="A75" s="79"/>
      <c r="B75" s="265"/>
      <c r="C75" s="265"/>
      <c r="D75" s="265"/>
      <c r="E75" s="265"/>
      <c r="F75" s="265"/>
      <c r="R75" s="79"/>
      <c r="W75" s="201">
        <f>'CUSTO  TOTAL - QUADRIM.'!B69</f>
        <v>0</v>
      </c>
      <c r="X75" s="197" t="str">
        <f t="shared" si="8"/>
        <v/>
      </c>
      <c r="Y75" s="197" t="str">
        <f t="shared" si="9"/>
        <v/>
      </c>
      <c r="Z75" s="197" t="str">
        <f t="shared" si="10"/>
        <v/>
      </c>
      <c r="AA75" s="198" t="str">
        <f t="shared" si="11"/>
        <v/>
      </c>
      <c r="AB75" s="199" t="str">
        <f t="shared" si="16"/>
        <v/>
      </c>
      <c r="AO75" s="169"/>
    </row>
    <row r="76" spans="1:41" ht="18.2" customHeight="1" x14ac:dyDescent="0.25">
      <c r="A76" s="79"/>
      <c r="B76" s="265"/>
      <c r="C76" s="265"/>
      <c r="D76" s="265"/>
      <c r="E76" s="265"/>
      <c r="F76" s="265"/>
      <c r="R76" s="79"/>
      <c r="W76" s="201">
        <f>'CUSTO  TOTAL - QUADRIM.'!B70</f>
        <v>0</v>
      </c>
      <c r="X76" s="197" t="str">
        <f t="shared" si="8"/>
        <v/>
      </c>
      <c r="Y76" s="197" t="str">
        <f t="shared" si="9"/>
        <v/>
      </c>
      <c r="Z76" s="197" t="str">
        <f t="shared" si="10"/>
        <v/>
      </c>
      <c r="AA76" s="198" t="str">
        <f t="shared" si="11"/>
        <v/>
      </c>
      <c r="AB76" s="199" t="str">
        <f t="shared" si="16"/>
        <v/>
      </c>
      <c r="AO76" s="169"/>
    </row>
    <row r="77" spans="1:41" ht="18.2" customHeight="1" x14ac:dyDescent="0.25">
      <c r="A77" s="79"/>
      <c r="B77" s="325"/>
      <c r="C77" s="265"/>
      <c r="D77" s="265"/>
      <c r="E77" s="265"/>
      <c r="F77" s="265"/>
      <c r="R77" s="79"/>
      <c r="W77" s="201">
        <f>'CUSTO  TOTAL - QUADRIM.'!B71</f>
        <v>0</v>
      </c>
      <c r="X77" s="197" t="str">
        <f t="shared" si="8"/>
        <v/>
      </c>
      <c r="Y77" s="197" t="str">
        <f t="shared" si="9"/>
        <v/>
      </c>
      <c r="Z77" s="197" t="str">
        <f t="shared" si="10"/>
        <v/>
      </c>
      <c r="AA77" s="198" t="str">
        <f t="shared" si="11"/>
        <v/>
      </c>
      <c r="AB77" s="199" t="str">
        <f t="shared" si="16"/>
        <v/>
      </c>
      <c r="AO77" s="169"/>
    </row>
    <row r="78" spans="1:41" ht="18.2" customHeight="1" x14ac:dyDescent="0.25">
      <c r="A78" s="79"/>
      <c r="B78" s="325"/>
      <c r="C78" s="265"/>
      <c r="D78" s="265"/>
      <c r="E78" s="265"/>
      <c r="F78" s="265"/>
      <c r="R78" s="79"/>
      <c r="W78" s="221">
        <f>'CUSTO  TOTAL - QUADRIM.'!B72</f>
        <v>0</v>
      </c>
      <c r="X78" s="197" t="str">
        <f t="shared" si="8"/>
        <v/>
      </c>
      <c r="Y78" s="197" t="str">
        <f t="shared" si="9"/>
        <v/>
      </c>
      <c r="Z78" s="197" t="str">
        <f t="shared" si="10"/>
        <v/>
      </c>
      <c r="AA78" s="198" t="str">
        <f t="shared" si="11"/>
        <v/>
      </c>
      <c r="AB78" s="199" t="str">
        <f t="shared" ref="AB78:AB85" si="19">IFERROR(AVERAGE( X78:AA78),"")</f>
        <v/>
      </c>
      <c r="AO78" s="169"/>
    </row>
    <row r="79" spans="1:41" ht="18.2" customHeight="1" x14ac:dyDescent="0.25">
      <c r="A79" s="79"/>
      <c r="B79" s="325"/>
      <c r="C79" s="325"/>
      <c r="D79" s="325"/>
      <c r="E79" s="325"/>
      <c r="F79" s="265"/>
      <c r="R79" s="79"/>
      <c r="W79" s="201">
        <f>'CUSTO  TOTAL - QUADRIM.'!B73</f>
        <v>0</v>
      </c>
      <c r="X79" s="197" t="str">
        <f t="shared" ref="X79:X85" si="20">IFERROR(IF(W79="","", VLOOKUP(W79,_CUST_TOT_4m_,2,0)),"")</f>
        <v/>
      </c>
      <c r="Y79" s="197" t="str">
        <f t="shared" ref="Y79:Y85" si="21">IFERROR(IF(W79="","", VLOOKUP(W79,_CUST_TOT_4m_,3,0)),"")</f>
        <v/>
      </c>
      <c r="Z79" s="197" t="str">
        <f t="shared" ref="Z79:Z85" si="22">IFERROR(IF(W79="","", VLOOKUP(W79,_CUST_TOT_4m_,4,0)),"")</f>
        <v/>
      </c>
      <c r="AA79" s="198" t="str">
        <f t="shared" ref="AA79:AA85" si="23">IFERROR(IF(W79="","", VLOOKUP(W79,_CUST_TOT_4m_,5,0)),"")</f>
        <v/>
      </c>
      <c r="AB79" s="199" t="str">
        <f t="shared" si="19"/>
        <v/>
      </c>
      <c r="AO79" s="169"/>
    </row>
    <row r="80" spans="1:41" ht="18.2" customHeight="1" x14ac:dyDescent="0.25">
      <c r="A80" s="79"/>
      <c r="B80" s="325"/>
      <c r="C80" s="325"/>
      <c r="D80" s="325"/>
      <c r="E80" s="325"/>
      <c r="F80" s="265"/>
      <c r="R80" s="79"/>
      <c r="W80" s="201">
        <f>'CUSTO  TOTAL - QUADRIM.'!B74</f>
        <v>0</v>
      </c>
      <c r="X80" s="197" t="str">
        <f t="shared" si="20"/>
        <v/>
      </c>
      <c r="Y80" s="197" t="str">
        <f t="shared" si="21"/>
        <v/>
      </c>
      <c r="Z80" s="197" t="str">
        <f t="shared" si="22"/>
        <v/>
      </c>
      <c r="AA80" s="198" t="str">
        <f t="shared" si="23"/>
        <v/>
      </c>
      <c r="AB80" s="199" t="str">
        <f t="shared" si="19"/>
        <v/>
      </c>
      <c r="AO80" s="169"/>
    </row>
    <row r="81" spans="1:59" ht="18.2" customHeight="1" x14ac:dyDescent="0.25">
      <c r="A81" s="79"/>
      <c r="B81" s="590" t="str">
        <f xml:space="preserve"> UPPER( B$84)</f>
        <v>REMUNERAÇÃO A PESSOAL - ESTATUTÁRIO</v>
      </c>
      <c r="C81" s="590"/>
      <c r="D81" s="590"/>
      <c r="E81" s="590"/>
      <c r="F81" s="331"/>
      <c r="H81" s="591" t="str">
        <f xml:space="preserve"> UPPER( G$84)</f>
        <v>MATERIAL PARA REABILITAÇÃO (ÓRTESES, PRÓTESES E MATERIAIS ESPECIAIS - OPME)</v>
      </c>
      <c r="I81" s="591"/>
      <c r="J81" s="591"/>
      <c r="K81" s="591"/>
      <c r="L81" s="332"/>
      <c r="M81" s="590" t="str">
        <f xml:space="preserve"> UPPER( L$84)</f>
        <v>SERVIÇOS DE ENERGIA ELÉTRICA</v>
      </c>
      <c r="N81" s="590"/>
      <c r="O81" s="590"/>
      <c r="P81" s="590"/>
      <c r="Q81" s="331"/>
      <c r="R81" s="79"/>
      <c r="W81" s="201">
        <f>'CUSTO  TOTAL - QUADRIM.'!B75</f>
        <v>0</v>
      </c>
      <c r="X81" s="197" t="str">
        <f t="shared" si="20"/>
        <v/>
      </c>
      <c r="Y81" s="197" t="str">
        <f t="shared" si="21"/>
        <v/>
      </c>
      <c r="Z81" s="197" t="str">
        <f t="shared" si="22"/>
        <v/>
      </c>
      <c r="AA81" s="198" t="str">
        <f t="shared" si="23"/>
        <v/>
      </c>
      <c r="AB81" s="199" t="str">
        <f t="shared" si="19"/>
        <v/>
      </c>
      <c r="AO81" s="169"/>
    </row>
    <row r="82" spans="1:59" ht="18.2" customHeight="1" x14ac:dyDescent="0.25">
      <c r="A82" s="79"/>
      <c r="B82" s="326" t="s">
        <v>95</v>
      </c>
      <c r="C82" s="327" t="str">
        <f>$X$13</f>
        <v>JAN/25</v>
      </c>
      <c r="D82" s="327" t="str">
        <f>$Y$13</f>
        <v>FEV/25</v>
      </c>
      <c r="E82" s="327" t="str">
        <f>$Z$13</f>
        <v>MAR/25</v>
      </c>
      <c r="F82" s="328" t="str">
        <f>$AA$13</f>
        <v>ABR/25</v>
      </c>
      <c r="H82" s="326" t="s">
        <v>95</v>
      </c>
      <c r="I82" s="327" t="str">
        <f>$X$13</f>
        <v>JAN/25</v>
      </c>
      <c r="J82" s="327" t="str">
        <f>$Y$13</f>
        <v>FEV/25</v>
      </c>
      <c r="K82" s="327" t="str">
        <f>$Z$13</f>
        <v>MAR/25</v>
      </c>
      <c r="L82" s="334" t="str">
        <f>$AA$13</f>
        <v>ABR/25</v>
      </c>
      <c r="M82" s="326" t="s">
        <v>95</v>
      </c>
      <c r="N82" s="327" t="str">
        <f>$X$13</f>
        <v>JAN/25</v>
      </c>
      <c r="O82" s="327" t="str">
        <f>$Y$13</f>
        <v>FEV/25</v>
      </c>
      <c r="P82" s="327" t="str">
        <f>$Z$13</f>
        <v>MAR/25</v>
      </c>
      <c r="Q82" s="328" t="str">
        <f>$AA$13</f>
        <v>ABR/25</v>
      </c>
      <c r="R82" s="79"/>
      <c r="W82" s="201">
        <f>'CUSTO  TOTAL - QUADRIM.'!B76</f>
        <v>0</v>
      </c>
      <c r="X82" s="197" t="str">
        <f t="shared" si="20"/>
        <v/>
      </c>
      <c r="Y82" s="197" t="str">
        <f t="shared" si="21"/>
        <v/>
      </c>
      <c r="Z82" s="197" t="str">
        <f t="shared" si="22"/>
        <v/>
      </c>
      <c r="AA82" s="198" t="str">
        <f t="shared" si="23"/>
        <v/>
      </c>
      <c r="AB82" s="199" t="str">
        <f t="shared" si="19"/>
        <v/>
      </c>
      <c r="AO82" s="169"/>
    </row>
    <row r="83" spans="1:59" ht="18.2" customHeight="1" x14ac:dyDescent="0.25">
      <c r="A83" s="79"/>
      <c r="B83" s="330" t="str">
        <f>B$84</f>
        <v>Remuneração a Pessoal - Estatutário</v>
      </c>
      <c r="C83" s="329">
        <f xml:space="preserve"> VLOOKUP( B$84, $W$14:$AA$85, 2, 0)</f>
        <v>1247234.8700000001</v>
      </c>
      <c r="D83" s="329">
        <f xml:space="preserve"> VLOOKUP( B$84, $W$14:$AA$85, 3, 0)</f>
        <v>1207439.96</v>
      </c>
      <c r="E83" s="329">
        <f xml:space="preserve"> VLOOKUP( B$84, $W$14:$AA$85, 4, 0)</f>
        <v>1219203.98</v>
      </c>
      <c r="F83" s="333">
        <f xml:space="preserve"> VLOOKUP( B$84, $W$14:$AA$85, 5, 0)</f>
        <v>1205392.06</v>
      </c>
      <c r="H83" s="330" t="str">
        <f>G$84</f>
        <v>Material para Reabilitação (Órteses, próteses e materiais especiais - OPME)</v>
      </c>
      <c r="I83" s="329">
        <f xml:space="preserve"> VLOOKUP( G$84, $W$14:$AA$85, 2, 0)</f>
        <v>17330.23</v>
      </c>
      <c r="J83" s="329">
        <f xml:space="preserve"> VLOOKUP( G$84, $W$14:$AA$85, 3, 0)</f>
        <v>18039.669999999998</v>
      </c>
      <c r="K83" s="329">
        <f xml:space="preserve"> VLOOKUP( G$84, $W$14:$AA$85, 4, 0)</f>
        <v>13901.03</v>
      </c>
      <c r="L83" s="333">
        <f xml:space="preserve"> VLOOKUP( G$84, $W$14:$AA$85, 5, 0)</f>
        <v>29132.83</v>
      </c>
      <c r="M83" s="330" t="str">
        <f>L$84</f>
        <v>Serviços de Energia Elétrica</v>
      </c>
      <c r="N83" s="329">
        <f xml:space="preserve"> VLOOKUP( L$84, $W$14:$AA$85, 2, 0)</f>
        <v>10483.879999999999</v>
      </c>
      <c r="O83" s="329">
        <f xml:space="preserve"> VLOOKUP( L$84, $W$14:$AA$85, 3, 0)</f>
        <v>11139.91</v>
      </c>
      <c r="P83" s="329">
        <f xml:space="preserve"> VLOOKUP( L$84, $W$14:$AA$85, 4, 0)</f>
        <v>9615.49</v>
      </c>
      <c r="Q83" s="329">
        <f xml:space="preserve"> VLOOKUP( L$84, $W$14:$AA$85, 5, 0)</f>
        <v>10267.08</v>
      </c>
      <c r="R83" s="79"/>
      <c r="W83" s="201">
        <f>'CUSTO  TOTAL - QUADRIM.'!B77</f>
        <v>0</v>
      </c>
      <c r="X83" s="197" t="str">
        <f t="shared" si="20"/>
        <v/>
      </c>
      <c r="Y83" s="197" t="str">
        <f t="shared" si="21"/>
        <v/>
      </c>
      <c r="Z83" s="197" t="str">
        <f t="shared" si="22"/>
        <v/>
      </c>
      <c r="AA83" s="198" t="str">
        <f t="shared" si="23"/>
        <v/>
      </c>
      <c r="AB83" s="199" t="str">
        <f t="shared" si="19"/>
        <v/>
      </c>
      <c r="AO83" s="169"/>
    </row>
    <row r="84" spans="1:59" ht="18.2" customHeight="1" x14ac:dyDescent="0.25">
      <c r="A84" s="79"/>
      <c r="B84" s="713" t="s">
        <v>175</v>
      </c>
      <c r="C84" s="603"/>
      <c r="D84" s="603"/>
      <c r="E84" s="603"/>
      <c r="F84" s="603"/>
      <c r="G84" s="603" t="s">
        <v>98</v>
      </c>
      <c r="H84" s="603"/>
      <c r="I84" s="603"/>
      <c r="J84" s="603"/>
      <c r="K84" s="603"/>
      <c r="L84" s="603" t="s">
        <v>61</v>
      </c>
      <c r="M84" s="603"/>
      <c r="N84" s="603"/>
      <c r="O84" s="603"/>
      <c r="P84" s="603"/>
      <c r="Q84" s="604"/>
      <c r="R84" s="79"/>
      <c r="W84" s="201">
        <f>'CUSTO  TOTAL - QUADRIM.'!B78</f>
        <v>0</v>
      </c>
      <c r="X84" s="197" t="str">
        <f t="shared" si="20"/>
        <v/>
      </c>
      <c r="Y84" s="197" t="str">
        <f t="shared" si="21"/>
        <v/>
      </c>
      <c r="Z84" s="197" t="str">
        <f t="shared" si="22"/>
        <v/>
      </c>
      <c r="AA84" s="198" t="str">
        <f t="shared" si="23"/>
        <v/>
      </c>
      <c r="AB84" s="199" t="str">
        <f t="shared" si="19"/>
        <v/>
      </c>
      <c r="AO84" s="169"/>
    </row>
    <row r="85" spans="1:59" ht="18.2" customHeight="1" x14ac:dyDescent="0.25">
      <c r="A85" s="373"/>
      <c r="B85" s="710"/>
      <c r="C85" s="710"/>
      <c r="D85" s="710"/>
      <c r="E85" s="710"/>
      <c r="F85" s="710"/>
      <c r="G85" s="710"/>
      <c r="H85" s="710"/>
      <c r="I85" s="710"/>
      <c r="J85" s="710"/>
      <c r="K85" s="710"/>
      <c r="L85" s="710"/>
      <c r="M85" s="710"/>
      <c r="N85" s="710"/>
      <c r="O85" s="710"/>
      <c r="P85" s="710"/>
      <c r="Q85" s="710"/>
      <c r="R85" s="79"/>
      <c r="W85" s="201">
        <f>'CUSTO  TOTAL - QUADRIM.'!B79</f>
        <v>0</v>
      </c>
      <c r="X85" s="197" t="str">
        <f t="shared" si="20"/>
        <v/>
      </c>
      <c r="Y85" s="197" t="str">
        <f t="shared" si="21"/>
        <v/>
      </c>
      <c r="Z85" s="197" t="str">
        <f t="shared" si="22"/>
        <v/>
      </c>
      <c r="AA85" s="198" t="str">
        <f t="shared" si="23"/>
        <v/>
      </c>
      <c r="AB85" s="199" t="str">
        <f t="shared" si="19"/>
        <v/>
      </c>
      <c r="AO85" s="169"/>
    </row>
    <row r="86" spans="1:59" ht="18.2" customHeight="1" x14ac:dyDescent="0.25">
      <c r="A86" s="79"/>
      <c r="B86" s="711" t="str">
        <f xml:space="preserve"> CONCATENATE( "CUSTO  MÉDIO  DA  PRODUÇÃO  NO  PERÍODO:  ", S8, "  a  ", T8)</f>
        <v>CUSTO  MÉDIO  DA  PRODUÇÃO  NO  PERÍODO:  JAN/25  a  ABR/25</v>
      </c>
      <c r="C86" s="432"/>
      <c r="D86" s="432"/>
      <c r="E86" s="432"/>
      <c r="F86" s="432"/>
      <c r="G86" s="432"/>
      <c r="H86" s="432"/>
      <c r="I86" s="432"/>
      <c r="J86" s="432"/>
      <c r="K86" s="432"/>
      <c r="L86" s="712"/>
      <c r="M86" s="431" t="s">
        <v>198</v>
      </c>
      <c r="N86" s="432"/>
      <c r="O86" s="432"/>
      <c r="P86" s="432"/>
      <c r="Q86" s="364" t="s">
        <v>199</v>
      </c>
      <c r="R86" s="79"/>
      <c r="S86" s="222"/>
      <c r="W86" s="227"/>
      <c r="X86" s="525"/>
      <c r="Y86" s="525"/>
      <c r="Z86" s="526"/>
      <c r="AA86" s="526"/>
      <c r="AB86" s="228"/>
      <c r="AO86" s="352" t="s">
        <v>43</v>
      </c>
      <c r="AP86" s="353" t="s">
        <v>191</v>
      </c>
      <c r="AQ86" s="354" t="s">
        <v>192</v>
      </c>
      <c r="AR86" s="516" t="str">
        <f>CONCATENATE("COMPORTAMENTO DA PRODUÇÃO DE ",$B$10)</f>
        <v>COMPORTAMENTO DA PRODUÇÃO DE JAN/25  a  ABR/25</v>
      </c>
      <c r="AS86" s="517"/>
      <c r="AT86" s="517"/>
      <c r="AU86" s="518"/>
      <c r="AV86" s="519" t="str">
        <f>CONCATENATE("COMPORTAMENTO DO CUSTO MÉDIO DE ",$B$10)</f>
        <v>COMPORTAMENTO DO CUSTO MÉDIO DE JAN/25  a  ABR/25</v>
      </c>
      <c r="AW86" s="520"/>
      <c r="AX86" s="520"/>
      <c r="AY86" s="521"/>
    </row>
    <row r="87" spans="1:59" ht="27" customHeight="1" thickBot="1" x14ac:dyDescent="0.3">
      <c r="A87" s="79"/>
      <c r="B87" s="600" t="s">
        <v>181</v>
      </c>
      <c r="C87" s="601"/>
      <c r="D87" s="601"/>
      <c r="E87" s="601"/>
      <c r="F87" s="601"/>
      <c r="G87" s="602"/>
      <c r="H87" s="678" t="s">
        <v>20</v>
      </c>
      <c r="I87" s="530"/>
      <c r="J87" s="370" t="s">
        <v>93</v>
      </c>
      <c r="K87" s="678" t="s">
        <v>70</v>
      </c>
      <c r="L87" s="679"/>
      <c r="M87" s="529" t="s">
        <v>73</v>
      </c>
      <c r="N87" s="530"/>
      <c r="O87" s="529" t="s">
        <v>22</v>
      </c>
      <c r="P87" s="530"/>
      <c r="Q87" s="369">
        <v>0.3</v>
      </c>
      <c r="R87" s="79"/>
      <c r="S87" s="223"/>
      <c r="T87" s="224"/>
      <c r="W87" s="522" t="str">
        <f xml:space="preserve"> IF( 'PROD. 4º MÊS'!F1="-", "MÊS 4", 'PROD. 4º MÊS'!F1)</f>
        <v>ABR-25</v>
      </c>
      <c r="X87" s="527"/>
      <c r="Y87" s="528"/>
      <c r="Z87" s="230"/>
      <c r="AA87" s="231"/>
      <c r="AB87" s="231"/>
      <c r="AC87" s="522" t="str">
        <f xml:space="preserve"> IF( 'PROD. 3º MÊS'!F1="-", "MÊS 3", 'PROD. 3º MÊS'!F1)</f>
        <v>MAR-25</v>
      </c>
      <c r="AD87" s="523"/>
      <c r="AE87" s="524"/>
      <c r="AG87" s="522" t="str">
        <f xml:space="preserve"> IF( 'PROD. 2º MÊS'!F1="-", "MÊS 2", 'PROD. 2º MÊS'!F1)</f>
        <v>FEV-25</v>
      </c>
      <c r="AH87" s="523"/>
      <c r="AI87" s="524"/>
      <c r="AK87" s="522" t="str">
        <f xml:space="preserve"> IF( 'PROD. 1º MÊS'!F1="-", "MÊS 1", 'PROD. 1º MÊS'!F1)</f>
        <v>JAN-25</v>
      </c>
      <c r="AL87" s="523"/>
      <c r="AM87" s="524"/>
      <c r="AO87" s="557" t="s">
        <v>83</v>
      </c>
      <c r="AP87" s="514" t="s">
        <v>83</v>
      </c>
      <c r="AQ87" s="507" t="s">
        <v>83</v>
      </c>
      <c r="AR87" s="508" t="s">
        <v>30</v>
      </c>
      <c r="AS87" s="505"/>
      <c r="AT87" s="505"/>
      <c r="AU87" s="509"/>
      <c r="AV87" s="504" t="s">
        <v>31</v>
      </c>
      <c r="AW87" s="505"/>
      <c r="AX87" s="505"/>
      <c r="AY87" s="506"/>
      <c r="AZ87" s="502" t="s">
        <v>84</v>
      </c>
      <c r="BA87" s="500" t="s">
        <v>85</v>
      </c>
    </row>
    <row r="88" spans="1:59" ht="18.2" customHeight="1" x14ac:dyDescent="0.25">
      <c r="A88" s="79"/>
      <c r="B88" s="445" t="s">
        <v>271</v>
      </c>
      <c r="C88" s="446"/>
      <c r="D88" s="446"/>
      <c r="E88" s="446"/>
      <c r="F88" s="446"/>
      <c r="G88" s="447"/>
      <c r="H88" s="440" t="str">
        <f>IF( OR( $B$8="-", B88=""),"-",
IFERROR( VLOOKUP( B88 &amp; "*",'PROD. 4º MÊS'!$C$7:$F$124,2,0),
IFERROR( VLOOKUP( B88&amp; "*", 'PROD. 3º MÊS'!$C$7:$F$127,2,0),
IFERROR( VLOOKUP( B88&amp; "*",'PROD. 2º MÊS'!$C$7:$F$127,2,0),
IFERROR( VLOOKUP( B88&amp; "*",'PROD. 1º MÊS'!$C$7:$F$127,2,0), "-")))))</f>
        <v>Atendimento</v>
      </c>
      <c r="I88" s="441"/>
      <c r="J88" s="225">
        <f t="shared" ref="J88:J95" si="24">IF( OR( $B$8="-", B88=""),"-",
IFERROR( VLOOKUP( B88, $AQ$89:$BA$225, 10, 0), "-"))</f>
        <v>68.25</v>
      </c>
      <c r="K88" s="547">
        <f t="shared" ref="K88:K95" si="25">IF( OR( $B$8="-", B88=""),"-",
IFERROR( VLOOKUP( B88, $AQ$89:$BA$225, 11, 0), "-"))</f>
        <v>614.26499999999999</v>
      </c>
      <c r="L88" s="548"/>
      <c r="M88" s="559">
        <f xml:space="preserve"> IFERROR( IF( OR( B88="-", B88 =""), "-", VLOOKUP( B88, 'SES - CMU'!$B$3:$D$242, 3, 0)), "-")</f>
        <v>590.54999999999995</v>
      </c>
      <c r="N88" s="560"/>
      <c r="O88" s="434">
        <f t="shared" ref="O88:O95" si="26" xml:space="preserve"> IFERROR( IF( M88 ="", "-", K88 - M88), "-")</f>
        <v>23.715000000000032</v>
      </c>
      <c r="P88" s="435"/>
      <c r="Q88" s="312">
        <f t="shared" ref="Q88:Q95" si="27" xml:space="preserve"> IFERROR( IF( K88 ="", "-", (K88 - M88)/ M88), "-")</f>
        <v>4.0157480314960685E-2</v>
      </c>
      <c r="R88" s="79"/>
      <c r="S88" s="226"/>
      <c r="W88" s="232" t="s">
        <v>15</v>
      </c>
      <c r="X88" s="232" t="s">
        <v>16</v>
      </c>
      <c r="Y88" s="232" t="s">
        <v>17</v>
      </c>
      <c r="AA88" s="233"/>
      <c r="AB88" s="233"/>
      <c r="AC88" s="232" t="s">
        <v>19</v>
      </c>
      <c r="AD88" s="232" t="s">
        <v>16</v>
      </c>
      <c r="AE88" s="232" t="s">
        <v>17</v>
      </c>
      <c r="AF88" s="307"/>
      <c r="AG88" s="232" t="s">
        <v>19</v>
      </c>
      <c r="AH88" s="232" t="s">
        <v>16</v>
      </c>
      <c r="AI88" s="232" t="s">
        <v>17</v>
      </c>
      <c r="AK88" s="232" t="s">
        <v>19</v>
      </c>
      <c r="AL88" s="232" t="s">
        <v>16</v>
      </c>
      <c r="AM88" s="232" t="s">
        <v>17</v>
      </c>
      <c r="AO88" s="558"/>
      <c r="AP88" s="515"/>
      <c r="AQ88" s="507"/>
      <c r="AR88" s="234" t="str">
        <f>IF($B$8="-","-", AK87)</f>
        <v>JAN-25</v>
      </c>
      <c r="AS88" s="235" t="str">
        <f>IF($B$8="-","-", AG87)</f>
        <v>FEV-25</v>
      </c>
      <c r="AT88" s="235" t="str">
        <f>IF($B$8="-","-", AC87)</f>
        <v>MAR-25</v>
      </c>
      <c r="AU88" s="236" t="str">
        <f>IF($B$8="-","-", W87)</f>
        <v>ABR-25</v>
      </c>
      <c r="AV88" s="237" t="str">
        <f>IF($B$8="-","-", AK87)</f>
        <v>JAN-25</v>
      </c>
      <c r="AW88" s="235" t="str">
        <f>IF($B$8="-","-", AG87)</f>
        <v>FEV-25</v>
      </c>
      <c r="AX88" s="235" t="str">
        <f>IF($B$8="-","-", AC87)</f>
        <v>MAR-25</v>
      </c>
      <c r="AY88" s="238" t="str">
        <f>IF($B$8="-","-", W87)</f>
        <v>ABR-25</v>
      </c>
      <c r="AZ88" s="503"/>
      <c r="BA88" s="501"/>
    </row>
    <row r="89" spans="1:59" ht="18.2" customHeight="1" x14ac:dyDescent="0.25">
      <c r="A89" s="79"/>
      <c r="B89" s="442" t="s">
        <v>277</v>
      </c>
      <c r="C89" s="443"/>
      <c r="D89" s="443"/>
      <c r="E89" s="443"/>
      <c r="F89" s="443"/>
      <c r="G89" s="444"/>
      <c r="H89" s="486" t="str">
        <f>IF( OR( $B$8="-", B89=""),"-",
IFERROR( VLOOKUP( B89 &amp; "*",'PROD. 4º MÊS'!$C$7:$F$124,2,0),
IFERROR( VLOOKUP( B89&amp; "*", 'PROD. 3º MÊS'!$C$7:$F$127,2,0),
IFERROR( VLOOKUP( B89&amp; "*",'PROD. 2º MÊS'!$C$7:$F$127,2,0),
IFERROR( VLOOKUP( B89&amp; "*",'PROD. 1º MÊS'!$C$7:$F$127,2,0), "-")))))</f>
        <v>Atendimento</v>
      </c>
      <c r="I89" s="487"/>
      <c r="J89" s="229">
        <f t="shared" si="24"/>
        <v>262.75</v>
      </c>
      <c r="K89" s="488">
        <f t="shared" si="25"/>
        <v>490.86250000000001</v>
      </c>
      <c r="L89" s="489"/>
      <c r="M89" s="539">
        <f xml:space="preserve"> IFERROR( IF( OR( B89="-", B89 =""), "-", VLOOKUP( B89, 'SES - CMU'!$B$3:$D$242, 3, 0)), "-")</f>
        <v>605.83999999999992</v>
      </c>
      <c r="N89" s="540"/>
      <c r="O89" s="549">
        <f t="shared" si="26"/>
        <v>-114.97749999999991</v>
      </c>
      <c r="P89" s="550"/>
      <c r="Q89" s="313">
        <f t="shared" si="27"/>
        <v>-0.18978195563184985</v>
      </c>
      <c r="R89" s="377"/>
      <c r="S89" s="226"/>
      <c r="W89" s="240" t="str">
        <f>IF(OR(
'PROD. 4º MÊS'!C7="Administrativo",
'PROD. 4º MÊS'!C7="Intermediário",
'PROD. 4º MÊS'!C7="Externo",
'PROD. 4º MÊS'!C7="Final"),"-",
'PROD. 4º MÊS'!C7)</f>
        <v>-</v>
      </c>
      <c r="X89" s="241" t="str">
        <f t="shared" ref="X89:X120" si="28" xml:space="preserve"> IFERROR( IF( W89="", "-", VLOOKUP( W89,_1_PROD_ATUAL, 3, 0)),"-")</f>
        <v>-</v>
      </c>
      <c r="Y89" s="242" t="str">
        <f t="shared" ref="Y89:Y120" si="29" xml:space="preserve"> IFERROR( IF( W89="","-", VLOOKUP( W89,_1_PROD_ATUAL, 4, 0)),"-")</f>
        <v>-</v>
      </c>
      <c r="AA89" s="228"/>
      <c r="AB89" s="228"/>
      <c r="AC89" s="240" t="str">
        <f>IF(OR(
'PROD. 3º MÊS'!C7="Administrativo",
'PROD. 3º MÊS'!C7="Intermediário",
'PROD. 3º MÊS'!C7="Externo",
'PROD. 3º MÊS'!C7="Final"),"-",
'PROD. 3º MÊS'!C7)</f>
        <v>-</v>
      </c>
      <c r="AD89" s="241" t="str">
        <f t="shared" ref="AD89:AD120" si="30" xml:space="preserve"> IFERROR( IF( AC89="", "-", VLOOKUP( AC89, _2_PROD_ANTER_, 3, 0)),"-")</f>
        <v>-</v>
      </c>
      <c r="AE89" s="242" t="str">
        <f t="shared" ref="AE89:AE120" si="31" xml:space="preserve"> IFERROR( IF( AC89="","-", VLOOKUP( AC89, _2_PROD_ANTER_, 4, 0)),"-")</f>
        <v>-</v>
      </c>
      <c r="AF89" s="307"/>
      <c r="AG89" s="240" t="str">
        <f>IF(OR(
'PROD. 2º MÊS'!C7="Administrativo",
'PROD. 2º MÊS'!C7="Intermediário",
'PROD. 2º MÊS'!C7="Externo",
'PROD. 2º MÊS'!C7="Final"),"-",
'PROD. 2º MÊS'!C7)</f>
        <v>-</v>
      </c>
      <c r="AH89" s="241" t="str">
        <f t="shared" ref="AH89:AH120" si="32" xml:space="preserve"> IFERROR( IF( AG89="","-", VLOOKUP( AG89, _3_PROD_2m_, 3, 0)),"-")</f>
        <v>-</v>
      </c>
      <c r="AI89" s="242" t="str">
        <f t="shared" ref="AI89:AI120" si="33" xml:space="preserve"> IFERROR( IF( AG89="","-", VLOOKUP( AG89, _3_PROD_2m_, 4, 0)), "-")</f>
        <v>-</v>
      </c>
      <c r="AK89" s="240" t="str">
        <f>IF(OR(
'PROD. 1º MÊS'!C7="Administrativo",
'PROD. 1º MÊS'!C7="Intermediário",
'PROD. 1º MÊS'!C7="Externo",
'PROD. 1º MÊS'!C7="Final"),"-",
'PROD. 1º MÊS'!C7)</f>
        <v>-</v>
      </c>
      <c r="AL89" s="241" t="str">
        <f t="shared" ref="AL89:AL120" si="34" xml:space="preserve"> IFERROR( IF( AK89="","-", VLOOKUP( AK89, _4_PROD_3m_, 3, 0)), "-")</f>
        <v>-</v>
      </c>
      <c r="AM89" s="242" t="str">
        <f t="shared" ref="AM89:AM120" si="35" xml:space="preserve"> IFERROR( IF( AK89="","-", VLOOKUP( AK89, _4_PROD_3m_, 4, 0)), "-")</f>
        <v>-</v>
      </c>
      <c r="AO89" s="345"/>
      <c r="AP89" s="346">
        <f t="array" ref="AP89">IFERROR( INDEX( $AO$89:$AO$287, MATCH( 0, COUNTIF( $AP$87:AP88, $AO$89:$AO$287), 0)), "")</f>
        <v>0</v>
      </c>
      <c r="AQ89" s="355" t="str">
        <f t="shared" ref="AQ89:AQ120" si="36" xml:space="preserve"> IFERROR( IF( AP89="","-", MID( AP89, 1, SEARCH( " - ", AP89) -1)), "-")</f>
        <v>-</v>
      </c>
      <c r="AR89" s="234"/>
      <c r="AS89" s="235"/>
      <c r="AT89" s="235"/>
      <c r="AU89" s="236"/>
      <c r="AV89" s="243"/>
      <c r="AW89" s="244"/>
      <c r="AX89" s="244"/>
      <c r="AY89" s="245"/>
      <c r="AZ89" s="246" t="str">
        <f t="shared" ref="AZ89:AZ120" si="37" xml:space="preserve"> IFERROR( IF( AQ89="-", "-", AVERAGE( AR89:AU89)), "-")</f>
        <v>-</v>
      </c>
      <c r="BA89" s="22" t="str">
        <f t="shared" ref="BA89:BA120" si="38" xml:space="preserve"> IFERROR( IF( AQ89="-", "-", AVERAGE( AV89:AY89)), "-")</f>
        <v>-</v>
      </c>
    </row>
    <row r="90" spans="1:59" ht="18.2" customHeight="1" x14ac:dyDescent="0.25">
      <c r="A90" s="79"/>
      <c r="B90" s="445" t="s">
        <v>278</v>
      </c>
      <c r="C90" s="446"/>
      <c r="D90" s="446"/>
      <c r="E90" s="446"/>
      <c r="F90" s="446"/>
      <c r="G90" s="447"/>
      <c r="H90" s="440" t="str">
        <f>IF( OR( $B$8="-", B90=""),"-",
IFERROR( VLOOKUP( B90 &amp; "*",'PROD. 4º MÊS'!$C$7:$F$124,2,0),
IFERROR( VLOOKUP( B90&amp; "*", 'PROD. 3º MÊS'!$C$7:$F$127,2,0),
IFERROR( VLOOKUP( B90&amp; "*",'PROD. 2º MÊS'!$C$7:$F$127,2,0),
IFERROR( VLOOKUP( B90&amp; "*",'PROD. 1º MÊS'!$C$7:$F$127,2,0), "-")))))</f>
        <v>Atendimento</v>
      </c>
      <c r="I90" s="441"/>
      <c r="J90" s="225">
        <f t="shared" si="24"/>
        <v>91</v>
      </c>
      <c r="K90" s="535">
        <f t="shared" si="25"/>
        <v>379.58</v>
      </c>
      <c r="L90" s="536"/>
      <c r="M90" s="537">
        <f xml:space="preserve"> IFERROR( IF( OR( B90="-", B90 =""), "-", VLOOKUP( B90, 'SES - CMU'!$B$3:$D$242, 3, 0)), "-")</f>
        <v>391.27499999999998</v>
      </c>
      <c r="N90" s="538"/>
      <c r="O90" s="434">
        <f t="shared" si="26"/>
        <v>-11.694999999999993</v>
      </c>
      <c r="P90" s="435"/>
      <c r="Q90" s="314">
        <f t="shared" si="27"/>
        <v>-2.9889463932017107E-2</v>
      </c>
      <c r="R90" s="377"/>
      <c r="S90" s="226"/>
      <c r="W90" s="240" t="str">
        <f>IF(OR(
'PROD. 4º MÊS'!C8="Administrativo",
'PROD. 4º MÊS'!C8="Intermediário",
'PROD. 4º MÊS'!C8="Externo",
'PROD. 4º MÊS'!C8="Final"),"-",
'PROD. 4º MÊS'!C8)</f>
        <v>Diversos - Diversos</v>
      </c>
      <c r="X90" s="241">
        <f t="shared" si="28"/>
        <v>1</v>
      </c>
      <c r="Y90" s="242">
        <f t="shared" si="29"/>
        <v>18242.509999999998</v>
      </c>
      <c r="AA90" s="247"/>
      <c r="AB90" s="247"/>
      <c r="AC90" s="240" t="str">
        <f>IF(OR(
'PROD. 3º MÊS'!C8="Administrativo",
'PROD. 3º MÊS'!C8="Intermediário",
'PROD. 3º MÊS'!C8="Externo",
'PROD. 3º MÊS'!C8="Final"),"-",
'PROD. 3º MÊS'!C8)</f>
        <v>Diversos - Diversos</v>
      </c>
      <c r="AD90" s="241">
        <f t="shared" si="30"/>
        <v>1</v>
      </c>
      <c r="AE90" s="242">
        <f t="shared" si="31"/>
        <v>157358.39999999999</v>
      </c>
      <c r="AF90" s="307"/>
      <c r="AG90" s="240" t="str">
        <f>IF(OR(
'PROD. 2º MÊS'!C8="Administrativo",
'PROD. 2º MÊS'!C8="Intermediário",
'PROD. 2º MÊS'!C8="Externo",
'PROD. 2º MÊS'!C8="Final"),"-",
'PROD. 2º MÊS'!C8)</f>
        <v>Diversos - Diversos</v>
      </c>
      <c r="AH90" s="241">
        <f t="shared" si="32"/>
        <v>1</v>
      </c>
      <c r="AI90" s="242">
        <f t="shared" si="33"/>
        <v>69383.240000000005</v>
      </c>
      <c r="AK90" s="240" t="str">
        <f>IF(OR(
'PROD. 1º MÊS'!C8="Administrativo",
'PROD. 1º MÊS'!C8="Intermediário",
'PROD. 1º MÊS'!C8="Externo",
'PROD. 1º MÊS'!C8="Final"),"-",
'PROD. 1º MÊS'!C8)</f>
        <v>Diversos - Diversos</v>
      </c>
      <c r="AL90" s="241">
        <f t="shared" si="34"/>
        <v>1</v>
      </c>
      <c r="AM90" s="242">
        <f t="shared" si="35"/>
        <v>81852.63</v>
      </c>
      <c r="AO90" s="342" t="str">
        <f xml:space="preserve"> W90</f>
        <v>Diversos - Diversos</v>
      </c>
      <c r="AP90" s="341" t="str">
        <f t="array" ref="AP90">IFERROR( INDEX( $AO$89:$AO$553, MATCH( 0, COUNTIF( $AP$87:AP89, $AO$89:$AO$553), 0)), "-")</f>
        <v>Diversos - Diversos</v>
      </c>
      <c r="AQ90" s="248" t="str">
        <f t="shared" si="36"/>
        <v>Diversos</v>
      </c>
      <c r="AR90" s="249">
        <f t="shared" ref="AR90:AR121" si="39">IFERROR( IF( $B$8="-", "-", IF(AP90="", "-", VLOOKUP(AP90, $AK$89:$AM$204, 2, 0))), "-")</f>
        <v>1</v>
      </c>
      <c r="AS90" s="250">
        <f t="shared" ref="AS90:AS121" si="40">IFERROR( IF( $B$8="-", "-", IF(AP90="", "-", VLOOKUP(AP90, $AG$89:$AI$204, 2, 0))), "-")</f>
        <v>1</v>
      </c>
      <c r="AT90" s="250">
        <f t="shared" ref="AT90:AT121" si="41">IFERROR( IF( $B$8="-", "-", IF(AP90="", "-", VLOOKUP(AP90, $AC$89:$AE$204, 2, 0))), "-")</f>
        <v>1</v>
      </c>
      <c r="AU90" s="251">
        <f t="shared" ref="AU90:AU121" si="42">IFERROR( IF( $B$8="-", "-", IF(AP90="", "-", VLOOKUP(AP90, $W$89:$Y$204, 2, 0))), "-")</f>
        <v>1</v>
      </c>
      <c r="AV90" s="252">
        <f t="shared" ref="AV90:AV121" si="43">IFERROR(IF( $B$8="-", "-", IF(AP90="", "-", VLOOKUP(AP90, $AK$89:$AM$204, 3, 0))), "-")</f>
        <v>81852.63</v>
      </c>
      <c r="AW90" s="253">
        <f t="shared" ref="AW90:AW121" si="44">IFERROR(IF( $B$8="-", "-", IF(AP90="", "-", VLOOKUP(AP90, $AG$89:$AI$204, 3, 0))), "-")</f>
        <v>69383.240000000005</v>
      </c>
      <c r="AX90" s="253">
        <f t="shared" ref="AX90:AX121" si="45">IFERROR(IF( $B$8="-", "-", IF(AP90="", "-", VLOOKUP(AP90, $AC$89:$AE$204, 3, 0))), "-")</f>
        <v>157358.39999999999</v>
      </c>
      <c r="AY90" s="254">
        <f t="shared" ref="AY90:AY121" si="46">IFERROR( IF( $B$8="-", "-", IF(AP90="", "-", VLOOKUP(AP90, $W$89:$Y$204, 3, 0))), "-")</f>
        <v>18242.509999999998</v>
      </c>
      <c r="AZ90" s="255">
        <f t="shared" si="37"/>
        <v>1</v>
      </c>
      <c r="BA90" s="95">
        <f t="shared" si="38"/>
        <v>81709.195000000007</v>
      </c>
      <c r="BB90" s="239"/>
      <c r="BC90" s="239"/>
      <c r="BD90" s="239"/>
      <c r="BE90" s="239"/>
      <c r="BF90" s="239"/>
      <c r="BG90" s="239"/>
    </row>
    <row r="91" spans="1:59" ht="18.2" customHeight="1" thickBot="1" x14ac:dyDescent="0.3">
      <c r="A91" s="79"/>
      <c r="B91" s="451" t="s">
        <v>276</v>
      </c>
      <c r="C91" s="452"/>
      <c r="D91" s="452"/>
      <c r="E91" s="452"/>
      <c r="F91" s="452"/>
      <c r="G91" s="453"/>
      <c r="H91" s="436" t="str">
        <f>IF( OR( $B$8="-", B91=""),"-",
IFERROR( VLOOKUP( B91 &amp; "*",'PROD. 4º MÊS'!$C$7:$F$124,2,0),
IFERROR( VLOOKUP( B91&amp; "*", 'PROD. 3º MÊS'!$C$7:$F$127,2,0),
IFERROR( VLOOKUP( B91&amp; "*",'PROD. 2º MÊS'!$C$7:$F$127,2,0),
IFERROR( VLOOKUP( B91&amp; "*",'PROD. 1º MÊS'!$C$7:$F$127,2,0), "-")))))</f>
        <v>Atendimento</v>
      </c>
      <c r="I91" s="437"/>
      <c r="J91" s="308">
        <f t="shared" si="24"/>
        <v>32.25</v>
      </c>
      <c r="K91" s="438">
        <f t="shared" si="25"/>
        <v>695.14249999999993</v>
      </c>
      <c r="L91" s="439"/>
      <c r="M91" s="682">
        <f xml:space="preserve"> IFERROR( IF( OR( B91="-", B91 =""), "-", VLOOKUP( B91, 'SES - CMU'!$B$3:$D$242, 3, 0)), "-")</f>
        <v>752.37</v>
      </c>
      <c r="N91" s="683"/>
      <c r="O91" s="684">
        <f t="shared" si="26"/>
        <v>-57.227500000000077</v>
      </c>
      <c r="P91" s="685"/>
      <c r="Q91" s="315">
        <f t="shared" si="27"/>
        <v>-7.6062974334436623E-2</v>
      </c>
      <c r="R91" s="79"/>
      <c r="S91" s="226"/>
      <c r="W91" s="240" t="str">
        <f>IF(OR(
'PROD. 4º MÊS'!C9="Administrativo",
'PROD. 4º MÊS'!C9="Intermediário",
'PROD. 4º MÊS'!C9="Externo",
'PROD. 4º MÊS'!C9="Final"),"-",
'PROD. 4º MÊS'!C9)</f>
        <v>-</v>
      </c>
      <c r="X91" s="241" t="str">
        <f t="shared" si="28"/>
        <v>-</v>
      </c>
      <c r="Y91" s="242" t="str">
        <f t="shared" si="29"/>
        <v>-</v>
      </c>
      <c r="AA91" s="247"/>
      <c r="AB91" s="247"/>
      <c r="AC91" s="240" t="str">
        <f>IF(OR(
'PROD. 3º MÊS'!C9="Administrativo",
'PROD. 3º MÊS'!C9="Intermediário",
'PROD. 3º MÊS'!C9="Externo",
'PROD. 3º MÊS'!C9="Final"),"-",
'PROD. 3º MÊS'!C9)</f>
        <v>-</v>
      </c>
      <c r="AD91" s="241" t="str">
        <f t="shared" si="30"/>
        <v>-</v>
      </c>
      <c r="AE91" s="242" t="str">
        <f t="shared" si="31"/>
        <v>-</v>
      </c>
      <c r="AF91" s="307"/>
      <c r="AG91" s="240" t="str">
        <f>IF(OR(
'PROD. 2º MÊS'!C9="Administrativo",
'PROD. 2º MÊS'!C9="Intermediário",
'PROD. 2º MÊS'!C9="Externo",
'PROD. 2º MÊS'!C9="Final"),"-",
'PROD. 2º MÊS'!C9)</f>
        <v>-</v>
      </c>
      <c r="AH91" s="241" t="str">
        <f t="shared" si="32"/>
        <v>-</v>
      </c>
      <c r="AI91" s="242" t="str">
        <f t="shared" si="33"/>
        <v>-</v>
      </c>
      <c r="AK91" s="240" t="str">
        <f>IF(OR(
'PROD. 1º MÊS'!C9="Administrativo",
'PROD. 1º MÊS'!C9="Intermediário",
'PROD. 1º MÊS'!C9="Externo",
'PROD. 1º MÊS'!C9="Final"),"-",
'PROD. 1º MÊS'!C9)</f>
        <v>-</v>
      </c>
      <c r="AL91" s="241" t="str">
        <f t="shared" si="34"/>
        <v>-</v>
      </c>
      <c r="AM91" s="242" t="str">
        <f t="shared" si="35"/>
        <v>-</v>
      </c>
      <c r="AO91" s="342" t="str">
        <f t="shared" ref="AO91:AO154" si="47" xml:space="preserve"> W91</f>
        <v>-</v>
      </c>
      <c r="AP91" s="341" t="str">
        <f t="array" ref="AP91">IFERROR( INDEX( $AO$89:$AO$553, MATCH( 0, COUNTIF( $AP$87:AP90, $AO$89:$AO$553), 0)), "-")</f>
        <v>-</v>
      </c>
      <c r="AQ91" s="257" t="str">
        <f t="shared" si="36"/>
        <v>-</v>
      </c>
      <c r="AR91" s="258" t="str">
        <f t="shared" si="39"/>
        <v>-</v>
      </c>
      <c r="AS91" s="259" t="str">
        <f t="shared" si="40"/>
        <v>-</v>
      </c>
      <c r="AT91" s="259" t="str">
        <f t="shared" si="41"/>
        <v>-</v>
      </c>
      <c r="AU91" s="260" t="str">
        <f t="shared" si="42"/>
        <v>-</v>
      </c>
      <c r="AV91" s="261" t="str">
        <f t="shared" si="43"/>
        <v>-</v>
      </c>
      <c r="AW91" s="262" t="str">
        <f t="shared" si="44"/>
        <v>-</v>
      </c>
      <c r="AX91" s="262" t="str">
        <f t="shared" si="45"/>
        <v>-</v>
      </c>
      <c r="AY91" s="263" t="str">
        <f t="shared" si="46"/>
        <v>-</v>
      </c>
      <c r="AZ91" s="264" t="str">
        <f t="shared" si="37"/>
        <v>-</v>
      </c>
      <c r="BA91" s="96" t="str">
        <f t="shared" si="38"/>
        <v>-</v>
      </c>
    </row>
    <row r="92" spans="1:59" ht="18.2" customHeight="1" x14ac:dyDescent="0.25">
      <c r="A92" s="79"/>
      <c r="B92" s="448" t="s">
        <v>259</v>
      </c>
      <c r="C92" s="449"/>
      <c r="D92" s="449"/>
      <c r="E92" s="449"/>
      <c r="F92" s="449"/>
      <c r="G92" s="450"/>
      <c r="H92" s="543" t="str">
        <f>IF( OR( $B$8="-", B92=""),"-",
IFERROR( VLOOKUP( B92 &amp; "*",'PROD. 4º MÊS'!$C$7:$F$124,2,0),
IFERROR( VLOOKUP( B92&amp; "*", 'PROD. 3º MÊS'!$C$7:$F$127,2,0),
IFERROR( VLOOKUP( B92&amp; "*",'PROD. 2º MÊS'!$C$7:$F$127,2,0),
IFERROR( VLOOKUP( B92&amp; "*",'PROD. 1º MÊS'!$C$7:$F$127,2,0), "-")))))</f>
        <v>Atendimento</v>
      </c>
      <c r="I92" s="544"/>
      <c r="J92" s="225">
        <f t="shared" si="24"/>
        <v>718</v>
      </c>
      <c r="K92" s="454">
        <f t="shared" si="25"/>
        <v>211.11249999999998</v>
      </c>
      <c r="L92" s="455"/>
      <c r="M92" s="456">
        <f xml:space="preserve"> IFERROR( IF( OR( B92="-", B92 =""), "-", VLOOKUP( B92, 'SES - CMU'!$B$3:$D$242, 3, 0)), "-")</f>
        <v>309.86500000000001</v>
      </c>
      <c r="N92" s="457"/>
      <c r="O92" s="434">
        <f t="shared" si="26"/>
        <v>-98.752500000000026</v>
      </c>
      <c r="P92" s="435"/>
      <c r="Q92" s="312">
        <f t="shared" si="27"/>
        <v>-0.31869523824891494</v>
      </c>
      <c r="R92" s="79"/>
      <c r="S92" s="226"/>
      <c r="W92" s="240" t="str">
        <f>IF(OR(
'PROD. 4º MÊS'!C10="Administrativo",
'PROD. 4º MÊS'!C10="Intermediário",
'PROD. 4º MÊS'!C10="Externo",
'PROD. 4º MÊS'!C10="Final"),"-",
'PROD. 4º MÊS'!C10)</f>
        <v>Ambulatório de Acupuntura - Ambulatório de Acupuntura</v>
      </c>
      <c r="X92" s="241">
        <f t="shared" si="28"/>
        <v>327</v>
      </c>
      <c r="Y92" s="242">
        <f t="shared" si="29"/>
        <v>67.56</v>
      </c>
      <c r="AA92" s="247"/>
      <c r="AB92" s="247"/>
      <c r="AC92" s="240" t="str">
        <f>IF(OR(
'PROD. 3º MÊS'!C10="Administrativo",
'PROD. 3º MÊS'!C10="Intermediário",
'PROD. 3º MÊS'!C10="Externo",
'PROD. 3º MÊS'!C10="Final"),"-",
'PROD. 3º MÊS'!C10)</f>
        <v>Ambulatório de Acupuntura - Ambulatório de Acupuntura</v>
      </c>
      <c r="AD92" s="241">
        <f t="shared" si="30"/>
        <v>124</v>
      </c>
      <c r="AE92" s="242">
        <f t="shared" si="31"/>
        <v>180.62</v>
      </c>
      <c r="AF92" s="307"/>
      <c r="AG92" s="240" t="str">
        <f>IF(OR(
'PROD. 2º MÊS'!C10="Administrativo",
'PROD. 2º MÊS'!C10="Intermediário",
'PROD. 2º MÊS'!C10="Externo",
'PROD. 2º MÊS'!C10="Final"),"-",
'PROD. 2º MÊS'!C10)</f>
        <v>Ambulatório de Acupuntura - Ambulatório de Acupuntura</v>
      </c>
      <c r="AH92" s="241">
        <f t="shared" si="32"/>
        <v>204</v>
      </c>
      <c r="AI92" s="242">
        <f t="shared" si="33"/>
        <v>110.32</v>
      </c>
      <c r="AK92" s="240" t="str">
        <f>IF(OR(
'PROD. 1º MÊS'!C10="Administrativo",
'PROD. 1º MÊS'!C10="Intermediário",
'PROD. 1º MÊS'!C10="Externo",
'PROD. 1º MÊS'!C10="Final"),"-",
'PROD. 1º MÊS'!C10)</f>
        <v>Ambulatório de Acupuntura - Ambulatório de Acupuntura</v>
      </c>
      <c r="AL92" s="241">
        <f t="shared" si="34"/>
        <v>91</v>
      </c>
      <c r="AM92" s="242">
        <f t="shared" si="35"/>
        <v>240.4</v>
      </c>
      <c r="AO92" s="342" t="str">
        <f t="shared" si="47"/>
        <v>Ambulatório de Acupuntura - Ambulatório de Acupuntura</v>
      </c>
      <c r="AP92" s="341" t="str">
        <f t="array" ref="AP92">IFERROR( INDEX( $AO$89:$AO$553, MATCH( 0, COUNTIF( $AP$87:AP91, $AO$89:$AO$553), 0)), "-")</f>
        <v>Ambulatório de Acupuntura - Ambulatório de Acupuntura</v>
      </c>
      <c r="AQ92" s="248" t="str">
        <f t="shared" si="36"/>
        <v>Ambulatório de Acupuntura</v>
      </c>
      <c r="AR92" s="249">
        <f t="shared" si="39"/>
        <v>91</v>
      </c>
      <c r="AS92" s="250">
        <f t="shared" si="40"/>
        <v>204</v>
      </c>
      <c r="AT92" s="250">
        <f t="shared" si="41"/>
        <v>124</v>
      </c>
      <c r="AU92" s="251">
        <f t="shared" si="42"/>
        <v>327</v>
      </c>
      <c r="AV92" s="252">
        <f t="shared" si="43"/>
        <v>240.4</v>
      </c>
      <c r="AW92" s="253">
        <f t="shared" si="44"/>
        <v>110.32</v>
      </c>
      <c r="AX92" s="253">
        <f t="shared" si="45"/>
        <v>180.62</v>
      </c>
      <c r="AY92" s="254">
        <f t="shared" si="46"/>
        <v>67.56</v>
      </c>
      <c r="AZ92" s="255">
        <f t="shared" si="37"/>
        <v>186.5</v>
      </c>
      <c r="BA92" s="95">
        <f t="shared" si="38"/>
        <v>149.72500000000002</v>
      </c>
    </row>
    <row r="93" spans="1:59" ht="18.2" customHeight="1" x14ac:dyDescent="0.25">
      <c r="A93" s="79"/>
      <c r="B93" s="442" t="s">
        <v>272</v>
      </c>
      <c r="C93" s="443"/>
      <c r="D93" s="443"/>
      <c r="E93" s="443"/>
      <c r="F93" s="443"/>
      <c r="G93" s="444"/>
      <c r="H93" s="486" t="str">
        <f>IF( OR( $B$8="-", B93=""),"-",
IFERROR( VLOOKUP( B93 &amp; "*",'PROD. 4º MÊS'!$C$7:$F$124,2,0),
IFERROR( VLOOKUP( B93&amp; "*", 'PROD. 3º MÊS'!$C$7:$F$127,2,0),
IFERROR( VLOOKUP( B93&amp; "*",'PROD. 2º MÊS'!$C$7:$F$127,2,0),
IFERROR( VLOOKUP( B93&amp; "*",'PROD. 1º MÊS'!$C$7:$F$127,2,0), "-")))))</f>
        <v>Atendimento</v>
      </c>
      <c r="I93" s="487"/>
      <c r="J93" s="256">
        <f t="shared" si="24"/>
        <v>407.5</v>
      </c>
      <c r="K93" s="488">
        <f t="shared" si="25"/>
        <v>210.315</v>
      </c>
      <c r="L93" s="489"/>
      <c r="M93" s="539">
        <f xml:space="preserve"> IFERROR( IF( OR( B93="-", B93 =""), "-", VLOOKUP( B93, 'SES - CMU'!$B$3:$D$242, 3, 0)), "-")</f>
        <v>207.685</v>
      </c>
      <c r="N93" s="540"/>
      <c r="O93" s="541">
        <f t="shared" si="26"/>
        <v>2.6299999999999955</v>
      </c>
      <c r="P93" s="542"/>
      <c r="Q93" s="313">
        <f t="shared" si="27"/>
        <v>1.2663408527337052E-2</v>
      </c>
      <c r="R93" s="79"/>
      <c r="S93" s="226"/>
      <c r="W93" s="240" t="str">
        <f>IF(OR(
'PROD. 4º MÊS'!C11="Administrativo",
'PROD. 4º MÊS'!C11="Intermediário",
'PROD. 4º MÊS'!C11="Externo",
'PROD. 4º MÊS'!C11="Final"),"-",
'PROD. 4º MÊS'!C11)</f>
        <v>Ambulatório de Alergia e Imunologia - Ambulatório de Alergia e Imunologia</v>
      </c>
      <c r="X93" s="241">
        <f t="shared" si="28"/>
        <v>829</v>
      </c>
      <c r="Y93" s="242">
        <f t="shared" si="29"/>
        <v>189.65</v>
      </c>
      <c r="AA93" s="247"/>
      <c r="AB93" s="247"/>
      <c r="AC93" s="240" t="str">
        <f>IF(OR(
'PROD. 3º MÊS'!C11="Administrativo",
'PROD. 3º MÊS'!C11="Intermediário",
'PROD. 3º MÊS'!C11="Externo",
'PROD. 3º MÊS'!C11="Final"),"-",
'PROD. 3º MÊS'!C11)</f>
        <v>Ambulatório de Alergia e Imunologia - Ambulatório de Alergia e Imunologia</v>
      </c>
      <c r="AD93" s="241">
        <f t="shared" si="30"/>
        <v>747</v>
      </c>
      <c r="AE93" s="242">
        <f t="shared" si="31"/>
        <v>262.16000000000003</v>
      </c>
      <c r="AF93" s="307"/>
      <c r="AG93" s="240" t="str">
        <f>IF(OR(
'PROD. 2º MÊS'!C11="Administrativo",
'PROD. 2º MÊS'!C11="Intermediário",
'PROD. 2º MÊS'!C11="Externo",
'PROD. 2º MÊS'!C11="Final"),"-",
'PROD. 2º MÊS'!C11)</f>
        <v>Ambulatório de Alergia e Imunologia - Ambulatório de Alergia e Imunologia</v>
      </c>
      <c r="AH93" s="241">
        <f t="shared" si="32"/>
        <v>566</v>
      </c>
      <c r="AI93" s="242">
        <f t="shared" si="33"/>
        <v>217.18</v>
      </c>
      <c r="AK93" s="240" t="str">
        <f>IF(OR(
'PROD. 1º MÊS'!C11="Administrativo",
'PROD. 1º MÊS'!C11="Intermediário",
'PROD. 1º MÊS'!C11="Externo",
'PROD. 1º MÊS'!C11="Final"),"-",
'PROD. 1º MÊS'!C11)</f>
        <v>Ambulatório de Alergia e Imunologia - Ambulatório de Alergia e Imunologia</v>
      </c>
      <c r="AL93" s="241">
        <f t="shared" si="34"/>
        <v>730</v>
      </c>
      <c r="AM93" s="242">
        <f t="shared" si="35"/>
        <v>175.46</v>
      </c>
      <c r="AO93" s="342" t="str">
        <f t="shared" si="47"/>
        <v>Ambulatório de Alergia e Imunologia - Ambulatório de Alergia e Imunologia</v>
      </c>
      <c r="AP93" s="341" t="str">
        <f t="array" ref="AP93">IFERROR( INDEX( $AO$89:$AO$553, MATCH( 0, COUNTIF( $AP$87:AP92, $AO$89:$AO$553), 0)), "-")</f>
        <v>Ambulatório de Alergia e Imunologia - Ambulatório de Alergia e Imunologia</v>
      </c>
      <c r="AQ93" s="257" t="str">
        <f t="shared" si="36"/>
        <v>Ambulatório de Alergia e Imunologia</v>
      </c>
      <c r="AR93" s="258">
        <f t="shared" si="39"/>
        <v>730</v>
      </c>
      <c r="AS93" s="259">
        <f t="shared" si="40"/>
        <v>566</v>
      </c>
      <c r="AT93" s="259">
        <f t="shared" si="41"/>
        <v>747</v>
      </c>
      <c r="AU93" s="260">
        <f t="shared" si="42"/>
        <v>829</v>
      </c>
      <c r="AV93" s="261">
        <f t="shared" si="43"/>
        <v>175.46</v>
      </c>
      <c r="AW93" s="262">
        <f t="shared" si="44"/>
        <v>217.18</v>
      </c>
      <c r="AX93" s="262">
        <f t="shared" si="45"/>
        <v>262.16000000000003</v>
      </c>
      <c r="AY93" s="263">
        <f t="shared" si="46"/>
        <v>189.65</v>
      </c>
      <c r="AZ93" s="264">
        <f t="shared" si="37"/>
        <v>718</v>
      </c>
      <c r="BA93" s="96">
        <f t="shared" si="38"/>
        <v>211.11249999999998</v>
      </c>
    </row>
    <row r="94" spans="1:59" ht="18.2" customHeight="1" x14ac:dyDescent="0.25">
      <c r="A94" s="79"/>
      <c r="B94" s="445" t="s">
        <v>274</v>
      </c>
      <c r="C94" s="446"/>
      <c r="D94" s="446"/>
      <c r="E94" s="446"/>
      <c r="F94" s="446"/>
      <c r="G94" s="447"/>
      <c r="H94" s="440" t="str">
        <f>IF( OR( $B$8="-", B94=""),"-",
IFERROR( VLOOKUP( B94 &amp; "*",'PROD. 4º MÊS'!$C$7:$F$124,2,0),
IFERROR( VLOOKUP( B94&amp; "*", 'PROD. 3º MÊS'!$C$7:$F$127,2,0),
IFERROR( VLOOKUP( B94&amp; "*",'PROD. 2º MÊS'!$C$7:$F$127,2,0),
IFERROR( VLOOKUP( B94&amp; "*",'PROD. 1º MÊS'!$C$7:$F$127,2,0), "-")))))</f>
        <v>Atendimento</v>
      </c>
      <c r="I94" s="441"/>
      <c r="J94" s="225">
        <f t="shared" si="24"/>
        <v>727.25</v>
      </c>
      <c r="K94" s="535">
        <f t="shared" si="25"/>
        <v>93.43</v>
      </c>
      <c r="L94" s="536"/>
      <c r="M94" s="537">
        <f xml:space="preserve"> IFERROR( IF( OR( B94="-", B94 =""), "-", VLOOKUP( B94, 'SES - CMU'!$B$3:$D$242, 3, 0)), "-")</f>
        <v>129.01</v>
      </c>
      <c r="N94" s="538"/>
      <c r="O94" s="434">
        <f t="shared" si="26"/>
        <v>-35.579999999999984</v>
      </c>
      <c r="P94" s="435"/>
      <c r="Q94" s="314">
        <f t="shared" si="27"/>
        <v>-0.27579257421905268</v>
      </c>
      <c r="R94" s="79"/>
      <c r="S94" s="226"/>
      <c r="W94" s="240" t="str">
        <f>IF(OR(
'PROD. 4º MÊS'!C12="Administrativo",
'PROD. 4º MÊS'!C12="Intermediário",
'PROD. 4º MÊS'!C12="Externo",
'PROD. 4º MÊS'!C12="Final"),"-",
'PROD. 4º MÊS'!C12)</f>
        <v>Ambulatório de Cardiologia - Ambulatório de Cardiologia</v>
      </c>
      <c r="X94" s="241">
        <f t="shared" si="28"/>
        <v>927</v>
      </c>
      <c r="Y94" s="242">
        <f t="shared" si="29"/>
        <v>131.55000000000001</v>
      </c>
      <c r="AA94" s="247"/>
      <c r="AB94" s="247"/>
      <c r="AC94" s="240" t="str">
        <f>IF(OR(
'PROD. 3º MÊS'!C12="Administrativo",
'PROD. 3º MÊS'!C12="Intermediário",
'PROD. 3º MÊS'!C12="Externo",
'PROD. 3º MÊS'!C12="Final"),"-",
'PROD. 3º MÊS'!C12)</f>
        <v>Ambulatório de Cardiologia - Ambulatório de Cardiologia</v>
      </c>
      <c r="AD94" s="241">
        <f t="shared" si="30"/>
        <v>1021</v>
      </c>
      <c r="AE94" s="242">
        <f t="shared" si="31"/>
        <v>120.97</v>
      </c>
      <c r="AF94" s="307"/>
      <c r="AG94" s="240" t="str">
        <f>IF(OR(
'PROD. 2º MÊS'!C12="Administrativo",
'PROD. 2º MÊS'!C12="Intermediário",
'PROD. 2º MÊS'!C12="Externo",
'PROD. 2º MÊS'!C12="Final"),"-",
'PROD. 2º MÊS'!C12)</f>
        <v>Ambulatório de Cardiologia - Ambulatório de Cardiologia</v>
      </c>
      <c r="AH94" s="241">
        <f t="shared" si="32"/>
        <v>881</v>
      </c>
      <c r="AI94" s="242">
        <f t="shared" si="33"/>
        <v>141.37</v>
      </c>
      <c r="AK94" s="240" t="str">
        <f>IF(OR(
'PROD. 1º MÊS'!C12="Administrativo",
'PROD. 1º MÊS'!C12="Intermediário",
'PROD. 1º MÊS'!C12="Externo",
'PROD. 1º MÊS'!C12="Final"),"-",
'PROD. 1º MÊS'!C12)</f>
        <v>Ambulatório de Cardiologia - Ambulatório de Cardiologia</v>
      </c>
      <c r="AL94" s="241">
        <f t="shared" si="34"/>
        <v>560</v>
      </c>
      <c r="AM94" s="242">
        <f t="shared" si="35"/>
        <v>183.47</v>
      </c>
      <c r="AO94" s="342" t="str">
        <f t="shared" si="47"/>
        <v>Ambulatório de Cardiologia - Ambulatório de Cardiologia</v>
      </c>
      <c r="AP94" s="341" t="str">
        <f t="array" ref="AP94">IFERROR( INDEX( $AO$89:$AO$553, MATCH( 0, COUNTIF( $AP$87:AP93, $AO$89:$AO$553), 0)), "-")</f>
        <v>Ambulatório de Cardiologia - Ambulatório de Cardiologia</v>
      </c>
      <c r="AQ94" s="248" t="str">
        <f t="shared" si="36"/>
        <v>Ambulatório de Cardiologia</v>
      </c>
      <c r="AR94" s="249">
        <f t="shared" si="39"/>
        <v>560</v>
      </c>
      <c r="AS94" s="250">
        <f t="shared" si="40"/>
        <v>881</v>
      </c>
      <c r="AT94" s="250">
        <f t="shared" si="41"/>
        <v>1021</v>
      </c>
      <c r="AU94" s="251">
        <f t="shared" si="42"/>
        <v>927</v>
      </c>
      <c r="AV94" s="252">
        <f t="shared" si="43"/>
        <v>183.47</v>
      </c>
      <c r="AW94" s="253">
        <f t="shared" si="44"/>
        <v>141.37</v>
      </c>
      <c r="AX94" s="253">
        <f t="shared" si="45"/>
        <v>120.97</v>
      </c>
      <c r="AY94" s="254">
        <f t="shared" si="46"/>
        <v>131.55000000000001</v>
      </c>
      <c r="AZ94" s="255">
        <f t="shared" si="37"/>
        <v>847.25</v>
      </c>
      <c r="BA94" s="95">
        <f t="shared" si="38"/>
        <v>144.34000000000003</v>
      </c>
    </row>
    <row r="95" spans="1:59" ht="18.2" customHeight="1" x14ac:dyDescent="0.25">
      <c r="A95" s="79"/>
      <c r="B95" s="442" t="s">
        <v>306</v>
      </c>
      <c r="C95" s="443"/>
      <c r="D95" s="443"/>
      <c r="E95" s="443"/>
      <c r="F95" s="443"/>
      <c r="G95" s="444"/>
      <c r="H95" s="486" t="str">
        <f>IF( OR( $B$8="-", B95=""),"-",
IFERROR( VLOOKUP( B95 &amp; "*",'PROD. 4º MÊS'!$C$7:$F$124,2,0),
IFERROR( VLOOKUP( B95&amp; "*", 'PROD. 3º MÊS'!$C$7:$F$127,2,0),
IFERROR( VLOOKUP( B95&amp; "*",'PROD. 2º MÊS'!$C$7:$F$127,2,0),
IFERROR( VLOOKUP( B95&amp; "*",'PROD. 1º MÊS'!$C$7:$F$127,2,0), "-")))))</f>
        <v>Exame</v>
      </c>
      <c r="I95" s="487"/>
      <c r="J95" s="229">
        <f t="shared" si="24"/>
        <v>190.5</v>
      </c>
      <c r="K95" s="658">
        <f t="shared" si="25"/>
        <v>319.21249999999998</v>
      </c>
      <c r="L95" s="659"/>
      <c r="M95" s="539">
        <f xml:space="preserve"> IFERROR( IF( OR( B95="-", B95 =""), "-", VLOOKUP( B95, 'SES - CMU'!$B$3:$D$242, 3, 0)), "-")</f>
        <v>437.62</v>
      </c>
      <c r="N95" s="540"/>
      <c r="O95" s="549">
        <f t="shared" si="26"/>
        <v>-118.40750000000003</v>
      </c>
      <c r="P95" s="550"/>
      <c r="Q95" s="313">
        <f t="shared" si="27"/>
        <v>-0.27057150038846495</v>
      </c>
      <c r="R95" s="79"/>
      <c r="S95" s="226"/>
      <c r="W95" s="240" t="str">
        <f>IF(OR(
'PROD. 4º MÊS'!C13="Administrativo",
'PROD. 4º MÊS'!C13="Intermediário",
'PROD. 4º MÊS'!C13="Externo",
'PROD. 4º MÊS'!C13="Final"),"-",
'PROD. 4º MÊS'!C13)</f>
        <v>Ambulatório de Dermatologia - Ambulatório de Dermatologia</v>
      </c>
      <c r="X95" s="241">
        <f t="shared" si="28"/>
        <v>1326</v>
      </c>
      <c r="Y95" s="242">
        <f t="shared" si="29"/>
        <v>304.97000000000003</v>
      </c>
      <c r="AA95" s="247"/>
      <c r="AB95" s="247"/>
      <c r="AC95" s="240" t="str">
        <f>IF(OR(
'PROD. 3º MÊS'!C13="Administrativo",
'PROD. 3º MÊS'!C13="Intermediário",
'PROD. 3º MÊS'!C13="Externo",
'PROD. 3º MÊS'!C13="Final"),"-",
'PROD. 3º MÊS'!C13)</f>
        <v>Ambulatório de Dermatologia - Ambulatório de Dermatologia</v>
      </c>
      <c r="AD95" s="241">
        <f t="shared" si="30"/>
        <v>1413</v>
      </c>
      <c r="AE95" s="242">
        <f t="shared" si="31"/>
        <v>277.89999999999998</v>
      </c>
      <c r="AF95" s="307"/>
      <c r="AG95" s="240" t="str">
        <f>IF(OR(
'PROD. 2º MÊS'!C13="Administrativo",
'PROD. 2º MÊS'!C13="Intermediário",
'PROD. 2º MÊS'!C13="Externo",
'PROD. 2º MÊS'!C13="Final"),"-",
'PROD. 2º MÊS'!C13)</f>
        <v>Ambulatório de Dermatologia - Ambulatório de Dermatologia</v>
      </c>
      <c r="AH95" s="241">
        <f t="shared" si="32"/>
        <v>1601</v>
      </c>
      <c r="AI95" s="242">
        <f t="shared" si="33"/>
        <v>245.56</v>
      </c>
      <c r="AK95" s="240" t="str">
        <f>IF(OR(
'PROD. 1º MÊS'!C13="Administrativo",
'PROD. 1º MÊS'!C13="Intermediário",
'PROD. 1º MÊS'!C13="Externo",
'PROD. 1º MÊS'!C13="Final"),"-",
'PROD. 1º MÊS'!C13)</f>
        <v>Ambulatório de Dermatologia - Ambulatório de Dermatologia</v>
      </c>
      <c r="AL95" s="241">
        <f t="shared" si="34"/>
        <v>1674</v>
      </c>
      <c r="AM95" s="242">
        <f t="shared" si="35"/>
        <v>236.05</v>
      </c>
      <c r="AO95" s="342" t="str">
        <f t="shared" si="47"/>
        <v>Ambulatório de Dermatologia - Ambulatório de Dermatologia</v>
      </c>
      <c r="AP95" s="341" t="str">
        <f t="array" ref="AP95">IFERROR( INDEX( $AO$89:$AO$553, MATCH( 0, COUNTIF( $AP$87:AP94, $AO$89:$AO$553), 0)), "-")</f>
        <v>Ambulatório de Dermatologia - Ambulatório de Dermatologia</v>
      </c>
      <c r="AQ95" s="257" t="str">
        <f t="shared" si="36"/>
        <v>Ambulatório de Dermatologia</v>
      </c>
      <c r="AR95" s="258">
        <f t="shared" si="39"/>
        <v>1674</v>
      </c>
      <c r="AS95" s="259">
        <f t="shared" si="40"/>
        <v>1601</v>
      </c>
      <c r="AT95" s="259">
        <f t="shared" si="41"/>
        <v>1413</v>
      </c>
      <c r="AU95" s="260">
        <f t="shared" si="42"/>
        <v>1326</v>
      </c>
      <c r="AV95" s="261">
        <f t="shared" si="43"/>
        <v>236.05</v>
      </c>
      <c r="AW95" s="262">
        <f t="shared" si="44"/>
        <v>245.56</v>
      </c>
      <c r="AX95" s="262">
        <f t="shared" si="45"/>
        <v>277.89999999999998</v>
      </c>
      <c r="AY95" s="263">
        <f t="shared" si="46"/>
        <v>304.97000000000003</v>
      </c>
      <c r="AZ95" s="264">
        <f t="shared" si="37"/>
        <v>1503.5</v>
      </c>
      <c r="BA95" s="96">
        <f t="shared" si="38"/>
        <v>266.12</v>
      </c>
    </row>
    <row r="96" spans="1:59" ht="18.2" customHeight="1" x14ac:dyDescent="0.25">
      <c r="A96" s="79"/>
      <c r="B96" s="433"/>
      <c r="C96" s="433"/>
      <c r="D96" s="433"/>
      <c r="E96" s="433"/>
      <c r="F96" s="433"/>
      <c r="G96" s="433"/>
      <c r="H96" s="433"/>
      <c r="I96" s="433"/>
      <c r="J96" s="433"/>
      <c r="K96" s="433"/>
      <c r="L96" s="433"/>
      <c r="M96" s="433"/>
      <c r="N96" s="433"/>
      <c r="O96" s="433"/>
      <c r="P96" s="433"/>
      <c r="Q96" s="433"/>
      <c r="R96" s="79"/>
      <c r="W96" s="240" t="str">
        <f>IF(OR(
'PROD. 4º MÊS'!C14="Administrativo",
'PROD. 4º MÊS'!C14="Intermediário",
'PROD. 4º MÊS'!C14="Externo",
'PROD. 4º MÊS'!C14="Final"),"-",
'PROD. 4º MÊS'!C14)</f>
        <v>Ambulatório de Estomias - Ambulatório de Estomias</v>
      </c>
      <c r="X96" s="241">
        <f t="shared" si="28"/>
        <v>90</v>
      </c>
      <c r="Y96" s="242">
        <f t="shared" si="29"/>
        <v>536.51</v>
      </c>
      <c r="AA96" s="247"/>
      <c r="AB96" s="247"/>
      <c r="AC96" s="240" t="str">
        <f>IF(OR(
'PROD. 3º MÊS'!C14="Administrativo",
'PROD. 3º MÊS'!C14="Intermediário",
'PROD. 3º MÊS'!C14="Externo",
'PROD. 3º MÊS'!C14="Final"),"-",
'PROD. 3º MÊS'!C14)</f>
        <v>Ambulatório de Estomias - Ambulatório de Estomias</v>
      </c>
      <c r="AD96" s="241">
        <f t="shared" si="30"/>
        <v>78</v>
      </c>
      <c r="AE96" s="242">
        <f t="shared" si="31"/>
        <v>463.72</v>
      </c>
      <c r="AG96" s="240" t="str">
        <f>IF(OR(
'PROD. 2º MÊS'!C14="Administrativo",
'PROD. 2º MÊS'!C14="Intermediário",
'PROD. 2º MÊS'!C14="Externo",
'PROD. 2º MÊS'!C14="Final"),"-",
'PROD. 2º MÊS'!C14)</f>
        <v>Ambulatório de Estomias - Ambulatório de Estomias</v>
      </c>
      <c r="AH96" s="241">
        <f t="shared" si="32"/>
        <v>31</v>
      </c>
      <c r="AI96" s="242">
        <f t="shared" si="33"/>
        <v>909.85</v>
      </c>
      <c r="AK96" s="240" t="str">
        <f>IF(OR(
'PROD. 1º MÊS'!C14="Administrativo",
'PROD. 1º MÊS'!C14="Intermediário",
'PROD. 1º MÊS'!C14="Externo",
'PROD. 1º MÊS'!C14="Final"),"-",
'PROD. 1º MÊS'!C14)</f>
        <v>Ambulatório de Estomias - Ambulatório de Estomias</v>
      </c>
      <c r="AL96" s="241">
        <f t="shared" si="34"/>
        <v>74</v>
      </c>
      <c r="AM96" s="242">
        <f t="shared" si="35"/>
        <v>546.98</v>
      </c>
      <c r="AO96" s="342" t="str">
        <f t="shared" si="47"/>
        <v>Ambulatório de Estomias - Ambulatório de Estomias</v>
      </c>
      <c r="AP96" s="341" t="str">
        <f t="array" ref="AP96">IFERROR( INDEX( $AO$89:$AO$553, MATCH( 0, COUNTIF( $AP$87:AP95, $AO$89:$AO$553), 0)), "-")</f>
        <v>Ambulatório de Estomias - Ambulatório de Estomias</v>
      </c>
      <c r="AQ96" s="248" t="str">
        <f t="shared" si="36"/>
        <v>Ambulatório de Estomias</v>
      </c>
      <c r="AR96" s="249">
        <f t="shared" si="39"/>
        <v>74</v>
      </c>
      <c r="AS96" s="250">
        <f t="shared" si="40"/>
        <v>31</v>
      </c>
      <c r="AT96" s="250">
        <f t="shared" si="41"/>
        <v>78</v>
      </c>
      <c r="AU96" s="251">
        <f t="shared" si="42"/>
        <v>90</v>
      </c>
      <c r="AV96" s="252">
        <f t="shared" si="43"/>
        <v>546.98</v>
      </c>
      <c r="AW96" s="253">
        <f t="shared" si="44"/>
        <v>909.85</v>
      </c>
      <c r="AX96" s="253">
        <f t="shared" si="45"/>
        <v>463.72</v>
      </c>
      <c r="AY96" s="254">
        <f t="shared" si="46"/>
        <v>536.51</v>
      </c>
      <c r="AZ96" s="255">
        <f t="shared" si="37"/>
        <v>68.25</v>
      </c>
      <c r="BA96" s="95">
        <f t="shared" si="38"/>
        <v>614.26499999999999</v>
      </c>
    </row>
    <row r="97" spans="1:53" ht="18.2" customHeight="1" x14ac:dyDescent="0.25">
      <c r="A97" s="79"/>
      <c r="B97" s="265"/>
      <c r="C97" s="265"/>
      <c r="D97" s="265"/>
      <c r="E97" s="265"/>
      <c r="F97" s="265"/>
      <c r="G97" s="266" t="str">
        <f>CONCATENATE( "PRODUÇÃO e CUSTO MÉDIO de:  ",$D$98)</f>
        <v>PRODUÇÃO e CUSTO MÉDIO de:  AMBULATÓRIO DE ESTOMIAS</v>
      </c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79"/>
      <c r="W97" s="240" t="str">
        <f>IF(OR(
'PROD. 4º MÊS'!C15="Administrativo",
'PROD. 4º MÊS'!C15="Intermediário",
'PROD. 4º MÊS'!C15="Externo",
'PROD. 4º MÊS'!C15="Final"),"-",
'PROD. 4º MÊS'!C15)</f>
        <v>Ambulatório de Feridas Complexas - Ambulatório de Feridas Complexas</v>
      </c>
      <c r="X97" s="241">
        <f t="shared" si="28"/>
        <v>404</v>
      </c>
      <c r="Y97" s="242">
        <f t="shared" si="29"/>
        <v>206.56</v>
      </c>
      <c r="AC97" s="240" t="str">
        <f>IF(OR(
'PROD. 3º MÊS'!C15="Administrativo",
'PROD. 3º MÊS'!C15="Intermediário",
'PROD. 3º MÊS'!C15="Externo",
'PROD. 3º MÊS'!C15="Final"),"-",
'PROD. 3º MÊS'!C15)</f>
        <v>Ambulatório de Feridas Complexas - Ambulatório de Feridas Complexas</v>
      </c>
      <c r="AD97" s="241">
        <f t="shared" si="30"/>
        <v>415</v>
      </c>
      <c r="AE97" s="242">
        <f t="shared" si="31"/>
        <v>211.73</v>
      </c>
      <c r="AG97" s="240" t="str">
        <f>IF(OR(
'PROD. 2º MÊS'!C15="Administrativo",
'PROD. 2º MÊS'!C15="Intermediário",
'PROD. 2º MÊS'!C15="Externo",
'PROD. 2º MÊS'!C15="Final"),"-",
'PROD. 2º MÊS'!C15)</f>
        <v>Ambulatório de Feridas Complexas - Ambulatório de Feridas Complexas</v>
      </c>
      <c r="AH97" s="241">
        <f t="shared" si="32"/>
        <v>384</v>
      </c>
      <c r="AI97" s="242">
        <f t="shared" si="33"/>
        <v>227.29</v>
      </c>
      <c r="AK97" s="240" t="str">
        <f>IF(OR(
'PROD. 1º MÊS'!C15="Administrativo",
'PROD. 1º MÊS'!C15="Intermediário",
'PROD. 1º MÊS'!C15="Externo",
'PROD. 1º MÊS'!C15="Final"),"-",
'PROD. 1º MÊS'!C15)</f>
        <v>Ambulatório de Feridas Complexas - Ambulatório de Feridas Complexas</v>
      </c>
      <c r="AL97" s="241">
        <f t="shared" si="34"/>
        <v>427</v>
      </c>
      <c r="AM97" s="242">
        <f t="shared" si="35"/>
        <v>195.68</v>
      </c>
      <c r="AO97" s="342" t="str">
        <f t="shared" si="47"/>
        <v>Ambulatório de Feridas Complexas - Ambulatório de Feridas Complexas</v>
      </c>
      <c r="AP97" s="341" t="str">
        <f t="array" ref="AP97">IFERROR( INDEX( $AO$89:$AO$553, MATCH( 0, COUNTIF( $AP$87:AP96, $AO$89:$AO$553), 0)), "-")</f>
        <v>Ambulatório de Feridas Complexas - Ambulatório de Feridas Complexas</v>
      </c>
      <c r="AQ97" s="257" t="str">
        <f t="shared" si="36"/>
        <v>Ambulatório de Feridas Complexas</v>
      </c>
      <c r="AR97" s="258">
        <f t="shared" si="39"/>
        <v>427</v>
      </c>
      <c r="AS97" s="259">
        <f t="shared" si="40"/>
        <v>384</v>
      </c>
      <c r="AT97" s="259">
        <f t="shared" si="41"/>
        <v>415</v>
      </c>
      <c r="AU97" s="260">
        <f t="shared" si="42"/>
        <v>404</v>
      </c>
      <c r="AV97" s="261">
        <f t="shared" si="43"/>
        <v>195.68</v>
      </c>
      <c r="AW97" s="262">
        <f t="shared" si="44"/>
        <v>227.29</v>
      </c>
      <c r="AX97" s="262">
        <f t="shared" si="45"/>
        <v>211.73</v>
      </c>
      <c r="AY97" s="263">
        <f t="shared" si="46"/>
        <v>206.56</v>
      </c>
      <c r="AZ97" s="264">
        <f t="shared" si="37"/>
        <v>407.5</v>
      </c>
      <c r="BA97" s="96">
        <f t="shared" si="38"/>
        <v>210.315</v>
      </c>
    </row>
    <row r="98" spans="1:53" ht="18.2" customHeight="1" x14ac:dyDescent="0.25">
      <c r="A98" s="374"/>
      <c r="B98" s="265"/>
      <c r="C98" s="267" t="s">
        <v>166</v>
      </c>
      <c r="D98" s="265" t="str">
        <f xml:space="preserve"> UPPER(RELATÓRIO!$B$108)</f>
        <v>AMBULATÓRIO DE ESTOMIAS</v>
      </c>
      <c r="E98" s="268" t="str">
        <f>$AR$88</f>
        <v>JAN-25</v>
      </c>
      <c r="F98" s="268" t="str">
        <f>$AS$88</f>
        <v>FEV-25</v>
      </c>
      <c r="G98" s="268" t="str">
        <f>$AT$88</f>
        <v>MAR-25</v>
      </c>
      <c r="H98" s="268" t="str">
        <f>$AU$88</f>
        <v>ABR-25</v>
      </c>
      <c r="I98" s="265" t="s">
        <v>162</v>
      </c>
      <c r="J98" s="265" t="s">
        <v>163</v>
      </c>
      <c r="K98" s="265" t="s">
        <v>164</v>
      </c>
      <c r="L98" s="265"/>
      <c r="M98" s="265"/>
      <c r="N98" s="265"/>
      <c r="O98" s="265"/>
      <c r="P98" s="265"/>
      <c r="Q98" s="265"/>
      <c r="R98" s="79"/>
      <c r="W98" s="240" t="str">
        <f>IF(OR(
'PROD. 4º MÊS'!C16="Administrativo",
'PROD. 4º MÊS'!C16="Intermediário",
'PROD. 4º MÊS'!C16="Externo",
'PROD. 4º MÊS'!C16="Final"),"-",
'PROD. 4º MÊS'!C16)</f>
        <v>Ambulatório de Fisioterapia - Ambulatório de Fisioterapia</v>
      </c>
      <c r="X98" s="241">
        <f t="shared" si="28"/>
        <v>182</v>
      </c>
      <c r="Y98" s="242">
        <f t="shared" si="29"/>
        <v>175.48</v>
      </c>
      <c r="AC98" s="240" t="str">
        <f>IF(OR(
'PROD. 3º MÊS'!C16="Administrativo",
'PROD. 3º MÊS'!C16="Intermediário",
'PROD. 3º MÊS'!C16="Externo",
'PROD. 3º MÊS'!C16="Final"),"-",
'PROD. 3º MÊS'!C16)</f>
        <v>Ambulatório de Fisioterapia - Ambulatório de Fisioterapia</v>
      </c>
      <c r="AD98" s="241">
        <f t="shared" si="30"/>
        <v>126</v>
      </c>
      <c r="AE98" s="242">
        <f t="shared" si="31"/>
        <v>145.91</v>
      </c>
      <c r="AG98" s="240" t="str">
        <f>IF(OR(
'PROD. 2º MÊS'!C16="Administrativo",
'PROD. 2º MÊS'!C16="Intermediário",
'PROD. 2º MÊS'!C16="Externo",
'PROD. 2º MÊS'!C16="Final"),"-",
'PROD. 2º MÊS'!C16)</f>
        <v>Ambulatório de Fisioterapia - Ambulatório de Fisioterapia</v>
      </c>
      <c r="AH98" s="241">
        <f t="shared" si="32"/>
        <v>146</v>
      </c>
      <c r="AI98" s="242">
        <f t="shared" si="33"/>
        <v>122.03</v>
      </c>
      <c r="AK98" s="240" t="str">
        <f>IF(OR(
'PROD. 1º MÊS'!C16="Administrativo",
'PROD. 1º MÊS'!C16="Intermediário",
'PROD. 1º MÊS'!C16="Externo",
'PROD. 1º MÊS'!C16="Final"),"-",
'PROD. 1º MÊS'!C16)</f>
        <v>Ambulatório de Fisioterapia - Ambulatório de Fisioterapia</v>
      </c>
      <c r="AL98" s="241">
        <f t="shared" si="34"/>
        <v>32</v>
      </c>
      <c r="AM98" s="242">
        <f t="shared" si="35"/>
        <v>545.92999999999995</v>
      </c>
      <c r="AO98" s="342" t="str">
        <f t="shared" si="47"/>
        <v>Ambulatório de Fisioterapia - Ambulatório de Fisioterapia</v>
      </c>
      <c r="AP98" s="341" t="str">
        <f t="array" ref="AP98">IFERROR( INDEX( $AO$89:$AO$553, MATCH( 0, COUNTIF( $AP$87:AP97, $AO$89:$AO$553), 0)), "-")</f>
        <v>Ambulatório de Fisioterapia - Ambulatório de Fisioterapia</v>
      </c>
      <c r="AQ98" s="248" t="str">
        <f t="shared" si="36"/>
        <v>Ambulatório de Fisioterapia</v>
      </c>
      <c r="AR98" s="249">
        <f t="shared" si="39"/>
        <v>32</v>
      </c>
      <c r="AS98" s="250">
        <f t="shared" si="40"/>
        <v>146</v>
      </c>
      <c r="AT98" s="250">
        <f t="shared" si="41"/>
        <v>126</v>
      </c>
      <c r="AU98" s="251">
        <f t="shared" si="42"/>
        <v>182</v>
      </c>
      <c r="AV98" s="252">
        <f t="shared" si="43"/>
        <v>545.92999999999995</v>
      </c>
      <c r="AW98" s="253">
        <f t="shared" si="44"/>
        <v>122.03</v>
      </c>
      <c r="AX98" s="253">
        <f t="shared" si="45"/>
        <v>145.91</v>
      </c>
      <c r="AY98" s="254">
        <f t="shared" si="46"/>
        <v>175.48</v>
      </c>
      <c r="AZ98" s="255">
        <f t="shared" si="37"/>
        <v>121.5</v>
      </c>
      <c r="BA98" s="95">
        <f t="shared" si="38"/>
        <v>247.33749999999998</v>
      </c>
    </row>
    <row r="99" spans="1:53" ht="18.2" customHeight="1" x14ac:dyDescent="0.25">
      <c r="A99" s="79"/>
      <c r="B99" s="265"/>
      <c r="C99" s="269"/>
      <c r="D99" s="265" t="s">
        <v>100</v>
      </c>
      <c r="E99" s="265">
        <f>VLOOKUP($D$98,$AQ$89:$AY$225,2,FALSE)</f>
        <v>74</v>
      </c>
      <c r="F99" s="265">
        <f>VLOOKUP($D$98,$AQ$89:$AY$225,3,FALSE)</f>
        <v>31</v>
      </c>
      <c r="G99" s="265">
        <f>VLOOKUP($D$98,$AQ$89:$AY$225,4,FALSE)</f>
        <v>78</v>
      </c>
      <c r="H99" s="265">
        <f>VLOOKUP($D$98,$AQ$89:$AY$225,5,FALSE)</f>
        <v>90</v>
      </c>
      <c r="I99" s="265">
        <f>AVERAGE(E99:H99)</f>
        <v>68.25</v>
      </c>
      <c r="J99" s="270">
        <f>_xlfn.STDEV.S(E99:H99)</f>
        <v>25.747168129071333</v>
      </c>
      <c r="K99" s="76">
        <f>IFERROR( J99 / I99, "-")</f>
        <v>0.37724788467503784</v>
      </c>
      <c r="L99" s="265"/>
      <c r="M99" s="265"/>
      <c r="N99" s="265"/>
      <c r="O99" s="265"/>
      <c r="P99" s="265"/>
      <c r="Q99" s="265"/>
      <c r="R99" s="79"/>
      <c r="W99" s="240" t="str">
        <f>IF(OR(
'PROD. 4º MÊS'!C17="Administrativo",
'PROD. 4º MÊS'!C17="Intermediário",
'PROD. 4º MÊS'!C17="Externo",
'PROD. 4º MÊS'!C17="Final"),"-",
'PROD. 4º MÊS'!C17)</f>
        <v>Ambulatório de Fonoaudiologia - Ambulatório de Fonoaudiologia</v>
      </c>
      <c r="X99" s="241">
        <f t="shared" si="28"/>
        <v>875</v>
      </c>
      <c r="Y99" s="242">
        <f t="shared" si="29"/>
        <v>76.11</v>
      </c>
      <c r="AC99" s="240" t="str">
        <f>IF(OR(
'PROD. 3º MÊS'!C17="Administrativo",
'PROD. 3º MÊS'!C17="Intermediário",
'PROD. 3º MÊS'!C17="Externo",
'PROD. 3º MÊS'!C17="Final"),"-",
'PROD. 3º MÊS'!C17)</f>
        <v>Ambulatório de Fonoaudiologia - Ambulatório de Fonoaudiologia</v>
      </c>
      <c r="AD99" s="241">
        <f t="shared" si="30"/>
        <v>456</v>
      </c>
      <c r="AE99" s="242">
        <f t="shared" si="31"/>
        <v>118.49</v>
      </c>
      <c r="AG99" s="240" t="str">
        <f>IF(OR(
'PROD. 2º MÊS'!C17="Administrativo",
'PROD. 2º MÊS'!C17="Intermediário",
'PROD. 2º MÊS'!C17="Externo",
'PROD. 2º MÊS'!C17="Final"),"-",
'PROD. 2º MÊS'!C17)</f>
        <v>Ambulatório de Fonoaudiologia - Ambulatório de Fonoaudiologia</v>
      </c>
      <c r="AH99" s="241">
        <f t="shared" si="32"/>
        <v>646</v>
      </c>
      <c r="AI99" s="242">
        <f t="shared" si="33"/>
        <v>105.72</v>
      </c>
      <c r="AK99" s="240" t="str">
        <f>IF(OR(
'PROD. 1º MÊS'!C17="Administrativo",
'PROD. 1º MÊS'!C17="Intermediário",
'PROD. 1º MÊS'!C17="Externo",
'PROD. 1º MÊS'!C17="Final"),"-",
'PROD. 1º MÊS'!C17)</f>
        <v>Ambulatório de Fonoaudiologia - Ambulatório de Fonoaudiologia</v>
      </c>
      <c r="AL99" s="241">
        <f t="shared" si="34"/>
        <v>932</v>
      </c>
      <c r="AM99" s="242">
        <f t="shared" si="35"/>
        <v>73.400000000000006</v>
      </c>
      <c r="AO99" s="342" t="str">
        <f t="shared" si="47"/>
        <v>Ambulatório de Fonoaudiologia - Ambulatório de Fonoaudiologia</v>
      </c>
      <c r="AP99" s="341" t="str">
        <f t="array" ref="AP99">IFERROR( INDEX( $AO$89:$AO$553, MATCH( 0, COUNTIF( $AP$87:AP98, $AO$89:$AO$553), 0)), "-")</f>
        <v>Ambulatório de Fonoaudiologia - Ambulatório de Fonoaudiologia</v>
      </c>
      <c r="AQ99" s="257" t="str">
        <f t="shared" si="36"/>
        <v>Ambulatório de Fonoaudiologia</v>
      </c>
      <c r="AR99" s="258">
        <f t="shared" si="39"/>
        <v>932</v>
      </c>
      <c r="AS99" s="259">
        <f t="shared" si="40"/>
        <v>646</v>
      </c>
      <c r="AT99" s="259">
        <f t="shared" si="41"/>
        <v>456</v>
      </c>
      <c r="AU99" s="260">
        <f t="shared" si="42"/>
        <v>875</v>
      </c>
      <c r="AV99" s="261">
        <f t="shared" si="43"/>
        <v>73.400000000000006</v>
      </c>
      <c r="AW99" s="262">
        <f t="shared" si="44"/>
        <v>105.72</v>
      </c>
      <c r="AX99" s="262">
        <f t="shared" si="45"/>
        <v>118.49</v>
      </c>
      <c r="AY99" s="263">
        <f t="shared" si="46"/>
        <v>76.11</v>
      </c>
      <c r="AZ99" s="264">
        <f t="shared" si="37"/>
        <v>727.25</v>
      </c>
      <c r="BA99" s="96">
        <f t="shared" si="38"/>
        <v>93.43</v>
      </c>
    </row>
    <row r="100" spans="1:53" ht="18.2" customHeight="1" x14ac:dyDescent="0.25">
      <c r="A100" s="79"/>
      <c r="B100" s="265"/>
      <c r="C100" s="269"/>
      <c r="D100" s="265" t="s">
        <v>99</v>
      </c>
      <c r="E100" s="77">
        <f>VLOOKUP($D$98,$AQ$89:$AY$225,6,FALSE)</f>
        <v>546.98</v>
      </c>
      <c r="F100" s="77">
        <f>VLOOKUP($D$98,$AQ$89:$AY$225,7,FALSE)</f>
        <v>909.85</v>
      </c>
      <c r="G100" s="77">
        <f>VLOOKUP($D$98,$AQ$89:$AY$225,8,FALSE)</f>
        <v>463.72</v>
      </c>
      <c r="H100" s="77">
        <f>VLOOKUP($D$98,$AQ$89:$AY$225,9,FALSE)</f>
        <v>536.51</v>
      </c>
      <c r="I100" s="271">
        <f>AVERAGE(E100:H100)</f>
        <v>614.26499999999999</v>
      </c>
      <c r="J100" s="77">
        <f>_xlfn.STDEV.S(E100:H100)</f>
        <v>200.50552818646523</v>
      </c>
      <c r="K100" s="76">
        <f>IFERROR( J100 / I100, "-")</f>
        <v>0.32641535523994569</v>
      </c>
      <c r="L100" s="265"/>
      <c r="M100" s="265"/>
      <c r="N100" s="265"/>
      <c r="O100" s="265"/>
      <c r="P100" s="265"/>
      <c r="Q100" s="265"/>
      <c r="R100" s="79"/>
      <c r="W100" s="240" t="str">
        <f>IF(OR(
'PROD. 4º MÊS'!C18="Administrativo",
'PROD. 4º MÊS'!C18="Intermediário",
'PROD. 4º MÊS'!C18="Externo",
'PROD. 4º MÊS'!C18="Final"),"-",
'PROD. 4º MÊS'!C18)</f>
        <v>Ambulatório de Gastroenterologia Pediátrica - Ambulatório de Gastroenterologia Pediátrica</v>
      </c>
      <c r="X100" s="241">
        <f t="shared" si="28"/>
        <v>38</v>
      </c>
      <c r="Y100" s="242">
        <f t="shared" si="29"/>
        <v>567.66999999999996</v>
      </c>
      <c r="AC100" s="240" t="str">
        <f>IF(OR(
'PROD. 3º MÊS'!C18="Administrativo",
'PROD. 3º MÊS'!C18="Intermediário",
'PROD. 3º MÊS'!C18="Externo",
'PROD. 3º MÊS'!C18="Final"),"-",
'PROD. 3º MÊS'!C18)</f>
        <v>Ambulatório de Gastroenterologia Pediátrica - Ambulatório de Gastroenterologia Pediátrica</v>
      </c>
      <c r="AD100" s="241">
        <f t="shared" si="30"/>
        <v>29</v>
      </c>
      <c r="AE100" s="242">
        <f t="shared" si="31"/>
        <v>752.3</v>
      </c>
      <c r="AG100" s="240" t="str">
        <f>IF(OR(
'PROD. 2º MÊS'!C18="Administrativo",
'PROD. 2º MÊS'!C18="Intermediário",
'PROD. 2º MÊS'!C18="Externo",
'PROD. 2º MÊS'!C18="Final"),"-",
'PROD. 2º MÊS'!C18)</f>
        <v>Ambulatório de Gastroenterologia Pediátrica - Ambulatório de Gastroenterologia Pediátrica</v>
      </c>
      <c r="AH100" s="241">
        <f t="shared" si="32"/>
        <v>38</v>
      </c>
      <c r="AI100" s="242">
        <f t="shared" si="33"/>
        <v>568.04999999999995</v>
      </c>
      <c r="AK100" s="240" t="str">
        <f>IF(OR(
'PROD. 1º MÊS'!C18="Administrativo",
'PROD. 1º MÊS'!C18="Intermediário",
'PROD. 1º MÊS'!C18="Externo",
'PROD. 1º MÊS'!C18="Final"),"-",
'PROD. 1º MÊS'!C18)</f>
        <v>Ambulatório de Gastroenterologia Pediátrica - Ambulatório de Gastroenterologia Pediátrica</v>
      </c>
      <c r="AL100" s="241">
        <f t="shared" si="34"/>
        <v>24</v>
      </c>
      <c r="AM100" s="242">
        <f t="shared" si="35"/>
        <v>892.55</v>
      </c>
      <c r="AO100" s="342" t="str">
        <f t="shared" si="47"/>
        <v>Ambulatório de Gastroenterologia Pediátrica - Ambulatório de Gastroenterologia Pediátrica</v>
      </c>
      <c r="AP100" s="341" t="str">
        <f t="array" ref="AP100">IFERROR( INDEX( $AO$89:$AO$553, MATCH( 0, COUNTIF( $AP$87:AP99, $AO$89:$AO$553), 0)), "-")</f>
        <v>Ambulatório de Gastroenterologia Pediátrica - Ambulatório de Gastroenterologia Pediátrica</v>
      </c>
      <c r="AQ100" s="248" t="str">
        <f t="shared" si="36"/>
        <v>Ambulatório de Gastroenterologia Pediátrica</v>
      </c>
      <c r="AR100" s="249">
        <f t="shared" si="39"/>
        <v>24</v>
      </c>
      <c r="AS100" s="250">
        <f t="shared" si="40"/>
        <v>38</v>
      </c>
      <c r="AT100" s="250">
        <f t="shared" si="41"/>
        <v>29</v>
      </c>
      <c r="AU100" s="251">
        <f t="shared" si="42"/>
        <v>38</v>
      </c>
      <c r="AV100" s="252">
        <f t="shared" si="43"/>
        <v>892.55</v>
      </c>
      <c r="AW100" s="253">
        <f t="shared" si="44"/>
        <v>568.04999999999995</v>
      </c>
      <c r="AX100" s="253">
        <f t="shared" si="45"/>
        <v>752.3</v>
      </c>
      <c r="AY100" s="254">
        <f t="shared" si="46"/>
        <v>567.66999999999996</v>
      </c>
      <c r="AZ100" s="255">
        <f t="shared" si="37"/>
        <v>32.25</v>
      </c>
      <c r="BA100" s="95">
        <f t="shared" si="38"/>
        <v>695.14249999999993</v>
      </c>
    </row>
    <row r="101" spans="1:53" ht="18.2" customHeight="1" x14ac:dyDescent="0.25">
      <c r="A101" s="79"/>
      <c r="B101" s="265"/>
      <c r="C101" s="265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79"/>
      <c r="W101" s="240" t="str">
        <f>IF(OR(
'PROD. 4º MÊS'!C19="Administrativo",
'PROD. 4º MÊS'!C19="Intermediário",
'PROD. 4º MÊS'!C19="Externo",
'PROD. 4º MÊS'!C19="Final"),"-",
'PROD. 4º MÊS'!C19)</f>
        <v>Ambulatório de Geriatria - Ambulatório de Geriatria</v>
      </c>
      <c r="X101" s="241">
        <f t="shared" si="28"/>
        <v>303</v>
      </c>
      <c r="Y101" s="242">
        <f t="shared" si="29"/>
        <v>341.91</v>
      </c>
      <c r="AC101" s="240" t="str">
        <f>IF(OR(
'PROD. 3º MÊS'!C19="Administrativo",
'PROD. 3º MÊS'!C19="Intermediário",
'PROD. 3º MÊS'!C19="Externo",
'PROD. 3º MÊS'!C19="Final"),"-",
'PROD. 3º MÊS'!C19)</f>
        <v>Ambulatório de Geriatria - Ambulatório de Geriatria</v>
      </c>
      <c r="AD101" s="241">
        <f t="shared" si="30"/>
        <v>318</v>
      </c>
      <c r="AE101" s="242">
        <f t="shared" si="31"/>
        <v>335.55</v>
      </c>
      <c r="AG101" s="240" t="str">
        <f>IF(OR(
'PROD. 2º MÊS'!C19="Administrativo",
'PROD. 2º MÊS'!C19="Intermediário",
'PROD. 2º MÊS'!C19="Externo",
'PROD. 2º MÊS'!C19="Final"),"-",
'PROD. 2º MÊS'!C19)</f>
        <v>Ambulatório de Geriatria - Ambulatório de Geriatria</v>
      </c>
      <c r="AH101" s="241">
        <f t="shared" si="32"/>
        <v>322</v>
      </c>
      <c r="AI101" s="242">
        <f t="shared" si="33"/>
        <v>323.63</v>
      </c>
      <c r="AK101" s="240" t="str">
        <f>IF(OR(
'PROD. 1º MÊS'!C19="Administrativo",
'PROD. 1º MÊS'!C19="Intermediário",
'PROD. 1º MÊS'!C19="Externo",
'PROD. 1º MÊS'!C19="Final"),"-",
'PROD. 1º MÊS'!C19)</f>
        <v>Ambulatório de Geriatria - Ambulatório de Geriatria</v>
      </c>
      <c r="AL101" s="241">
        <f t="shared" si="34"/>
        <v>108</v>
      </c>
      <c r="AM101" s="242">
        <f t="shared" si="35"/>
        <v>962.36</v>
      </c>
      <c r="AO101" s="342" t="str">
        <f t="shared" si="47"/>
        <v>Ambulatório de Geriatria - Ambulatório de Geriatria</v>
      </c>
      <c r="AP101" s="341" t="str">
        <f t="array" ref="AP101">IFERROR( INDEX( $AO$89:$AO$553, MATCH( 0, COUNTIF( $AP$87:AP100, $AO$89:$AO$553), 0)), "-")</f>
        <v>Ambulatório de Geriatria - Ambulatório de Geriatria</v>
      </c>
      <c r="AQ101" s="257" t="str">
        <f t="shared" si="36"/>
        <v>Ambulatório de Geriatria</v>
      </c>
      <c r="AR101" s="258">
        <f t="shared" si="39"/>
        <v>108</v>
      </c>
      <c r="AS101" s="259">
        <f t="shared" si="40"/>
        <v>322</v>
      </c>
      <c r="AT101" s="259">
        <f t="shared" si="41"/>
        <v>318</v>
      </c>
      <c r="AU101" s="260">
        <f t="shared" si="42"/>
        <v>303</v>
      </c>
      <c r="AV101" s="261">
        <f t="shared" si="43"/>
        <v>962.36</v>
      </c>
      <c r="AW101" s="262">
        <f t="shared" si="44"/>
        <v>323.63</v>
      </c>
      <c r="AX101" s="262">
        <f t="shared" si="45"/>
        <v>335.55</v>
      </c>
      <c r="AY101" s="263">
        <f t="shared" si="46"/>
        <v>341.91</v>
      </c>
      <c r="AZ101" s="264">
        <f t="shared" si="37"/>
        <v>262.75</v>
      </c>
      <c r="BA101" s="96">
        <f t="shared" si="38"/>
        <v>490.86250000000001</v>
      </c>
    </row>
    <row r="102" spans="1:53" ht="18.2" customHeight="1" x14ac:dyDescent="0.25">
      <c r="A102" s="79"/>
      <c r="B102" s="265"/>
      <c r="C102" s="265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79"/>
      <c r="W102" s="240" t="str">
        <f>IF(OR(
'PROD. 4º MÊS'!C20="Administrativo",
'PROD. 4º MÊS'!C20="Intermediário",
'PROD. 4º MÊS'!C20="Externo",
'PROD. 4º MÊS'!C20="Final"),"-",
'PROD. 4º MÊS'!C20)</f>
        <v>Ambulatório de Ginecologia - Ambulatório de Ginecologia</v>
      </c>
      <c r="X102" s="241">
        <f t="shared" si="28"/>
        <v>93</v>
      </c>
      <c r="Y102" s="242">
        <f t="shared" si="29"/>
        <v>393.65</v>
      </c>
      <c r="AC102" s="240" t="str">
        <f>IF(OR(
'PROD. 3º MÊS'!C20="Administrativo",
'PROD. 3º MÊS'!C20="Intermediário",
'PROD. 3º MÊS'!C20="Externo",
'PROD. 3º MÊS'!C20="Final"),"-",
'PROD. 3º MÊS'!C20)</f>
        <v>Ambulatório de Neurologia - Ambulatório de Neurologia</v>
      </c>
      <c r="AD102" s="241">
        <f t="shared" si="30"/>
        <v>79</v>
      </c>
      <c r="AE102" s="242">
        <f t="shared" si="31"/>
        <v>443.51</v>
      </c>
      <c r="AG102" s="240" t="str">
        <f>IF(OR(
'PROD. 2º MÊS'!C20="Administrativo",
'PROD. 2º MÊS'!C20="Intermediário",
'PROD. 2º MÊS'!C20="Externo",
'PROD. 2º MÊS'!C20="Final"),"-",
'PROD. 2º MÊS'!C20)</f>
        <v>Ambulatório de Ginecologia - Ambulatório de Ginecologia</v>
      </c>
      <c r="AH102" s="241">
        <f t="shared" si="32"/>
        <v>89</v>
      </c>
      <c r="AI102" s="242">
        <f t="shared" si="33"/>
        <v>365.51</v>
      </c>
      <c r="AK102" s="240" t="str">
        <f>IF(OR(
'PROD. 1º MÊS'!C20="Administrativo",
'PROD. 1º MÊS'!C20="Intermediário",
'PROD. 1º MÊS'!C20="Externo",
'PROD. 1º MÊS'!C20="Final"),"-",
'PROD. 1º MÊS'!C20)</f>
        <v>Ambulatório de Neurologia - Ambulatório de Neurologia</v>
      </c>
      <c r="AL102" s="241">
        <f t="shared" si="34"/>
        <v>99</v>
      </c>
      <c r="AM102" s="242">
        <f t="shared" si="35"/>
        <v>407.69</v>
      </c>
      <c r="AO102" s="342" t="str">
        <f t="shared" si="47"/>
        <v>Ambulatório de Ginecologia - Ambulatório de Ginecologia</v>
      </c>
      <c r="AP102" s="341" t="str">
        <f t="array" ref="AP102">IFERROR( INDEX( $AO$89:$AO$553, MATCH( 0, COUNTIF( $AP$87:AP101, $AO$89:$AO$553), 0)), "-")</f>
        <v>Ambulatório de Ginecologia - Ambulatório de Ginecologia</v>
      </c>
      <c r="AQ102" s="248" t="str">
        <f t="shared" si="36"/>
        <v>Ambulatório de Ginecologia</v>
      </c>
      <c r="AR102" s="249" t="str">
        <f t="shared" si="39"/>
        <v>-</v>
      </c>
      <c r="AS102" s="250">
        <f t="shared" si="40"/>
        <v>89</v>
      </c>
      <c r="AT102" s="250" t="str">
        <f t="shared" si="41"/>
        <v>-</v>
      </c>
      <c r="AU102" s="251">
        <f t="shared" si="42"/>
        <v>93</v>
      </c>
      <c r="AV102" s="252" t="str">
        <f t="shared" si="43"/>
        <v>-</v>
      </c>
      <c r="AW102" s="253">
        <f t="shared" si="44"/>
        <v>365.51</v>
      </c>
      <c r="AX102" s="253" t="str">
        <f t="shared" si="45"/>
        <v>-</v>
      </c>
      <c r="AY102" s="254">
        <f t="shared" si="46"/>
        <v>393.65</v>
      </c>
      <c r="AZ102" s="255">
        <f t="shared" si="37"/>
        <v>91</v>
      </c>
      <c r="BA102" s="95">
        <f t="shared" si="38"/>
        <v>379.58</v>
      </c>
    </row>
    <row r="103" spans="1:53" ht="18.2" customHeight="1" x14ac:dyDescent="0.25">
      <c r="A103" s="79"/>
      <c r="B103" s="265"/>
      <c r="C103" s="265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79"/>
      <c r="W103" s="240" t="str">
        <f>IF(OR(
'PROD. 4º MÊS'!C21="Administrativo",
'PROD. 4º MÊS'!C21="Intermediário",
'PROD. 4º MÊS'!C21="Externo",
'PROD. 4º MÊS'!C21="Final"),"-",
'PROD. 4º MÊS'!C21)</f>
        <v>Ambulatório de Neurologia - Ambulatório de Neurologia</v>
      </c>
      <c r="X103" s="241">
        <f t="shared" si="28"/>
        <v>114</v>
      </c>
      <c r="Y103" s="242">
        <f t="shared" si="29"/>
        <v>315.95999999999998</v>
      </c>
      <c r="AC103" s="240" t="str">
        <f>IF(OR(
'PROD. 3º MÊS'!C21="Administrativo",
'PROD. 3º MÊS'!C21="Intermediário",
'PROD. 3º MÊS'!C21="Externo",
'PROD. 3º MÊS'!C21="Final"),"-",
'PROD. 3º MÊS'!C21)</f>
        <v>Ambulatório de Psiquiatria - Ambulatório de Psiquiatria</v>
      </c>
      <c r="AD103" s="241">
        <f t="shared" si="30"/>
        <v>48</v>
      </c>
      <c r="AE103" s="242">
        <f t="shared" si="31"/>
        <v>374.74</v>
      </c>
      <c r="AG103" s="240" t="str">
        <f>IF(OR(
'PROD. 2º MÊS'!C21="Administrativo",
'PROD. 2º MÊS'!C21="Intermediário",
'PROD. 2º MÊS'!C21="Externo",
'PROD. 2º MÊS'!C21="Final"),"-",
'PROD. 2º MÊS'!C21)</f>
        <v>Ambulatório de Neurologia - Ambulatório de Neurologia</v>
      </c>
      <c r="AH103" s="241">
        <f t="shared" si="32"/>
        <v>108</v>
      </c>
      <c r="AI103" s="242">
        <f t="shared" si="33"/>
        <v>365.46</v>
      </c>
      <c r="AK103" s="240" t="str">
        <f>IF(OR(
'PROD. 1º MÊS'!C21="Administrativo",
'PROD. 1º MÊS'!C21="Intermediário",
'PROD. 1º MÊS'!C21="Externo",
'PROD. 1º MÊS'!C21="Final"),"-",
'PROD. 1º MÊS'!C21)</f>
        <v>Ambulatório de Psiquiatria - Ambulatório de Psiquiatria</v>
      </c>
      <c r="AL103" s="241">
        <f t="shared" si="34"/>
        <v>64</v>
      </c>
      <c r="AM103" s="242">
        <f t="shared" si="35"/>
        <v>469.72</v>
      </c>
      <c r="AO103" s="342" t="str">
        <f t="shared" si="47"/>
        <v>Ambulatório de Neurologia - Ambulatório de Neurologia</v>
      </c>
      <c r="AP103" s="341" t="str">
        <f t="array" ref="AP103">IFERROR( INDEX( $AO$89:$AO$553, MATCH( 0, COUNTIF( $AP$87:AP102, $AO$89:$AO$553), 0)), "-")</f>
        <v>Ambulatório de Neurologia - Ambulatório de Neurologia</v>
      </c>
      <c r="AQ103" s="257" t="str">
        <f t="shared" si="36"/>
        <v>Ambulatório de Neurologia</v>
      </c>
      <c r="AR103" s="258">
        <f t="shared" si="39"/>
        <v>99</v>
      </c>
      <c r="AS103" s="259">
        <f t="shared" si="40"/>
        <v>108</v>
      </c>
      <c r="AT103" s="259">
        <f t="shared" si="41"/>
        <v>79</v>
      </c>
      <c r="AU103" s="260">
        <f t="shared" si="42"/>
        <v>114</v>
      </c>
      <c r="AV103" s="261">
        <f t="shared" si="43"/>
        <v>407.69</v>
      </c>
      <c r="AW103" s="262">
        <f t="shared" si="44"/>
        <v>365.46</v>
      </c>
      <c r="AX103" s="262">
        <f t="shared" si="45"/>
        <v>443.51</v>
      </c>
      <c r="AY103" s="263">
        <f t="shared" si="46"/>
        <v>315.95999999999998</v>
      </c>
      <c r="AZ103" s="264">
        <f t="shared" si="37"/>
        <v>100</v>
      </c>
      <c r="BA103" s="96">
        <f t="shared" si="38"/>
        <v>383.15499999999997</v>
      </c>
    </row>
    <row r="104" spans="1:53" ht="18.2" customHeight="1" x14ac:dyDescent="0.25">
      <c r="A104" s="79"/>
      <c r="B104" s="551"/>
      <c r="C104" s="551"/>
      <c r="D104" s="551"/>
      <c r="E104" s="551"/>
      <c r="F104" s="551"/>
      <c r="G104" s="551"/>
      <c r="H104" s="551"/>
      <c r="I104" s="551"/>
      <c r="J104" s="551"/>
      <c r="K104" s="551"/>
      <c r="L104" s="551"/>
      <c r="M104" s="551"/>
      <c r="N104" s="551"/>
      <c r="O104" s="551"/>
      <c r="P104" s="551"/>
      <c r="Q104" s="551"/>
      <c r="R104" s="79"/>
      <c r="W104" s="240" t="str">
        <f>IF(OR(
'PROD. 4º MÊS'!C22="Administrativo",
'PROD. 4º MÊS'!C22="Intermediário",
'PROD. 4º MÊS'!C22="Externo",
'PROD. 4º MÊS'!C22="Final"),"-",
'PROD. 4º MÊS'!C22)</f>
        <v>Ambulatório de Psiquiatria - Ambulatório de Psiquiatria</v>
      </c>
      <c r="X104" s="241">
        <f t="shared" si="28"/>
        <v>33</v>
      </c>
      <c r="Y104" s="242">
        <f t="shared" si="29"/>
        <v>973.6</v>
      </c>
      <c r="AC104" s="240" t="str">
        <f>IF(OR(
'PROD. 3º MÊS'!C22="Administrativo",
'PROD. 3º MÊS'!C22="Intermediário",
'PROD. 3º MÊS'!C22="Externo",
'PROD. 3º MÊS'!C22="Final"),"-",
'PROD. 3º MÊS'!C22)</f>
        <v>Ambulatório de Reumatologia - Ambulatório de Reumatologia</v>
      </c>
      <c r="AD104" s="241">
        <f t="shared" si="30"/>
        <v>69</v>
      </c>
      <c r="AE104" s="242">
        <f t="shared" si="31"/>
        <v>294.76</v>
      </c>
      <c r="AG104" s="240" t="str">
        <f>IF(OR(
'PROD. 2º MÊS'!C22="Administrativo",
'PROD. 2º MÊS'!C22="Intermediário",
'PROD. 2º MÊS'!C22="Externo",
'PROD. 2º MÊS'!C22="Final"),"-",
'PROD. 2º MÊS'!C22)</f>
        <v>Ambulatório de Psiquiatria - Ambulatório de Psiquiatria</v>
      </c>
      <c r="AH104" s="241">
        <f t="shared" si="32"/>
        <v>60</v>
      </c>
      <c r="AI104" s="242">
        <f t="shared" si="33"/>
        <v>446.63</v>
      </c>
      <c r="AK104" s="240" t="str">
        <f>IF(OR(
'PROD. 1º MÊS'!C22="Administrativo",
'PROD. 1º MÊS'!C22="Intermediário",
'PROD. 1º MÊS'!C22="Externo",
'PROD. 1º MÊS'!C22="Final"),"-",
'PROD. 1º MÊS'!C22)</f>
        <v>Ambulatório de Reumatologia - Ambulatório de Reumatologia</v>
      </c>
      <c r="AL104" s="241">
        <f t="shared" si="34"/>
        <v>136</v>
      </c>
      <c r="AM104" s="242">
        <f t="shared" si="35"/>
        <v>494.9</v>
      </c>
      <c r="AO104" s="342" t="str">
        <f t="shared" si="47"/>
        <v>Ambulatório de Psiquiatria - Ambulatório de Psiquiatria</v>
      </c>
      <c r="AP104" s="341" t="str">
        <f t="array" ref="AP104">IFERROR( INDEX( $AO$89:$AO$553, MATCH( 0, COUNTIF( $AP$87:AP103, $AO$89:$AO$553), 0)), "-")</f>
        <v>Ambulatório de Psiquiatria - Ambulatório de Psiquiatria</v>
      </c>
      <c r="AQ104" s="248" t="str">
        <f t="shared" si="36"/>
        <v>Ambulatório de Psiquiatria</v>
      </c>
      <c r="AR104" s="249">
        <f t="shared" si="39"/>
        <v>64</v>
      </c>
      <c r="AS104" s="250">
        <f t="shared" si="40"/>
        <v>60</v>
      </c>
      <c r="AT104" s="250">
        <f t="shared" si="41"/>
        <v>48</v>
      </c>
      <c r="AU104" s="251">
        <f t="shared" si="42"/>
        <v>33</v>
      </c>
      <c r="AV104" s="252">
        <f t="shared" si="43"/>
        <v>469.72</v>
      </c>
      <c r="AW104" s="253">
        <f t="shared" si="44"/>
        <v>446.63</v>
      </c>
      <c r="AX104" s="253">
        <f t="shared" si="45"/>
        <v>374.74</v>
      </c>
      <c r="AY104" s="254">
        <f t="shared" si="46"/>
        <v>973.6</v>
      </c>
      <c r="AZ104" s="255">
        <f t="shared" si="37"/>
        <v>51.25</v>
      </c>
      <c r="BA104" s="95">
        <f t="shared" si="38"/>
        <v>566.17250000000001</v>
      </c>
    </row>
    <row r="105" spans="1:53" ht="18.2" customHeight="1" x14ac:dyDescent="0.25">
      <c r="A105" s="79"/>
      <c r="B105" s="265"/>
      <c r="C105" s="265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79"/>
      <c r="W105" s="240" t="str">
        <f>IF(OR(
'PROD. 4º MÊS'!C23="Administrativo",
'PROD. 4º MÊS'!C23="Intermediário",
'PROD. 4º MÊS'!C23="Externo",
'PROD. 4º MÊS'!C23="Final"),"-",
'PROD. 4º MÊS'!C23)</f>
        <v>Ambulatório de Reumatologia - Ambulatório de Reumatologia</v>
      </c>
      <c r="X105" s="241">
        <f t="shared" si="28"/>
        <v>27</v>
      </c>
      <c r="Y105" s="242">
        <f t="shared" si="29"/>
        <v>734.26</v>
      </c>
      <c r="AC105" s="240" t="str">
        <f>IF(OR(
'PROD. 3º MÊS'!C23="Administrativo",
'PROD. 3º MÊS'!C23="Intermediário",
'PROD. 3º MÊS'!C23="Externo",
'PROD. 3º MÊS'!C23="Final"),"-",
'PROD. 3º MÊS'!C23)</f>
        <v>CrisDown - CrisDown</v>
      </c>
      <c r="AD105" s="241">
        <f t="shared" si="30"/>
        <v>2085</v>
      </c>
      <c r="AE105" s="242">
        <f t="shared" si="31"/>
        <v>240.02</v>
      </c>
      <c r="AG105" s="240" t="str">
        <f>IF(OR(
'PROD. 2º MÊS'!C23="Administrativo",
'PROD. 2º MÊS'!C23="Intermediário",
'PROD. 2º MÊS'!C23="Externo",
'PROD. 2º MÊS'!C23="Final"),"-",
'PROD. 2º MÊS'!C23)</f>
        <v>Ambulatório de Reumatologia - Ambulatório de Reumatologia</v>
      </c>
      <c r="AH105" s="241">
        <f t="shared" si="32"/>
        <v>84</v>
      </c>
      <c r="AI105" s="242">
        <f t="shared" si="33"/>
        <v>238.7</v>
      </c>
      <c r="AK105" s="240" t="str">
        <f>IF(OR(
'PROD. 1º MÊS'!C23="Administrativo",
'PROD. 1º MÊS'!C23="Intermediário",
'PROD. 1º MÊS'!C23="Externo",
'PROD. 1º MÊS'!C23="Final"),"-",
'PROD. 1º MÊS'!C23)</f>
        <v>CrisDown - CrisDown</v>
      </c>
      <c r="AL105" s="241">
        <f t="shared" si="34"/>
        <v>2569</v>
      </c>
      <c r="AM105" s="242">
        <f t="shared" si="35"/>
        <v>241.25</v>
      </c>
      <c r="AO105" s="342" t="str">
        <f t="shared" si="47"/>
        <v>Ambulatório de Reumatologia - Ambulatório de Reumatologia</v>
      </c>
      <c r="AP105" s="341" t="str">
        <f t="array" ref="AP105">IFERROR( INDEX( $AO$89:$AO$553, MATCH( 0, COUNTIF( $AP$87:AP104, $AO$89:$AO$553), 0)), "-")</f>
        <v>Ambulatório de Reumatologia - Ambulatório de Reumatologia</v>
      </c>
      <c r="AQ105" s="257" t="str">
        <f t="shared" si="36"/>
        <v>Ambulatório de Reumatologia</v>
      </c>
      <c r="AR105" s="258">
        <f t="shared" si="39"/>
        <v>136</v>
      </c>
      <c r="AS105" s="259">
        <f t="shared" si="40"/>
        <v>84</v>
      </c>
      <c r="AT105" s="259">
        <f t="shared" si="41"/>
        <v>69</v>
      </c>
      <c r="AU105" s="260">
        <f t="shared" si="42"/>
        <v>27</v>
      </c>
      <c r="AV105" s="261">
        <f t="shared" si="43"/>
        <v>494.9</v>
      </c>
      <c r="AW105" s="262">
        <f t="shared" si="44"/>
        <v>238.7</v>
      </c>
      <c r="AX105" s="262">
        <f t="shared" si="45"/>
        <v>294.76</v>
      </c>
      <c r="AY105" s="263">
        <f t="shared" si="46"/>
        <v>734.26</v>
      </c>
      <c r="AZ105" s="264">
        <f t="shared" si="37"/>
        <v>79</v>
      </c>
      <c r="BA105" s="96">
        <f t="shared" si="38"/>
        <v>440.65499999999997</v>
      </c>
    </row>
    <row r="106" spans="1:53" ht="18.2" customHeight="1" x14ac:dyDescent="0.25">
      <c r="A106" s="79"/>
      <c r="B106" s="265"/>
      <c r="C106" s="265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79"/>
      <c r="W106" s="240" t="str">
        <f>IF(OR(
'PROD. 4º MÊS'!C24="Administrativo",
'PROD. 4º MÊS'!C24="Intermediário",
'PROD. 4º MÊS'!C24="Externo",
'PROD. 4º MÊS'!C24="Final"),"-",
'PROD. 4º MÊS'!C24)</f>
        <v>CrisDown - CrisDown</v>
      </c>
      <c r="X106" s="241">
        <f t="shared" si="28"/>
        <v>2451</v>
      </c>
      <c r="Y106" s="242">
        <f t="shared" si="29"/>
        <v>231.33</v>
      </c>
      <c r="AC106" s="240" t="str">
        <f>IF(OR(
'PROD. 3º MÊS'!C24="Administrativo",
'PROD. 3º MÊS'!C24="Intermediário",
'PROD. 3º MÊS'!C24="Externo",
'PROD. 3º MÊS'!C24="Final"),"-",
'PROD. 3º MÊS'!C24)</f>
        <v>Ecocardiografia - Ecocardiografia</v>
      </c>
      <c r="AD106" s="241">
        <f t="shared" si="30"/>
        <v>214</v>
      </c>
      <c r="AE106" s="242">
        <f t="shared" si="31"/>
        <v>275.56</v>
      </c>
      <c r="AG106" s="240" t="str">
        <f>IF(OR(
'PROD. 2º MÊS'!C24="Administrativo",
'PROD. 2º MÊS'!C24="Intermediário",
'PROD. 2º MÊS'!C24="Externo",
'PROD. 2º MÊS'!C24="Final"),"-",
'PROD. 2º MÊS'!C24)</f>
        <v>CrisDown - CrisDown</v>
      </c>
      <c r="AH106" s="241">
        <f t="shared" si="32"/>
        <v>2612</v>
      </c>
      <c r="AI106" s="242">
        <f t="shared" si="33"/>
        <v>227.04</v>
      </c>
      <c r="AK106" s="240" t="str">
        <f>IF(OR(
'PROD. 1º MÊS'!C24="Administrativo",
'PROD. 1º MÊS'!C24="Intermediário",
'PROD. 1º MÊS'!C24="Externo",
'PROD. 1º MÊS'!C24="Final"),"-",
'PROD. 1º MÊS'!C24)</f>
        <v>Ecocardiografia - Ecocardiografia</v>
      </c>
      <c r="AL106" s="241">
        <f t="shared" si="34"/>
        <v>132</v>
      </c>
      <c r="AM106" s="242">
        <f t="shared" si="35"/>
        <v>437.87</v>
      </c>
      <c r="AO106" s="342" t="str">
        <f t="shared" si="47"/>
        <v>CrisDown - CrisDown</v>
      </c>
      <c r="AP106" s="341" t="str">
        <f t="array" ref="AP106">IFERROR( INDEX( $AO$89:$AO$553, MATCH( 0, COUNTIF( $AP$87:AP105, $AO$89:$AO$553), 0)), "-")</f>
        <v>CrisDown - CrisDown</v>
      </c>
      <c r="AQ106" s="248" t="str">
        <f t="shared" si="36"/>
        <v>CrisDown</v>
      </c>
      <c r="AR106" s="249">
        <f t="shared" si="39"/>
        <v>2569</v>
      </c>
      <c r="AS106" s="250">
        <f t="shared" si="40"/>
        <v>2612</v>
      </c>
      <c r="AT106" s="250">
        <f t="shared" si="41"/>
        <v>2085</v>
      </c>
      <c r="AU106" s="251">
        <f t="shared" si="42"/>
        <v>2451</v>
      </c>
      <c r="AV106" s="252">
        <f t="shared" si="43"/>
        <v>241.25</v>
      </c>
      <c r="AW106" s="253">
        <f t="shared" si="44"/>
        <v>227.04</v>
      </c>
      <c r="AX106" s="253">
        <f t="shared" si="45"/>
        <v>240.02</v>
      </c>
      <c r="AY106" s="254">
        <f t="shared" si="46"/>
        <v>231.33</v>
      </c>
      <c r="AZ106" s="255">
        <f t="shared" si="37"/>
        <v>2429.25</v>
      </c>
      <c r="BA106" s="95">
        <f t="shared" si="38"/>
        <v>234.91</v>
      </c>
    </row>
    <row r="107" spans="1:53" ht="18.2" customHeight="1" x14ac:dyDescent="0.25">
      <c r="A107" s="79"/>
      <c r="B107" s="265"/>
      <c r="C107" s="265"/>
      <c r="D107" s="265"/>
      <c r="E107" s="272"/>
      <c r="F107" s="273"/>
      <c r="G107" s="272"/>
      <c r="H107" s="272"/>
      <c r="I107" s="273"/>
      <c r="J107" s="272"/>
      <c r="K107" s="272"/>
      <c r="L107" s="273"/>
      <c r="M107" s="272"/>
      <c r="N107" s="272"/>
      <c r="O107" s="273"/>
      <c r="P107" s="272"/>
      <c r="Q107" s="265"/>
      <c r="R107" s="79"/>
      <c r="W107" s="240" t="str">
        <f>IF(OR(
'PROD. 4º MÊS'!C25="Administrativo",
'PROD. 4º MÊS'!C25="Intermediário",
'PROD. 4º MÊS'!C25="Externo",
'PROD. 4º MÊS'!C25="Final"),"-",
'PROD. 4º MÊS'!C25)</f>
        <v>Ecocardiografia - Ecocardiografia</v>
      </c>
      <c r="X107" s="241">
        <f t="shared" si="28"/>
        <v>229</v>
      </c>
      <c r="Y107" s="242">
        <f t="shared" si="29"/>
        <v>251.24</v>
      </c>
      <c r="AC107" s="240">
        <f>IF(OR(
'PROD. 3º MÊS'!C25="Administrativo",
'PROD. 3º MÊS'!C25="Intermediário",
'PROD. 3º MÊS'!C25="Externo",
'PROD. 3º MÊS'!C25="Final"),"-",
'PROD. 3º MÊS'!C25)</f>
        <v>0</v>
      </c>
      <c r="AD107" s="241" t="str">
        <f t="shared" si="30"/>
        <v>-</v>
      </c>
      <c r="AE107" s="242" t="str">
        <f t="shared" si="31"/>
        <v>-</v>
      </c>
      <c r="AG107" s="240" t="str">
        <f>IF(OR(
'PROD. 2º MÊS'!C25="Administrativo",
'PROD. 2º MÊS'!C25="Intermediário",
'PROD. 2º MÊS'!C25="Externo",
'PROD. 2º MÊS'!C25="Final"),"-",
'PROD. 2º MÊS'!C25)</f>
        <v>Ecocardiografia - Ecocardiografia</v>
      </c>
      <c r="AH107" s="241">
        <f t="shared" si="32"/>
        <v>187</v>
      </c>
      <c r="AI107" s="242">
        <f t="shared" si="33"/>
        <v>312.18</v>
      </c>
      <c r="AK107" s="240" t="str">
        <f>IF(OR(
'PROD. 1º MÊS'!C25="Administrativo",
'PROD. 1º MÊS'!C25="Intermediário",
'PROD. 1º MÊS'!C25="Externo",
'PROD. 1º MÊS'!C25="Final"),"-",
'PROD. 1º MÊS'!C25)</f>
        <v>Ecocardiografia - Ecocardiografia</v>
      </c>
      <c r="AL107" s="241">
        <f t="shared" si="34"/>
        <v>132</v>
      </c>
      <c r="AM107" s="242">
        <f t="shared" si="35"/>
        <v>437.87</v>
      </c>
      <c r="AO107" s="342" t="str">
        <f t="shared" si="47"/>
        <v>Ecocardiografia - Ecocardiografia</v>
      </c>
      <c r="AP107" s="341" t="str">
        <f t="array" ref="AP107">IFERROR( INDEX( $AO$89:$AO$553, MATCH( 0, COUNTIF( $AP$87:AP106, $AO$89:$AO$553), 0)), "-")</f>
        <v>Ecocardiografia - Ecocardiografia</v>
      </c>
      <c r="AQ107" s="257" t="str">
        <f t="shared" si="36"/>
        <v>Ecocardiografia</v>
      </c>
      <c r="AR107" s="258">
        <f t="shared" si="39"/>
        <v>132</v>
      </c>
      <c r="AS107" s="259">
        <f t="shared" si="40"/>
        <v>187</v>
      </c>
      <c r="AT107" s="259">
        <f t="shared" si="41"/>
        <v>214</v>
      </c>
      <c r="AU107" s="260">
        <f t="shared" si="42"/>
        <v>229</v>
      </c>
      <c r="AV107" s="261">
        <f t="shared" si="43"/>
        <v>437.87</v>
      </c>
      <c r="AW107" s="262">
        <f t="shared" si="44"/>
        <v>312.18</v>
      </c>
      <c r="AX107" s="262">
        <f t="shared" si="45"/>
        <v>275.56</v>
      </c>
      <c r="AY107" s="263">
        <f t="shared" si="46"/>
        <v>251.24</v>
      </c>
      <c r="AZ107" s="264">
        <f t="shared" si="37"/>
        <v>190.5</v>
      </c>
      <c r="BA107" s="96">
        <f t="shared" si="38"/>
        <v>319.21249999999998</v>
      </c>
    </row>
    <row r="108" spans="1:53" ht="25.5" customHeight="1" x14ac:dyDescent="0.25">
      <c r="A108" s="79"/>
      <c r="B108" s="460" t="s">
        <v>271</v>
      </c>
      <c r="C108" s="461"/>
      <c r="D108" s="461"/>
      <c r="E108" s="461"/>
      <c r="F108" s="461"/>
      <c r="G108" s="461"/>
      <c r="H108" s="461"/>
      <c r="I108" s="461"/>
      <c r="J108" s="462"/>
      <c r="K108" s="534" t="s">
        <v>182</v>
      </c>
      <c r="L108" s="534"/>
      <c r="M108" s="274">
        <f xml:space="preserve"> $Q$87</f>
        <v>0.3</v>
      </c>
      <c r="N108" s="275" t="s">
        <v>179</v>
      </c>
      <c r="O108" s="97">
        <f>K99</f>
        <v>0.37724788467503784</v>
      </c>
      <c r="P108" s="276" t="s">
        <v>180</v>
      </c>
      <c r="Q108" s="98">
        <f>K100</f>
        <v>0.32641535523994569</v>
      </c>
      <c r="R108" s="79"/>
      <c r="W108" s="240">
        <f>IF(OR(
'PROD. 4º MÊS'!C26="Administrativo",
'PROD. 4º MÊS'!C26="Intermediário",
'PROD. 4º MÊS'!C26="Externo",
'PROD. 4º MÊS'!C26="Final"),"-",
'PROD. 4º MÊS'!C26)</f>
        <v>0</v>
      </c>
      <c r="X108" s="241" t="str">
        <f t="shared" si="28"/>
        <v>-</v>
      </c>
      <c r="Y108" s="242" t="str">
        <f t="shared" si="29"/>
        <v>-</v>
      </c>
      <c r="AC108" s="240">
        <f>IF(OR(
'PROD. 3º MÊS'!C26="Administrativo",
'PROD. 3º MÊS'!C26="Intermediário",
'PROD. 3º MÊS'!C26="Externo",
'PROD. 3º MÊS'!C26="Final"),"-",
'PROD. 3º MÊS'!C26)</f>
        <v>0</v>
      </c>
      <c r="AD108" s="241" t="str">
        <f t="shared" si="30"/>
        <v>-</v>
      </c>
      <c r="AE108" s="242" t="str">
        <f t="shared" si="31"/>
        <v>-</v>
      </c>
      <c r="AG108" s="240">
        <f>IF(OR(
'PROD. 2º MÊS'!C26="Administrativo",
'PROD. 2º MÊS'!C26="Intermediário",
'PROD. 2º MÊS'!C26="Externo",
'PROD. 2º MÊS'!C26="Final"),"-",
'PROD. 2º MÊS'!C26)</f>
        <v>0</v>
      </c>
      <c r="AH108" s="241" t="str">
        <f t="shared" si="32"/>
        <v>-</v>
      </c>
      <c r="AI108" s="242" t="str">
        <f t="shared" si="33"/>
        <v>-</v>
      </c>
      <c r="AK108" s="240">
        <f>IF(OR(
'PROD. 1º MÊS'!C26="Administrativo",
'PROD. 1º MÊS'!C26="Intermediário",
'PROD. 1º MÊS'!C26="Externo",
'PROD. 1º MÊS'!C26="Final"),"-",
'PROD. 1º MÊS'!C26)</f>
        <v>0</v>
      </c>
      <c r="AL108" s="241" t="str">
        <f t="shared" si="34"/>
        <v>-</v>
      </c>
      <c r="AM108" s="242" t="str">
        <f t="shared" si="35"/>
        <v>-</v>
      </c>
      <c r="AO108" s="342">
        <f t="shared" si="47"/>
        <v>0</v>
      </c>
      <c r="AP108" s="341" t="str">
        <f t="array" ref="AP108">IFERROR( INDEX( $AO$89:$AO$553, MATCH( 0, COUNTIF( $AP$87:AP107, $AO$89:$AO$553), 0)), "-")</f>
        <v>-</v>
      </c>
      <c r="AQ108" s="248" t="str">
        <f t="shared" si="36"/>
        <v>-</v>
      </c>
      <c r="AR108" s="249" t="str">
        <f t="shared" si="39"/>
        <v>-</v>
      </c>
      <c r="AS108" s="250" t="str">
        <f t="shared" si="40"/>
        <v>-</v>
      </c>
      <c r="AT108" s="250" t="str">
        <f t="shared" si="41"/>
        <v>-</v>
      </c>
      <c r="AU108" s="251" t="str">
        <f t="shared" si="42"/>
        <v>-</v>
      </c>
      <c r="AV108" s="252" t="str">
        <f t="shared" si="43"/>
        <v>-</v>
      </c>
      <c r="AW108" s="253" t="str">
        <f t="shared" si="44"/>
        <v>-</v>
      </c>
      <c r="AX108" s="253" t="str">
        <f t="shared" si="45"/>
        <v>-</v>
      </c>
      <c r="AY108" s="254" t="str">
        <f t="shared" si="46"/>
        <v>-</v>
      </c>
      <c r="AZ108" s="255" t="str">
        <f t="shared" si="37"/>
        <v>-</v>
      </c>
      <c r="BA108" s="95" t="str">
        <f t="shared" si="38"/>
        <v>-</v>
      </c>
    </row>
    <row r="109" spans="1:53" ht="18.2" customHeight="1" x14ac:dyDescent="0.25">
      <c r="A109" s="79"/>
      <c r="B109" s="545"/>
      <c r="C109" s="545"/>
      <c r="D109" s="545"/>
      <c r="E109" s="545"/>
      <c r="F109" s="545"/>
      <c r="G109" s="545"/>
      <c r="H109" s="545"/>
      <c r="I109" s="545"/>
      <c r="J109" s="545"/>
      <c r="K109" s="545"/>
      <c r="L109" s="545"/>
      <c r="M109" s="545"/>
      <c r="N109" s="545"/>
      <c r="O109" s="545"/>
      <c r="P109" s="545"/>
      <c r="Q109" s="545"/>
      <c r="R109" s="79"/>
      <c r="W109" s="240">
        <f>IF(OR(
'PROD. 4º MÊS'!C27="Administrativo",
'PROD. 4º MÊS'!C27="Intermediário",
'PROD. 4º MÊS'!C27="Externo",
'PROD. 4º MÊS'!C27="Final"),"-",
'PROD. 4º MÊS'!C27)</f>
        <v>0</v>
      </c>
      <c r="X109" s="241" t="str">
        <f t="shared" si="28"/>
        <v>-</v>
      </c>
      <c r="Y109" s="242" t="str">
        <f t="shared" si="29"/>
        <v>-</v>
      </c>
      <c r="AC109" s="240">
        <f>IF(OR(
'PROD. 3º MÊS'!C27="Administrativo",
'PROD. 3º MÊS'!C27="Intermediário",
'PROD. 3º MÊS'!C27="Externo",
'PROD. 3º MÊS'!C27="Final"),"-",
'PROD. 3º MÊS'!C27)</f>
        <v>0</v>
      </c>
      <c r="AD109" s="241" t="str">
        <f t="shared" si="30"/>
        <v>-</v>
      </c>
      <c r="AE109" s="242" t="str">
        <f t="shared" si="31"/>
        <v>-</v>
      </c>
      <c r="AG109" s="240">
        <f>IF(OR(
'PROD. 2º MÊS'!C27="Administrativo",
'PROD. 2º MÊS'!C27="Intermediário",
'PROD. 2º MÊS'!C27="Externo",
'PROD. 2º MÊS'!C27="Final"),"-",
'PROD. 2º MÊS'!C27)</f>
        <v>0</v>
      </c>
      <c r="AH109" s="241" t="str">
        <f t="shared" si="32"/>
        <v>-</v>
      </c>
      <c r="AI109" s="242" t="str">
        <f t="shared" si="33"/>
        <v>-</v>
      </c>
      <c r="AK109" s="240">
        <f>IF(OR(
'PROD. 1º MÊS'!C27="Administrativo",
'PROD. 1º MÊS'!C27="Intermediário",
'PROD. 1º MÊS'!C27="Externo",
'PROD. 1º MÊS'!C27="Final"),"-",
'PROD. 1º MÊS'!C27)</f>
        <v>0</v>
      </c>
      <c r="AL109" s="241" t="str">
        <f t="shared" si="34"/>
        <v>-</v>
      </c>
      <c r="AM109" s="242" t="str">
        <f t="shared" si="35"/>
        <v>-</v>
      </c>
      <c r="AO109" s="342">
        <f t="shared" si="47"/>
        <v>0</v>
      </c>
      <c r="AP109" s="341" t="str">
        <f t="array" ref="AP109">IFERROR( INDEX( $AO$89:$AO$553, MATCH( 0, COUNTIF( $AP$87:AP108, $AO$89:$AO$553), 0)), "-")</f>
        <v>-</v>
      </c>
      <c r="AQ109" s="257" t="str">
        <f t="shared" si="36"/>
        <v>-</v>
      </c>
      <c r="AR109" s="258" t="str">
        <f t="shared" si="39"/>
        <v>-</v>
      </c>
      <c r="AS109" s="259" t="str">
        <f t="shared" si="40"/>
        <v>-</v>
      </c>
      <c r="AT109" s="259" t="str">
        <f t="shared" si="41"/>
        <v>-</v>
      </c>
      <c r="AU109" s="260" t="str">
        <f t="shared" si="42"/>
        <v>-</v>
      </c>
      <c r="AV109" s="261" t="str">
        <f t="shared" si="43"/>
        <v>-</v>
      </c>
      <c r="AW109" s="262" t="str">
        <f t="shared" si="44"/>
        <v>-</v>
      </c>
      <c r="AX109" s="262" t="str">
        <f t="shared" si="45"/>
        <v>-</v>
      </c>
      <c r="AY109" s="263" t="str">
        <f t="shared" si="46"/>
        <v>-</v>
      </c>
      <c r="AZ109" s="264" t="str">
        <f t="shared" si="37"/>
        <v>-</v>
      </c>
      <c r="BA109" s="96" t="str">
        <f t="shared" si="38"/>
        <v>-</v>
      </c>
    </row>
    <row r="110" spans="1:53" ht="18.2" customHeight="1" x14ac:dyDescent="0.25">
      <c r="A110" s="375"/>
      <c r="B110" s="704" t="s">
        <v>168</v>
      </c>
      <c r="C110" s="704"/>
      <c r="D110" s="704"/>
      <c r="E110" s="704"/>
      <c r="F110" s="704"/>
      <c r="G110" s="704"/>
      <c r="H110" s="704"/>
      <c r="I110" s="704"/>
      <c r="J110" s="704"/>
      <c r="K110" s="704"/>
      <c r="L110" s="704"/>
      <c r="M110" s="704"/>
      <c r="N110" s="704"/>
      <c r="O110" s="704"/>
      <c r="P110" s="704"/>
      <c r="Q110" s="704"/>
      <c r="R110" s="79"/>
      <c r="W110" s="240">
        <f>IF(OR(
'PROD. 4º MÊS'!C28="Administrativo",
'PROD. 4º MÊS'!C28="Intermediário",
'PROD. 4º MÊS'!C28="Externo",
'PROD. 4º MÊS'!C28="Final"),"-",
'PROD. 4º MÊS'!C28)</f>
        <v>0</v>
      </c>
      <c r="X110" s="241" t="str">
        <f t="shared" si="28"/>
        <v>-</v>
      </c>
      <c r="Y110" s="242" t="str">
        <f t="shared" si="29"/>
        <v>-</v>
      </c>
      <c r="AC110" s="240">
        <f>IF(OR(
'PROD. 3º MÊS'!C28="Administrativo",
'PROD. 3º MÊS'!C28="Intermediário",
'PROD. 3º MÊS'!C28="Externo",
'PROD. 3º MÊS'!C28="Final"),"-",
'PROD. 3º MÊS'!C28)</f>
        <v>0</v>
      </c>
      <c r="AD110" s="241" t="str">
        <f t="shared" si="30"/>
        <v>-</v>
      </c>
      <c r="AE110" s="242" t="str">
        <f t="shared" si="31"/>
        <v>-</v>
      </c>
      <c r="AG110" s="240">
        <f>IF(OR(
'PROD. 2º MÊS'!C28="Administrativo",
'PROD. 2º MÊS'!C28="Intermediário",
'PROD. 2º MÊS'!C28="Externo",
'PROD. 2º MÊS'!C28="Final"),"-",
'PROD. 2º MÊS'!C28)</f>
        <v>0</v>
      </c>
      <c r="AH110" s="241" t="str">
        <f t="shared" si="32"/>
        <v>-</v>
      </c>
      <c r="AI110" s="242" t="str">
        <f t="shared" si="33"/>
        <v>-</v>
      </c>
      <c r="AK110" s="240">
        <f>IF(OR(
'PROD. 1º MÊS'!C28="Administrativo",
'PROD. 1º MÊS'!C28="Intermediário",
'PROD. 1º MÊS'!C28="Externo",
'PROD. 1º MÊS'!C28="Final"),"-",
'PROD. 1º MÊS'!C28)</f>
        <v>0</v>
      </c>
      <c r="AL110" s="241" t="str">
        <f t="shared" si="34"/>
        <v>-</v>
      </c>
      <c r="AM110" s="242" t="str">
        <f t="shared" si="35"/>
        <v>-</v>
      </c>
      <c r="AO110" s="342">
        <f t="shared" si="47"/>
        <v>0</v>
      </c>
      <c r="AP110" s="341" t="str">
        <f t="array" ref="AP110">IFERROR( INDEX( $AO$89:$AO$553, MATCH( 0, COUNTIF( $AP$87:AP109, $AO$89:$AO$553), 0)), "-")</f>
        <v>-</v>
      </c>
      <c r="AQ110" s="248" t="str">
        <f t="shared" si="36"/>
        <v>-</v>
      </c>
      <c r="AR110" s="249" t="str">
        <f t="shared" si="39"/>
        <v>-</v>
      </c>
      <c r="AS110" s="250" t="str">
        <f t="shared" si="40"/>
        <v>-</v>
      </c>
      <c r="AT110" s="250" t="str">
        <f t="shared" si="41"/>
        <v>-</v>
      </c>
      <c r="AU110" s="251" t="str">
        <f t="shared" si="42"/>
        <v>-</v>
      </c>
      <c r="AV110" s="252" t="str">
        <f t="shared" si="43"/>
        <v>-</v>
      </c>
      <c r="AW110" s="253" t="str">
        <f t="shared" si="44"/>
        <v>-</v>
      </c>
      <c r="AX110" s="253" t="str">
        <f t="shared" si="45"/>
        <v>-</v>
      </c>
      <c r="AY110" s="254" t="str">
        <f t="shared" si="46"/>
        <v>-</v>
      </c>
      <c r="AZ110" s="255" t="str">
        <f t="shared" si="37"/>
        <v>-</v>
      </c>
      <c r="BA110" s="95" t="str">
        <f t="shared" si="38"/>
        <v>-</v>
      </c>
    </row>
    <row r="111" spans="1:53" ht="18.2" customHeight="1" x14ac:dyDescent="0.25">
      <c r="A111" s="79"/>
      <c r="B111" s="277"/>
      <c r="C111" s="277"/>
      <c r="D111" s="277"/>
      <c r="E111" s="277"/>
      <c r="F111" s="277"/>
      <c r="G111" s="277"/>
      <c r="H111" s="277"/>
      <c r="I111" s="277"/>
      <c r="J111" s="277"/>
      <c r="K111" s="277"/>
      <c r="L111" s="277"/>
      <c r="M111" s="277"/>
      <c r="N111" s="277"/>
      <c r="O111" s="277"/>
      <c r="P111" s="277"/>
      <c r="Q111" s="277"/>
      <c r="R111" s="79"/>
      <c r="W111" s="240">
        <f>IF(OR(
'PROD. 4º MÊS'!C29="Administrativo",
'PROD. 4º MÊS'!C29="Intermediário",
'PROD. 4º MÊS'!C29="Externo",
'PROD. 4º MÊS'!C29="Final"),"-",
'PROD. 4º MÊS'!C29)</f>
        <v>0</v>
      </c>
      <c r="X111" s="241" t="str">
        <f t="shared" si="28"/>
        <v>-</v>
      </c>
      <c r="Y111" s="242" t="str">
        <f t="shared" si="29"/>
        <v>-</v>
      </c>
      <c r="AC111" s="240">
        <f>IF(OR(
'PROD. 3º MÊS'!C29="Administrativo",
'PROD. 3º MÊS'!C29="Intermediário",
'PROD. 3º MÊS'!C29="Externo",
'PROD. 3º MÊS'!C29="Final"),"-",
'PROD. 3º MÊS'!C29)</f>
        <v>0</v>
      </c>
      <c r="AD111" s="241" t="str">
        <f t="shared" si="30"/>
        <v>-</v>
      </c>
      <c r="AE111" s="242" t="str">
        <f t="shared" si="31"/>
        <v>-</v>
      </c>
      <c r="AG111" s="240">
        <f>IF(OR(
'PROD. 2º MÊS'!C29="Administrativo",
'PROD. 2º MÊS'!C29="Intermediário",
'PROD. 2º MÊS'!C29="Externo",
'PROD. 2º MÊS'!C29="Final"),"-",
'PROD. 2º MÊS'!C29)</f>
        <v>0</v>
      </c>
      <c r="AH111" s="241" t="str">
        <f t="shared" si="32"/>
        <v>-</v>
      </c>
      <c r="AI111" s="242" t="str">
        <f t="shared" si="33"/>
        <v>-</v>
      </c>
      <c r="AK111" s="240">
        <f>IF(OR(
'PROD. 1º MÊS'!C29="Administrativo",
'PROD. 1º MÊS'!C29="Intermediário",
'PROD. 1º MÊS'!C29="Externo",
'PROD. 1º MÊS'!C29="Final"),"-",
'PROD. 1º MÊS'!C29)</f>
        <v>0</v>
      </c>
      <c r="AL111" s="241" t="str">
        <f t="shared" si="34"/>
        <v>-</v>
      </c>
      <c r="AM111" s="242" t="str">
        <f t="shared" si="35"/>
        <v>-</v>
      </c>
      <c r="AO111" s="342">
        <f t="shared" si="47"/>
        <v>0</v>
      </c>
      <c r="AP111" s="341" t="str">
        <f t="array" ref="AP111">IFERROR( INDEX( $AO$89:$AO$553, MATCH( 0, COUNTIF( $AP$87:AP110, $AO$89:$AO$553), 0)), "-")</f>
        <v>-</v>
      </c>
      <c r="AQ111" s="257" t="str">
        <f t="shared" si="36"/>
        <v>-</v>
      </c>
      <c r="AR111" s="258" t="str">
        <f t="shared" si="39"/>
        <v>-</v>
      </c>
      <c r="AS111" s="259" t="str">
        <f t="shared" si="40"/>
        <v>-</v>
      </c>
      <c r="AT111" s="259" t="str">
        <f t="shared" si="41"/>
        <v>-</v>
      </c>
      <c r="AU111" s="260" t="str">
        <f t="shared" si="42"/>
        <v>-</v>
      </c>
      <c r="AV111" s="261" t="str">
        <f t="shared" si="43"/>
        <v>-</v>
      </c>
      <c r="AW111" s="262" t="str">
        <f t="shared" si="44"/>
        <v>-</v>
      </c>
      <c r="AX111" s="262" t="str">
        <f t="shared" si="45"/>
        <v>-</v>
      </c>
      <c r="AY111" s="263" t="str">
        <f t="shared" si="46"/>
        <v>-</v>
      </c>
      <c r="AZ111" s="264" t="str">
        <f t="shared" si="37"/>
        <v>-</v>
      </c>
      <c r="BA111" s="96" t="str">
        <f t="shared" si="38"/>
        <v>-</v>
      </c>
    </row>
    <row r="112" spans="1:53" ht="18.2" customHeight="1" x14ac:dyDescent="0.25">
      <c r="A112" s="79"/>
      <c r="B112" s="277"/>
      <c r="C112" s="277"/>
      <c r="D112" s="277"/>
      <c r="E112" s="277"/>
      <c r="F112" s="277"/>
      <c r="G112" s="277"/>
      <c r="H112" s="277"/>
      <c r="I112" s="277"/>
      <c r="J112" s="277"/>
      <c r="K112" s="277"/>
      <c r="L112" s="277"/>
      <c r="M112" s="277"/>
      <c r="N112" s="277"/>
      <c r="O112" s="277"/>
      <c r="P112" s="277"/>
      <c r="Q112" s="277"/>
      <c r="R112" s="79"/>
      <c r="W112" s="240">
        <f>IF(OR(
'PROD. 4º MÊS'!C30="Administrativo",
'PROD. 4º MÊS'!C30="Intermediário",
'PROD. 4º MÊS'!C30="Externo",
'PROD. 4º MÊS'!C30="Final"),"-",
'PROD. 4º MÊS'!C30)</f>
        <v>0</v>
      </c>
      <c r="X112" s="241" t="str">
        <f t="shared" si="28"/>
        <v>-</v>
      </c>
      <c r="Y112" s="242" t="str">
        <f t="shared" si="29"/>
        <v>-</v>
      </c>
      <c r="AC112" s="240">
        <f>IF(OR(
'PROD. 3º MÊS'!C30="Administrativo",
'PROD. 3º MÊS'!C30="Intermediário",
'PROD. 3º MÊS'!C30="Externo",
'PROD. 3º MÊS'!C30="Final"),"-",
'PROD. 3º MÊS'!C30)</f>
        <v>0</v>
      </c>
      <c r="AD112" s="241" t="str">
        <f t="shared" si="30"/>
        <v>-</v>
      </c>
      <c r="AE112" s="242" t="str">
        <f t="shared" si="31"/>
        <v>-</v>
      </c>
      <c r="AG112" s="240">
        <f>IF(OR(
'PROD. 2º MÊS'!C30="Administrativo",
'PROD. 2º MÊS'!C30="Intermediário",
'PROD. 2º MÊS'!C30="Externo",
'PROD. 2º MÊS'!C30="Final"),"-",
'PROD. 2º MÊS'!C30)</f>
        <v>0</v>
      </c>
      <c r="AH112" s="241" t="str">
        <f t="shared" si="32"/>
        <v>-</v>
      </c>
      <c r="AI112" s="242" t="str">
        <f t="shared" si="33"/>
        <v>-</v>
      </c>
      <c r="AK112" s="240">
        <f>IF(OR(
'PROD. 1º MÊS'!C30="Administrativo",
'PROD. 1º MÊS'!C30="Intermediário",
'PROD. 1º MÊS'!C30="Externo",
'PROD. 1º MÊS'!C30="Final"),"-",
'PROD. 1º MÊS'!C30)</f>
        <v>0</v>
      </c>
      <c r="AL112" s="241" t="str">
        <f t="shared" si="34"/>
        <v>-</v>
      </c>
      <c r="AM112" s="242" t="str">
        <f t="shared" si="35"/>
        <v>-</v>
      </c>
      <c r="AO112" s="342">
        <f t="shared" si="47"/>
        <v>0</v>
      </c>
      <c r="AP112" s="344" t="str">
        <f t="array" ref="AP112">IFERROR( INDEX( $AO$89:$AO$553, MATCH( 0, COUNTIF( $AP$87:AP111, $AO$89:$AO$553), 0)), "-")</f>
        <v>-</v>
      </c>
      <c r="AQ112" s="248" t="str">
        <f t="shared" si="36"/>
        <v>-</v>
      </c>
      <c r="AR112" s="249" t="str">
        <f t="shared" si="39"/>
        <v>-</v>
      </c>
      <c r="AS112" s="250" t="str">
        <f t="shared" si="40"/>
        <v>-</v>
      </c>
      <c r="AT112" s="250" t="str">
        <f t="shared" si="41"/>
        <v>-</v>
      </c>
      <c r="AU112" s="251" t="str">
        <f t="shared" si="42"/>
        <v>-</v>
      </c>
      <c r="AV112" s="252" t="str">
        <f t="shared" si="43"/>
        <v>-</v>
      </c>
      <c r="AW112" s="253" t="str">
        <f t="shared" si="44"/>
        <v>-</v>
      </c>
      <c r="AX112" s="253" t="str">
        <f t="shared" si="45"/>
        <v>-</v>
      </c>
      <c r="AY112" s="254" t="str">
        <f t="shared" si="46"/>
        <v>-</v>
      </c>
      <c r="AZ112" s="255" t="str">
        <f t="shared" si="37"/>
        <v>-</v>
      </c>
      <c r="BA112" s="95" t="str">
        <f t="shared" si="38"/>
        <v>-</v>
      </c>
    </row>
    <row r="113" spans="1:53" ht="18.2" customHeight="1" x14ac:dyDescent="0.25">
      <c r="A113" s="79"/>
      <c r="B113" s="277"/>
      <c r="C113" s="269"/>
      <c r="D113" s="266" t="str">
        <f xml:space="preserve"> CONCATENATE( "PRODUÇÃO e CUSTO MÉDIO de:  ", UPPER($D$114))</f>
        <v>PRODUÇÃO e CUSTO MÉDIO de:  AMBULATÓRIO DE GERIATRIA</v>
      </c>
      <c r="E113" s="265"/>
      <c r="F113" s="265"/>
      <c r="G113" s="265"/>
      <c r="H113" s="265"/>
      <c r="I113" s="265"/>
      <c r="J113" s="265"/>
      <c r="K113" s="265"/>
      <c r="L113" s="277"/>
      <c r="M113" s="277"/>
      <c r="N113" s="277"/>
      <c r="O113" s="277"/>
      <c r="P113" s="277"/>
      <c r="Q113" s="277"/>
      <c r="R113" s="79"/>
      <c r="W113" s="240">
        <f>IF(OR(
'PROD. 4º MÊS'!C31="Administrativo",
'PROD. 4º MÊS'!C31="Intermediário",
'PROD. 4º MÊS'!C31="Externo",
'PROD. 4º MÊS'!C31="Final"),"-",
'PROD. 4º MÊS'!C31)</f>
        <v>0</v>
      </c>
      <c r="X113" s="241" t="str">
        <f t="shared" si="28"/>
        <v>-</v>
      </c>
      <c r="Y113" s="242" t="str">
        <f t="shared" si="29"/>
        <v>-</v>
      </c>
      <c r="AC113" s="240">
        <f>IF(OR(
'PROD. 3º MÊS'!C31="Administrativo",
'PROD. 3º MÊS'!C31="Intermediário",
'PROD. 3º MÊS'!C31="Externo",
'PROD. 3º MÊS'!C31="Final"),"-",
'PROD. 3º MÊS'!C31)</f>
        <v>0</v>
      </c>
      <c r="AD113" s="241" t="str">
        <f t="shared" si="30"/>
        <v>-</v>
      </c>
      <c r="AE113" s="242" t="str">
        <f t="shared" si="31"/>
        <v>-</v>
      </c>
      <c r="AG113" s="240">
        <f>IF(OR(
'PROD. 2º MÊS'!C31="Administrativo",
'PROD. 2º MÊS'!C31="Intermediário",
'PROD. 2º MÊS'!C31="Externo",
'PROD. 2º MÊS'!C31="Final"),"-",
'PROD. 2º MÊS'!C31)</f>
        <v>0</v>
      </c>
      <c r="AH113" s="241" t="str">
        <f t="shared" si="32"/>
        <v>-</v>
      </c>
      <c r="AI113" s="242" t="str">
        <f t="shared" si="33"/>
        <v>-</v>
      </c>
      <c r="AK113" s="240">
        <f>IF(OR(
'PROD. 1º MÊS'!C31="Administrativo",
'PROD. 1º MÊS'!C31="Intermediário",
'PROD. 1º MÊS'!C31="Externo",
'PROD. 1º MÊS'!C31="Final"),"-",
'PROD. 1º MÊS'!C31)</f>
        <v>0</v>
      </c>
      <c r="AL113" s="241" t="str">
        <f t="shared" si="34"/>
        <v>-</v>
      </c>
      <c r="AM113" s="242" t="str">
        <f t="shared" si="35"/>
        <v>-</v>
      </c>
      <c r="AO113" s="342">
        <f t="shared" si="47"/>
        <v>0</v>
      </c>
      <c r="AP113" s="341" t="str">
        <f t="array" ref="AP113">IFERROR( INDEX( $AO$89:$AO$553, MATCH( 0, COUNTIF( $AP$87:AP112, $AO$89:$AO$553), 0)), "-")</f>
        <v>-</v>
      </c>
      <c r="AQ113" s="257" t="str">
        <f t="shared" si="36"/>
        <v>-</v>
      </c>
      <c r="AR113" s="258" t="str">
        <f t="shared" si="39"/>
        <v>-</v>
      </c>
      <c r="AS113" s="259" t="str">
        <f t="shared" si="40"/>
        <v>-</v>
      </c>
      <c r="AT113" s="259" t="str">
        <f t="shared" si="41"/>
        <v>-</v>
      </c>
      <c r="AU113" s="260" t="str">
        <f t="shared" si="42"/>
        <v>-</v>
      </c>
      <c r="AV113" s="261" t="str">
        <f t="shared" si="43"/>
        <v>-</v>
      </c>
      <c r="AW113" s="262" t="str">
        <f t="shared" si="44"/>
        <v>-</v>
      </c>
      <c r="AX113" s="262" t="str">
        <f t="shared" si="45"/>
        <v>-</v>
      </c>
      <c r="AY113" s="263" t="str">
        <f t="shared" si="46"/>
        <v>-</v>
      </c>
      <c r="AZ113" s="264" t="str">
        <f t="shared" si="37"/>
        <v>-</v>
      </c>
      <c r="BA113" s="96" t="str">
        <f t="shared" si="38"/>
        <v>-</v>
      </c>
    </row>
    <row r="114" spans="1:53" ht="18.2" customHeight="1" x14ac:dyDescent="0.25">
      <c r="A114" s="79"/>
      <c r="B114" s="277"/>
      <c r="C114" s="267" t="s">
        <v>167</v>
      </c>
      <c r="D114" s="265" t="str">
        <f>RELATÓRIO!$B$121</f>
        <v>Ambulatório de Geriatria</v>
      </c>
      <c r="E114" s="268" t="str">
        <f>$AR$88</f>
        <v>JAN-25</v>
      </c>
      <c r="F114" s="268" t="str">
        <f>$AS$88</f>
        <v>FEV-25</v>
      </c>
      <c r="G114" s="268" t="str">
        <f>$AT$88</f>
        <v>MAR-25</v>
      </c>
      <c r="H114" s="268" t="str">
        <f>$AU$88</f>
        <v>ABR-25</v>
      </c>
      <c r="I114" s="265" t="s">
        <v>162</v>
      </c>
      <c r="J114" s="265" t="s">
        <v>163</v>
      </c>
      <c r="K114" s="265" t="s">
        <v>164</v>
      </c>
      <c r="L114" s="277"/>
      <c r="M114" s="277"/>
      <c r="N114" s="277"/>
      <c r="O114" s="277"/>
      <c r="P114" s="277"/>
      <c r="Q114" s="277"/>
      <c r="R114" s="79"/>
      <c r="W114" s="240">
        <f>IF(OR(
'PROD. 4º MÊS'!C32="Administrativo",
'PROD. 4º MÊS'!C32="Intermediário",
'PROD. 4º MÊS'!C32="Externo",
'PROD. 4º MÊS'!C32="Final"),"-",
'PROD. 4º MÊS'!C32)</f>
        <v>0</v>
      </c>
      <c r="X114" s="241" t="str">
        <f t="shared" si="28"/>
        <v>-</v>
      </c>
      <c r="Y114" s="242" t="str">
        <f t="shared" si="29"/>
        <v>-</v>
      </c>
      <c r="AC114" s="240">
        <f>IF(OR(
'PROD. 3º MÊS'!C32="Administrativo",
'PROD. 3º MÊS'!C32="Intermediário",
'PROD. 3º MÊS'!C32="Externo",
'PROD. 3º MÊS'!C32="Final"),"-",
'PROD. 3º MÊS'!C32)</f>
        <v>0</v>
      </c>
      <c r="AD114" s="241" t="str">
        <f t="shared" si="30"/>
        <v>-</v>
      </c>
      <c r="AE114" s="242" t="str">
        <f t="shared" si="31"/>
        <v>-</v>
      </c>
      <c r="AG114" s="240">
        <f>IF(OR(
'PROD. 2º MÊS'!C32="Administrativo",
'PROD. 2º MÊS'!C32="Intermediário",
'PROD. 2º MÊS'!C32="Externo",
'PROD. 2º MÊS'!C32="Final"),"-",
'PROD. 2º MÊS'!C32)</f>
        <v>0</v>
      </c>
      <c r="AH114" s="241" t="str">
        <f t="shared" si="32"/>
        <v>-</v>
      </c>
      <c r="AI114" s="242" t="str">
        <f t="shared" si="33"/>
        <v>-</v>
      </c>
      <c r="AK114" s="240">
        <f>IF(OR(
'PROD. 1º MÊS'!C32="Administrativo",
'PROD. 1º MÊS'!C32="Intermediário",
'PROD. 1º MÊS'!C32="Externo",
'PROD. 1º MÊS'!C32="Final"),"-",
'PROD. 1º MÊS'!C32)</f>
        <v>0</v>
      </c>
      <c r="AL114" s="241" t="str">
        <f t="shared" si="34"/>
        <v>-</v>
      </c>
      <c r="AM114" s="242" t="str">
        <f t="shared" si="35"/>
        <v>-</v>
      </c>
      <c r="AO114" s="342">
        <f t="shared" si="47"/>
        <v>0</v>
      </c>
      <c r="AP114" s="341" t="str">
        <f t="array" ref="AP114">IFERROR( INDEX( $AO$89:$AO$553, MATCH( 0, COUNTIF( $AP$87:AP113, $AO$89:$AO$553), 0)), "-")</f>
        <v>-</v>
      </c>
      <c r="AQ114" s="248" t="str">
        <f t="shared" si="36"/>
        <v>-</v>
      </c>
      <c r="AR114" s="249" t="str">
        <f t="shared" si="39"/>
        <v>-</v>
      </c>
      <c r="AS114" s="250" t="str">
        <f t="shared" si="40"/>
        <v>-</v>
      </c>
      <c r="AT114" s="250" t="str">
        <f t="shared" si="41"/>
        <v>-</v>
      </c>
      <c r="AU114" s="251" t="str">
        <f t="shared" si="42"/>
        <v>-</v>
      </c>
      <c r="AV114" s="252" t="str">
        <f t="shared" si="43"/>
        <v>-</v>
      </c>
      <c r="AW114" s="253" t="str">
        <f t="shared" si="44"/>
        <v>-</v>
      </c>
      <c r="AX114" s="253" t="str">
        <f t="shared" si="45"/>
        <v>-</v>
      </c>
      <c r="AY114" s="254" t="str">
        <f t="shared" si="46"/>
        <v>-</v>
      </c>
      <c r="AZ114" s="255" t="str">
        <f t="shared" si="37"/>
        <v>-</v>
      </c>
      <c r="BA114" s="95" t="str">
        <f t="shared" si="38"/>
        <v>-</v>
      </c>
    </row>
    <row r="115" spans="1:53" ht="18.2" customHeight="1" x14ac:dyDescent="0.25">
      <c r="A115" s="79"/>
      <c r="B115" s="277"/>
      <c r="C115" s="265"/>
      <c r="D115" s="265" t="s">
        <v>100</v>
      </c>
      <c r="E115" s="265">
        <f>VLOOKUP($D$114,$AQ$89:$AY$225,2,FALSE)</f>
        <v>108</v>
      </c>
      <c r="F115" s="265">
        <f>VLOOKUP($D$114,$AQ$89:$AY$225,3,FALSE)</f>
        <v>322</v>
      </c>
      <c r="G115" s="265">
        <f>VLOOKUP($D$114,$AQ$89:$AY$225,4,FALSE)</f>
        <v>318</v>
      </c>
      <c r="H115" s="265">
        <f>VLOOKUP($D$114,$AQ$89:$AY$225,5,FALSE)</f>
        <v>303</v>
      </c>
      <c r="I115" s="265">
        <f>AVERAGE(E115:H115)</f>
        <v>262.75</v>
      </c>
      <c r="J115" s="270">
        <f>_xlfn.STDEV.S(E115:H115)</f>
        <v>103.49033771323775</v>
      </c>
      <c r="K115" s="76">
        <f>IFERROR( J115 / I115, "-")</f>
        <v>0.39387378768120934</v>
      </c>
      <c r="L115" s="277"/>
      <c r="M115" s="277"/>
      <c r="N115" s="277"/>
      <c r="O115" s="277"/>
      <c r="P115" s="277"/>
      <c r="Q115" s="277"/>
      <c r="R115" s="79"/>
      <c r="W115" s="240">
        <f>IF(OR(
'PROD. 4º MÊS'!C33="Administrativo",
'PROD. 4º MÊS'!C33="Intermediário",
'PROD. 4º MÊS'!C33="Externo",
'PROD. 4º MÊS'!C33="Final"),"-",
'PROD. 4º MÊS'!C33)</f>
        <v>0</v>
      </c>
      <c r="X115" s="241" t="str">
        <f t="shared" si="28"/>
        <v>-</v>
      </c>
      <c r="Y115" s="242" t="str">
        <f t="shared" si="29"/>
        <v>-</v>
      </c>
      <c r="AC115" s="240">
        <f>IF(OR(
'PROD. 3º MÊS'!C33="Administrativo",
'PROD. 3º MÊS'!C33="Intermediário",
'PROD. 3º MÊS'!C33="Externo",
'PROD. 3º MÊS'!C33="Final"),"-",
'PROD. 3º MÊS'!C33)</f>
        <v>0</v>
      </c>
      <c r="AD115" s="241" t="str">
        <f t="shared" si="30"/>
        <v>-</v>
      </c>
      <c r="AE115" s="242" t="str">
        <f t="shared" si="31"/>
        <v>-</v>
      </c>
      <c r="AG115" s="240">
        <f>IF(OR(
'PROD. 2º MÊS'!C33="Administrativo",
'PROD. 2º MÊS'!C33="Intermediário",
'PROD. 2º MÊS'!C33="Externo",
'PROD. 2º MÊS'!C33="Final"),"-",
'PROD. 2º MÊS'!C33)</f>
        <v>0</v>
      </c>
      <c r="AH115" s="241" t="str">
        <f t="shared" si="32"/>
        <v>-</v>
      </c>
      <c r="AI115" s="242" t="str">
        <f t="shared" si="33"/>
        <v>-</v>
      </c>
      <c r="AK115" s="240">
        <f>IF(OR(
'PROD. 1º MÊS'!C33="Administrativo",
'PROD. 1º MÊS'!C33="Intermediário",
'PROD. 1º MÊS'!C33="Externo",
'PROD. 1º MÊS'!C33="Final"),"-",
'PROD. 1º MÊS'!C33)</f>
        <v>0</v>
      </c>
      <c r="AL115" s="241" t="str">
        <f t="shared" si="34"/>
        <v>-</v>
      </c>
      <c r="AM115" s="242" t="str">
        <f t="shared" si="35"/>
        <v>-</v>
      </c>
      <c r="AO115" s="342">
        <f t="shared" si="47"/>
        <v>0</v>
      </c>
      <c r="AP115" s="341" t="str">
        <f t="array" ref="AP115">IFERROR( INDEX( $AO$89:$AO$553, MATCH( 0, COUNTIF( $AP$87:AP114, $AO$89:$AO$553), 0)), "-")</f>
        <v>-</v>
      </c>
      <c r="AQ115" s="257" t="str">
        <f t="shared" si="36"/>
        <v>-</v>
      </c>
      <c r="AR115" s="258" t="str">
        <f t="shared" si="39"/>
        <v>-</v>
      </c>
      <c r="AS115" s="259" t="str">
        <f t="shared" si="40"/>
        <v>-</v>
      </c>
      <c r="AT115" s="259" t="str">
        <f t="shared" si="41"/>
        <v>-</v>
      </c>
      <c r="AU115" s="260" t="str">
        <f t="shared" si="42"/>
        <v>-</v>
      </c>
      <c r="AV115" s="261" t="str">
        <f t="shared" si="43"/>
        <v>-</v>
      </c>
      <c r="AW115" s="262" t="str">
        <f t="shared" si="44"/>
        <v>-</v>
      </c>
      <c r="AX115" s="262" t="str">
        <f t="shared" si="45"/>
        <v>-</v>
      </c>
      <c r="AY115" s="263" t="str">
        <f t="shared" si="46"/>
        <v>-</v>
      </c>
      <c r="AZ115" s="264" t="str">
        <f t="shared" si="37"/>
        <v>-</v>
      </c>
      <c r="BA115" s="96" t="str">
        <f t="shared" si="38"/>
        <v>-</v>
      </c>
    </row>
    <row r="116" spans="1:53" ht="18.2" customHeight="1" x14ac:dyDescent="0.25">
      <c r="A116" s="79"/>
      <c r="B116" s="277"/>
      <c r="C116" s="265"/>
      <c r="D116" s="265" t="s">
        <v>99</v>
      </c>
      <c r="E116" s="77">
        <f>VLOOKUP($D$114,$AQ$89:$AY$225,6,FALSE)</f>
        <v>962.36</v>
      </c>
      <c r="F116" s="77">
        <f>VLOOKUP($D$114,$AQ$89:$AY$225,7,FALSE)</f>
        <v>323.63</v>
      </c>
      <c r="G116" s="77">
        <f>VLOOKUP($D$114,$AQ$89:$AY$225,8,FALSE)</f>
        <v>335.55</v>
      </c>
      <c r="H116" s="77">
        <f>VLOOKUP($D$114,$AQ$89:$AY$225,9,FALSE)</f>
        <v>341.91</v>
      </c>
      <c r="I116" s="271">
        <f>AVERAGE(E116:H116)</f>
        <v>490.86250000000001</v>
      </c>
      <c r="J116" s="77">
        <f>_xlfn.STDEV.S(E116:H116)</f>
        <v>314.42297492125681</v>
      </c>
      <c r="K116" s="76">
        <f>IFERROR( J116 / I116, "-")</f>
        <v>0.64055203834323626</v>
      </c>
      <c r="L116" s="277"/>
      <c r="M116" s="277"/>
      <c r="N116" s="277"/>
      <c r="O116" s="277"/>
      <c r="P116" s="277"/>
      <c r="Q116" s="277"/>
      <c r="R116" s="79"/>
      <c r="W116" s="240">
        <f>IF(OR(
'PROD. 4º MÊS'!C34="Administrativo",
'PROD. 4º MÊS'!C34="Intermediário",
'PROD. 4º MÊS'!C34="Externo",
'PROD. 4º MÊS'!C34="Final"),"-",
'PROD. 4º MÊS'!C34)</f>
        <v>0</v>
      </c>
      <c r="X116" s="241" t="str">
        <f t="shared" si="28"/>
        <v>-</v>
      </c>
      <c r="Y116" s="242" t="str">
        <f t="shared" si="29"/>
        <v>-</v>
      </c>
      <c r="AC116" s="240">
        <f>IF(OR(
'PROD. 3º MÊS'!C34="Administrativo",
'PROD. 3º MÊS'!C34="Intermediário",
'PROD. 3º MÊS'!C34="Externo",
'PROD. 3º MÊS'!C34="Final"),"-",
'PROD. 3º MÊS'!C34)</f>
        <v>0</v>
      </c>
      <c r="AD116" s="241" t="str">
        <f t="shared" si="30"/>
        <v>-</v>
      </c>
      <c r="AE116" s="242" t="str">
        <f t="shared" si="31"/>
        <v>-</v>
      </c>
      <c r="AG116" s="240">
        <f>IF(OR(
'PROD. 2º MÊS'!C34="Administrativo",
'PROD. 2º MÊS'!C34="Intermediário",
'PROD. 2º MÊS'!C34="Externo",
'PROD. 2º MÊS'!C34="Final"),"-",
'PROD. 2º MÊS'!C34)</f>
        <v>0</v>
      </c>
      <c r="AH116" s="241" t="str">
        <f t="shared" si="32"/>
        <v>-</v>
      </c>
      <c r="AI116" s="242" t="str">
        <f t="shared" si="33"/>
        <v>-</v>
      </c>
      <c r="AK116" s="240">
        <f>IF(OR(
'PROD. 1º MÊS'!C34="Administrativo",
'PROD. 1º MÊS'!C34="Intermediário",
'PROD. 1º MÊS'!C34="Externo",
'PROD. 1º MÊS'!C34="Final"),"-",
'PROD. 1º MÊS'!C34)</f>
        <v>0</v>
      </c>
      <c r="AL116" s="241" t="str">
        <f t="shared" si="34"/>
        <v>-</v>
      </c>
      <c r="AM116" s="242" t="str">
        <f t="shared" si="35"/>
        <v>-</v>
      </c>
      <c r="AO116" s="342">
        <f t="shared" si="47"/>
        <v>0</v>
      </c>
      <c r="AP116" s="341" t="str">
        <f t="array" ref="AP116">IFERROR( INDEX( $AO$89:$AO$553, MATCH( 0, COUNTIF( $AP$87:AP115, $AO$89:$AO$553), 0)), "-")</f>
        <v>-</v>
      </c>
      <c r="AQ116" s="248" t="str">
        <f t="shared" si="36"/>
        <v>-</v>
      </c>
      <c r="AR116" s="249" t="str">
        <f t="shared" si="39"/>
        <v>-</v>
      </c>
      <c r="AS116" s="250" t="str">
        <f t="shared" si="40"/>
        <v>-</v>
      </c>
      <c r="AT116" s="250" t="str">
        <f t="shared" si="41"/>
        <v>-</v>
      </c>
      <c r="AU116" s="251" t="str">
        <f t="shared" si="42"/>
        <v>-</v>
      </c>
      <c r="AV116" s="252" t="str">
        <f t="shared" si="43"/>
        <v>-</v>
      </c>
      <c r="AW116" s="253" t="str">
        <f t="shared" si="44"/>
        <v>-</v>
      </c>
      <c r="AX116" s="253" t="str">
        <f t="shared" si="45"/>
        <v>-</v>
      </c>
      <c r="AY116" s="254" t="str">
        <f t="shared" si="46"/>
        <v>-</v>
      </c>
      <c r="AZ116" s="255" t="str">
        <f t="shared" si="37"/>
        <v>-</v>
      </c>
      <c r="BA116" s="95" t="str">
        <f t="shared" si="38"/>
        <v>-</v>
      </c>
    </row>
    <row r="117" spans="1:53" ht="18.2" customHeight="1" x14ac:dyDescent="0.25">
      <c r="A117" s="79"/>
      <c r="B117" s="277"/>
      <c r="C117" s="277"/>
      <c r="D117" s="277"/>
      <c r="E117" s="277"/>
      <c r="F117" s="277"/>
      <c r="G117" s="277"/>
      <c r="H117" s="277"/>
      <c r="I117" s="277"/>
      <c r="J117" s="277"/>
      <c r="K117" s="277"/>
      <c r="L117" s="277"/>
      <c r="M117" s="277"/>
      <c r="N117" s="277"/>
      <c r="O117" s="277"/>
      <c r="P117" s="277"/>
      <c r="Q117" s="277"/>
      <c r="R117" s="79"/>
      <c r="W117" s="240">
        <f>IF(OR(
'PROD. 4º MÊS'!C35="Administrativo",
'PROD. 4º MÊS'!C35="Intermediário",
'PROD. 4º MÊS'!C35="Externo",
'PROD. 4º MÊS'!C35="Final"),"-",
'PROD. 4º MÊS'!C35)</f>
        <v>0</v>
      </c>
      <c r="X117" s="241" t="str">
        <f t="shared" si="28"/>
        <v>-</v>
      </c>
      <c r="Y117" s="242" t="str">
        <f t="shared" si="29"/>
        <v>-</v>
      </c>
      <c r="AC117" s="240">
        <f>IF(OR(
'PROD. 3º MÊS'!C35="Administrativo",
'PROD. 3º MÊS'!C35="Intermediário",
'PROD. 3º MÊS'!C35="Externo",
'PROD. 3º MÊS'!C35="Final"),"-",
'PROD. 3º MÊS'!C35)</f>
        <v>0</v>
      </c>
      <c r="AD117" s="241" t="str">
        <f t="shared" si="30"/>
        <v>-</v>
      </c>
      <c r="AE117" s="242" t="str">
        <f t="shared" si="31"/>
        <v>-</v>
      </c>
      <c r="AG117" s="240">
        <f>IF(OR(
'PROD. 2º MÊS'!C35="Administrativo",
'PROD. 2º MÊS'!C35="Intermediário",
'PROD. 2º MÊS'!C35="Externo",
'PROD. 2º MÊS'!C35="Final"),"-",
'PROD. 2º MÊS'!C35)</f>
        <v>0</v>
      </c>
      <c r="AH117" s="241" t="str">
        <f t="shared" si="32"/>
        <v>-</v>
      </c>
      <c r="AI117" s="242" t="str">
        <f t="shared" si="33"/>
        <v>-</v>
      </c>
      <c r="AK117" s="240">
        <f>IF(OR(
'PROD. 1º MÊS'!C35="Administrativo",
'PROD. 1º MÊS'!C35="Intermediário",
'PROD. 1º MÊS'!C35="Externo",
'PROD. 1º MÊS'!C35="Final"),"-",
'PROD. 1º MÊS'!C35)</f>
        <v>0</v>
      </c>
      <c r="AL117" s="241" t="str">
        <f t="shared" si="34"/>
        <v>-</v>
      </c>
      <c r="AM117" s="242" t="str">
        <f t="shared" si="35"/>
        <v>-</v>
      </c>
      <c r="AO117" s="342">
        <f t="shared" si="47"/>
        <v>0</v>
      </c>
      <c r="AP117" s="341" t="str">
        <f t="array" ref="AP117">IFERROR( INDEX( $AO$89:$AO$553, MATCH( 0, COUNTIF( $AP$87:AP116, $AO$89:$AO$553), 0)), "-")</f>
        <v>-</v>
      </c>
      <c r="AQ117" s="257" t="str">
        <f t="shared" si="36"/>
        <v>-</v>
      </c>
      <c r="AR117" s="258" t="str">
        <f t="shared" si="39"/>
        <v>-</v>
      </c>
      <c r="AS117" s="259" t="str">
        <f t="shared" si="40"/>
        <v>-</v>
      </c>
      <c r="AT117" s="259" t="str">
        <f t="shared" si="41"/>
        <v>-</v>
      </c>
      <c r="AU117" s="260" t="str">
        <f t="shared" si="42"/>
        <v>-</v>
      </c>
      <c r="AV117" s="261" t="str">
        <f t="shared" si="43"/>
        <v>-</v>
      </c>
      <c r="AW117" s="262" t="str">
        <f t="shared" si="44"/>
        <v>-</v>
      </c>
      <c r="AX117" s="262" t="str">
        <f t="shared" si="45"/>
        <v>-</v>
      </c>
      <c r="AY117" s="263" t="str">
        <f t="shared" si="46"/>
        <v>-</v>
      </c>
      <c r="AZ117" s="264" t="str">
        <f t="shared" si="37"/>
        <v>-</v>
      </c>
      <c r="BA117" s="96" t="str">
        <f t="shared" si="38"/>
        <v>-</v>
      </c>
    </row>
    <row r="118" spans="1:53" ht="18.2" customHeight="1" x14ac:dyDescent="0.25">
      <c r="A118" s="79"/>
      <c r="B118" s="265"/>
      <c r="C118" s="265"/>
      <c r="D118" s="265"/>
      <c r="E118" s="265"/>
      <c r="F118" s="265"/>
      <c r="G118" s="265"/>
      <c r="H118" s="265"/>
      <c r="I118" s="265"/>
      <c r="J118" s="265"/>
      <c r="K118" s="265"/>
      <c r="L118" s="265"/>
      <c r="M118" s="265"/>
      <c r="N118" s="265"/>
      <c r="O118" s="265"/>
      <c r="P118" s="265"/>
      <c r="Q118" s="265"/>
      <c r="R118" s="79"/>
      <c r="W118" s="240">
        <f>IF(OR(
'PROD. 4º MÊS'!C36="Administrativo",
'PROD. 4º MÊS'!C36="Intermediário",
'PROD. 4º MÊS'!C36="Externo",
'PROD. 4º MÊS'!C36="Final"),"-",
'PROD. 4º MÊS'!C36)</f>
        <v>0</v>
      </c>
      <c r="X118" s="241" t="str">
        <f t="shared" si="28"/>
        <v>-</v>
      </c>
      <c r="Y118" s="242" t="str">
        <f t="shared" si="29"/>
        <v>-</v>
      </c>
      <c r="AC118" s="240">
        <f>IF(OR(
'PROD. 3º MÊS'!C36="Administrativo",
'PROD. 3º MÊS'!C36="Intermediário",
'PROD. 3º MÊS'!C36="Externo",
'PROD. 3º MÊS'!C36="Final"),"-",
'PROD. 3º MÊS'!C36)</f>
        <v>0</v>
      </c>
      <c r="AD118" s="241" t="str">
        <f t="shared" si="30"/>
        <v>-</v>
      </c>
      <c r="AE118" s="242" t="str">
        <f t="shared" si="31"/>
        <v>-</v>
      </c>
      <c r="AG118" s="240">
        <f>IF(OR(
'PROD. 2º MÊS'!C36="Administrativo",
'PROD. 2º MÊS'!C36="Intermediário",
'PROD. 2º MÊS'!C36="Externo",
'PROD. 2º MÊS'!C36="Final"),"-",
'PROD. 2º MÊS'!C36)</f>
        <v>0</v>
      </c>
      <c r="AH118" s="241" t="str">
        <f t="shared" si="32"/>
        <v>-</v>
      </c>
      <c r="AI118" s="242" t="str">
        <f t="shared" si="33"/>
        <v>-</v>
      </c>
      <c r="AK118" s="240">
        <f>IF(OR(
'PROD. 1º MÊS'!C36="Administrativo",
'PROD. 1º MÊS'!C36="Intermediário",
'PROD. 1º MÊS'!C36="Externo",
'PROD. 1º MÊS'!C36="Final"),"-",
'PROD. 1º MÊS'!C36)</f>
        <v>0</v>
      </c>
      <c r="AL118" s="241" t="str">
        <f t="shared" si="34"/>
        <v>-</v>
      </c>
      <c r="AM118" s="242" t="str">
        <f t="shared" si="35"/>
        <v>-</v>
      </c>
      <c r="AO118" s="342">
        <f t="shared" si="47"/>
        <v>0</v>
      </c>
      <c r="AP118" s="341" t="str">
        <f t="array" ref="AP118">IFERROR( INDEX( $AO$89:$AO$553, MATCH( 0, COUNTIF( $AP$87:AP117, $AO$89:$AO$553), 0)), "-")</f>
        <v>-</v>
      </c>
      <c r="AQ118" s="248" t="str">
        <f t="shared" si="36"/>
        <v>-</v>
      </c>
      <c r="AR118" s="249" t="str">
        <f t="shared" si="39"/>
        <v>-</v>
      </c>
      <c r="AS118" s="250" t="str">
        <f t="shared" si="40"/>
        <v>-</v>
      </c>
      <c r="AT118" s="250" t="str">
        <f t="shared" si="41"/>
        <v>-</v>
      </c>
      <c r="AU118" s="251" t="str">
        <f t="shared" si="42"/>
        <v>-</v>
      </c>
      <c r="AV118" s="252" t="str">
        <f t="shared" si="43"/>
        <v>-</v>
      </c>
      <c r="AW118" s="253" t="str">
        <f t="shared" si="44"/>
        <v>-</v>
      </c>
      <c r="AX118" s="253" t="str">
        <f t="shared" si="45"/>
        <v>-</v>
      </c>
      <c r="AY118" s="254" t="str">
        <f t="shared" si="46"/>
        <v>-</v>
      </c>
      <c r="AZ118" s="255" t="str">
        <f t="shared" si="37"/>
        <v>-</v>
      </c>
      <c r="BA118" s="95" t="str">
        <f t="shared" si="38"/>
        <v>-</v>
      </c>
    </row>
    <row r="119" spans="1:53" ht="18.2" customHeight="1" x14ac:dyDescent="0.25">
      <c r="A119" s="79"/>
      <c r="B119" s="551"/>
      <c r="C119" s="551"/>
      <c r="D119" s="551"/>
      <c r="E119" s="551"/>
      <c r="F119" s="551"/>
      <c r="G119" s="551"/>
      <c r="H119" s="551"/>
      <c r="I119" s="551"/>
      <c r="J119" s="551"/>
      <c r="K119" s="551"/>
      <c r="L119" s="551"/>
      <c r="M119" s="551"/>
      <c r="N119" s="551"/>
      <c r="O119" s="551"/>
      <c r="P119" s="551"/>
      <c r="Q119" s="551"/>
      <c r="R119" s="79"/>
      <c r="W119" s="240">
        <f>IF(OR(
'PROD. 4º MÊS'!C37="Administrativo",
'PROD. 4º MÊS'!C37="Intermediário",
'PROD. 4º MÊS'!C37="Externo",
'PROD. 4º MÊS'!C37="Final"),"-",
'PROD. 4º MÊS'!C37)</f>
        <v>0</v>
      </c>
      <c r="X119" s="241" t="str">
        <f t="shared" si="28"/>
        <v>-</v>
      </c>
      <c r="Y119" s="242" t="str">
        <f t="shared" si="29"/>
        <v>-</v>
      </c>
      <c r="AC119" s="240">
        <f>IF(OR(
'PROD. 3º MÊS'!C37="Administrativo",
'PROD. 3º MÊS'!C37="Intermediário",
'PROD. 3º MÊS'!C37="Externo",
'PROD. 3º MÊS'!C37="Final"),"-",
'PROD. 3º MÊS'!C37)</f>
        <v>0</v>
      </c>
      <c r="AD119" s="241" t="str">
        <f t="shared" si="30"/>
        <v>-</v>
      </c>
      <c r="AE119" s="242" t="str">
        <f t="shared" si="31"/>
        <v>-</v>
      </c>
      <c r="AG119" s="240">
        <f>IF(OR(
'PROD. 2º MÊS'!C37="Administrativo",
'PROD. 2º MÊS'!C37="Intermediário",
'PROD. 2º MÊS'!C37="Externo",
'PROD. 2º MÊS'!C37="Final"),"-",
'PROD. 2º MÊS'!C37)</f>
        <v>0</v>
      </c>
      <c r="AH119" s="241" t="str">
        <f t="shared" si="32"/>
        <v>-</v>
      </c>
      <c r="AI119" s="242" t="str">
        <f t="shared" si="33"/>
        <v>-</v>
      </c>
      <c r="AK119" s="240">
        <f>IF(OR(
'PROD. 1º MÊS'!C37="Administrativo",
'PROD. 1º MÊS'!C37="Intermediário",
'PROD. 1º MÊS'!C37="Externo",
'PROD. 1º MÊS'!C37="Final"),"-",
'PROD. 1º MÊS'!C37)</f>
        <v>0</v>
      </c>
      <c r="AL119" s="241" t="str">
        <f t="shared" si="34"/>
        <v>-</v>
      </c>
      <c r="AM119" s="242" t="str">
        <f t="shared" si="35"/>
        <v>-</v>
      </c>
      <c r="AO119" s="342">
        <f t="shared" si="47"/>
        <v>0</v>
      </c>
      <c r="AP119" s="341" t="str">
        <f t="array" ref="AP119">IFERROR( INDEX( $AO$89:$AO$553, MATCH( 0, COUNTIF( $AP$87:AP118, $AO$89:$AO$553), 0)), "-")</f>
        <v>-</v>
      </c>
      <c r="AQ119" s="257" t="str">
        <f t="shared" si="36"/>
        <v>-</v>
      </c>
      <c r="AR119" s="258" t="str">
        <f t="shared" si="39"/>
        <v>-</v>
      </c>
      <c r="AS119" s="259" t="str">
        <f t="shared" si="40"/>
        <v>-</v>
      </c>
      <c r="AT119" s="259" t="str">
        <f t="shared" si="41"/>
        <v>-</v>
      </c>
      <c r="AU119" s="260" t="str">
        <f t="shared" si="42"/>
        <v>-</v>
      </c>
      <c r="AV119" s="261" t="str">
        <f t="shared" si="43"/>
        <v>-</v>
      </c>
      <c r="AW119" s="262" t="str">
        <f t="shared" si="44"/>
        <v>-</v>
      </c>
      <c r="AX119" s="262" t="str">
        <f t="shared" si="45"/>
        <v>-</v>
      </c>
      <c r="AY119" s="263" t="str">
        <f t="shared" si="46"/>
        <v>-</v>
      </c>
      <c r="AZ119" s="264" t="str">
        <f t="shared" si="37"/>
        <v>-</v>
      </c>
      <c r="BA119" s="96" t="str">
        <f t="shared" si="38"/>
        <v>-</v>
      </c>
    </row>
    <row r="120" spans="1:53" ht="18.2" customHeight="1" x14ac:dyDescent="0.25">
      <c r="A120" s="79"/>
      <c r="B120" s="265"/>
      <c r="C120" s="265"/>
      <c r="D120" s="265"/>
      <c r="E120" s="265"/>
      <c r="F120" s="265"/>
      <c r="G120" s="265"/>
      <c r="H120" s="265"/>
      <c r="I120" s="265"/>
      <c r="J120" s="265"/>
      <c r="K120" s="265"/>
      <c r="L120" s="265"/>
      <c r="M120" s="265"/>
      <c r="N120" s="265"/>
      <c r="O120" s="265"/>
      <c r="P120" s="265"/>
      <c r="Q120" s="265"/>
      <c r="R120" s="79"/>
      <c r="W120" s="240">
        <f>IF(OR(
'PROD. 4º MÊS'!C38="Administrativo",
'PROD. 4º MÊS'!C38="Intermediário",
'PROD. 4º MÊS'!C38="Externo",
'PROD. 4º MÊS'!C38="Final"),"-",
'PROD. 4º MÊS'!C38)</f>
        <v>0</v>
      </c>
      <c r="X120" s="241" t="str">
        <f t="shared" si="28"/>
        <v>-</v>
      </c>
      <c r="Y120" s="242" t="str">
        <f t="shared" si="29"/>
        <v>-</v>
      </c>
      <c r="AC120" s="240">
        <f>IF(OR(
'PROD. 3º MÊS'!C38="Administrativo",
'PROD. 3º MÊS'!C38="Intermediário",
'PROD. 3º MÊS'!C38="Externo",
'PROD. 3º MÊS'!C38="Final"),"-",
'PROD. 3º MÊS'!C38)</f>
        <v>0</v>
      </c>
      <c r="AD120" s="241" t="str">
        <f t="shared" si="30"/>
        <v>-</v>
      </c>
      <c r="AE120" s="242" t="str">
        <f t="shared" si="31"/>
        <v>-</v>
      </c>
      <c r="AG120" s="240">
        <f>IF(OR(
'PROD. 2º MÊS'!C38="Administrativo",
'PROD. 2º MÊS'!C38="Intermediário",
'PROD. 2º MÊS'!C38="Externo",
'PROD. 2º MÊS'!C38="Final"),"-",
'PROD. 2º MÊS'!C38)</f>
        <v>0</v>
      </c>
      <c r="AH120" s="241" t="str">
        <f t="shared" si="32"/>
        <v>-</v>
      </c>
      <c r="AI120" s="242" t="str">
        <f t="shared" si="33"/>
        <v>-</v>
      </c>
      <c r="AK120" s="240">
        <f>IF(OR(
'PROD. 1º MÊS'!C38="Administrativo",
'PROD. 1º MÊS'!C38="Intermediário",
'PROD. 1º MÊS'!C38="Externo",
'PROD. 1º MÊS'!C38="Final"),"-",
'PROD. 1º MÊS'!C38)</f>
        <v>0</v>
      </c>
      <c r="AL120" s="241" t="str">
        <f t="shared" si="34"/>
        <v>-</v>
      </c>
      <c r="AM120" s="242" t="str">
        <f t="shared" si="35"/>
        <v>-</v>
      </c>
      <c r="AO120" s="342">
        <f t="shared" si="47"/>
        <v>0</v>
      </c>
      <c r="AP120" s="341" t="str">
        <f t="array" ref="AP120">IFERROR( INDEX( $AO$89:$AO$553, MATCH( 0, COUNTIF( $AP$87:AP119, $AO$89:$AO$553), 0)), "-")</f>
        <v>-</v>
      </c>
      <c r="AQ120" s="248" t="str">
        <f t="shared" si="36"/>
        <v>-</v>
      </c>
      <c r="AR120" s="249" t="str">
        <f t="shared" si="39"/>
        <v>-</v>
      </c>
      <c r="AS120" s="250" t="str">
        <f t="shared" si="40"/>
        <v>-</v>
      </c>
      <c r="AT120" s="250" t="str">
        <f t="shared" si="41"/>
        <v>-</v>
      </c>
      <c r="AU120" s="251" t="str">
        <f t="shared" si="42"/>
        <v>-</v>
      </c>
      <c r="AV120" s="252" t="str">
        <f t="shared" si="43"/>
        <v>-</v>
      </c>
      <c r="AW120" s="253" t="str">
        <f t="shared" si="44"/>
        <v>-</v>
      </c>
      <c r="AX120" s="253" t="str">
        <f t="shared" si="45"/>
        <v>-</v>
      </c>
      <c r="AY120" s="254" t="str">
        <f t="shared" si="46"/>
        <v>-</v>
      </c>
      <c r="AZ120" s="255" t="str">
        <f t="shared" si="37"/>
        <v>-</v>
      </c>
      <c r="BA120" s="95" t="str">
        <f t="shared" si="38"/>
        <v>-</v>
      </c>
    </row>
    <row r="121" spans="1:53" ht="25.5" customHeight="1" x14ac:dyDescent="0.25">
      <c r="A121" s="79"/>
      <c r="B121" s="460" t="s">
        <v>277</v>
      </c>
      <c r="C121" s="461"/>
      <c r="D121" s="461"/>
      <c r="E121" s="461"/>
      <c r="F121" s="461"/>
      <c r="G121" s="461"/>
      <c r="H121" s="461"/>
      <c r="I121" s="461"/>
      <c r="J121" s="462"/>
      <c r="K121" s="534" t="s">
        <v>165</v>
      </c>
      <c r="L121" s="534"/>
      <c r="M121" s="274">
        <f xml:space="preserve"> $Q$87</f>
        <v>0.3</v>
      </c>
      <c r="N121" s="275" t="s">
        <v>179</v>
      </c>
      <c r="O121" s="97">
        <f>K115</f>
        <v>0.39387378768120934</v>
      </c>
      <c r="P121" s="276" t="s">
        <v>180</v>
      </c>
      <c r="Q121" s="98">
        <f>K116</f>
        <v>0.64055203834323626</v>
      </c>
      <c r="R121" s="79"/>
      <c r="W121" s="240">
        <f>IF(OR(
'PROD. 4º MÊS'!C39="Administrativo",
'PROD. 4º MÊS'!C39="Intermediário",
'PROD. 4º MÊS'!C39="Externo",
'PROD. 4º MÊS'!C39="Final"),"-",
'PROD. 4º MÊS'!C39)</f>
        <v>0</v>
      </c>
      <c r="X121" s="241" t="str">
        <f t="shared" ref="X121:X152" si="48" xml:space="preserve"> IFERROR( IF( W121="", "-", VLOOKUP( W121,_1_PROD_ATUAL, 3, 0)),"-")</f>
        <v>-</v>
      </c>
      <c r="Y121" s="242" t="str">
        <f t="shared" ref="Y121:Y152" si="49" xml:space="preserve"> IFERROR( IF( W121="","-", VLOOKUP( W121,_1_PROD_ATUAL, 4, 0)),"-")</f>
        <v>-</v>
      </c>
      <c r="AC121" s="240">
        <f>IF(OR(
'PROD. 3º MÊS'!C39="Administrativo",
'PROD. 3º MÊS'!C39="Intermediário",
'PROD. 3º MÊS'!C39="Externo",
'PROD. 3º MÊS'!C39="Final"),"-",
'PROD. 3º MÊS'!C39)</f>
        <v>0</v>
      </c>
      <c r="AD121" s="241" t="str">
        <f t="shared" ref="AD121:AD152" si="50" xml:space="preserve"> IFERROR( IF( AC121="", "-", VLOOKUP( AC121, _2_PROD_ANTER_, 3, 0)),"-")</f>
        <v>-</v>
      </c>
      <c r="AE121" s="242" t="str">
        <f t="shared" ref="AE121:AE152" si="51" xml:space="preserve"> IFERROR( IF( AC121="","-", VLOOKUP( AC121, _2_PROD_ANTER_, 4, 0)),"-")</f>
        <v>-</v>
      </c>
      <c r="AG121" s="240">
        <f>IF(OR(
'PROD. 2º MÊS'!C39="Administrativo",
'PROD. 2º MÊS'!C39="Intermediário",
'PROD. 2º MÊS'!C39="Externo",
'PROD. 2º MÊS'!C39="Final"),"-",
'PROD. 2º MÊS'!C39)</f>
        <v>0</v>
      </c>
      <c r="AH121" s="241" t="str">
        <f t="shared" ref="AH121:AH152" si="52" xml:space="preserve"> IFERROR( IF( AG121="","-", VLOOKUP( AG121, _3_PROD_2m_, 3, 0)),"-")</f>
        <v>-</v>
      </c>
      <c r="AI121" s="242" t="str">
        <f t="shared" ref="AI121:AI152" si="53" xml:space="preserve"> IFERROR( IF( AG121="","-", VLOOKUP( AG121, _3_PROD_2m_, 4, 0)), "-")</f>
        <v>-</v>
      </c>
      <c r="AK121" s="240">
        <f>IF(OR(
'PROD. 1º MÊS'!C39="Administrativo",
'PROD. 1º MÊS'!C39="Intermediário",
'PROD. 1º MÊS'!C39="Externo",
'PROD. 1º MÊS'!C39="Final"),"-",
'PROD. 1º MÊS'!C39)</f>
        <v>0</v>
      </c>
      <c r="AL121" s="241" t="str">
        <f t="shared" ref="AL121:AL152" si="54" xml:space="preserve"> IFERROR( IF( AK121="","-", VLOOKUP( AK121, _4_PROD_3m_, 3, 0)), "-")</f>
        <v>-</v>
      </c>
      <c r="AM121" s="242" t="str">
        <f t="shared" ref="AM121:AM152" si="55" xml:space="preserve"> IFERROR( IF( AK121="","-", VLOOKUP( AK121, _4_PROD_3m_, 4, 0)), "-")</f>
        <v>-</v>
      </c>
      <c r="AO121" s="342">
        <f t="shared" si="47"/>
        <v>0</v>
      </c>
      <c r="AP121" s="341" t="str">
        <f t="array" ref="AP121">IFERROR( INDEX( $AO$89:$AO$553, MATCH( 0, COUNTIF( $AP$87:AP120, $AO$89:$AO$553), 0)), "-")</f>
        <v>-</v>
      </c>
      <c r="AQ121" s="257" t="str">
        <f t="shared" ref="AQ121:AQ152" si="56" xml:space="preserve"> IFERROR( IF( AP121="","-", MID( AP121, 1, SEARCH( " - ", AP121) -1)), "-")</f>
        <v>-</v>
      </c>
      <c r="AR121" s="258" t="str">
        <f t="shared" si="39"/>
        <v>-</v>
      </c>
      <c r="AS121" s="259" t="str">
        <f t="shared" si="40"/>
        <v>-</v>
      </c>
      <c r="AT121" s="259" t="str">
        <f t="shared" si="41"/>
        <v>-</v>
      </c>
      <c r="AU121" s="260" t="str">
        <f t="shared" si="42"/>
        <v>-</v>
      </c>
      <c r="AV121" s="261" t="str">
        <f t="shared" si="43"/>
        <v>-</v>
      </c>
      <c r="AW121" s="262" t="str">
        <f t="shared" si="44"/>
        <v>-</v>
      </c>
      <c r="AX121" s="262" t="str">
        <f t="shared" si="45"/>
        <v>-</v>
      </c>
      <c r="AY121" s="263" t="str">
        <f t="shared" si="46"/>
        <v>-</v>
      </c>
      <c r="AZ121" s="264" t="str">
        <f t="shared" ref="AZ121:AZ152" si="57" xml:space="preserve"> IFERROR( IF( AQ121="-", "-", AVERAGE( AR121:AU121)), "-")</f>
        <v>-</v>
      </c>
      <c r="BA121" s="96" t="str">
        <f t="shared" ref="BA121:BA152" si="58" xml:space="preserve"> IFERROR( IF( AQ121="-", "-", AVERAGE( AV121:AY121)), "-")</f>
        <v>-</v>
      </c>
    </row>
    <row r="122" spans="1:53" ht="18.2" customHeight="1" x14ac:dyDescent="0.25">
      <c r="A122" s="79"/>
      <c r="B122" s="533"/>
      <c r="C122" s="533"/>
      <c r="D122" s="533"/>
      <c r="E122" s="533"/>
      <c r="F122" s="533"/>
      <c r="G122" s="533"/>
      <c r="H122" s="533"/>
      <c r="I122" s="533"/>
      <c r="J122" s="533"/>
      <c r="K122" s="533"/>
      <c r="L122" s="533"/>
      <c r="M122" s="533"/>
      <c r="N122" s="533"/>
      <c r="O122" s="533"/>
      <c r="P122" s="533"/>
      <c r="Q122" s="533"/>
      <c r="R122" s="79"/>
      <c r="W122" s="240">
        <f>IF(OR(
'PROD. 4º MÊS'!C40="Administrativo",
'PROD. 4º MÊS'!C40="Intermediário",
'PROD. 4º MÊS'!C40="Externo",
'PROD. 4º MÊS'!C40="Final"),"-",
'PROD. 4º MÊS'!C40)</f>
        <v>0</v>
      </c>
      <c r="X122" s="241" t="str">
        <f t="shared" si="48"/>
        <v>-</v>
      </c>
      <c r="Y122" s="242" t="str">
        <f t="shared" si="49"/>
        <v>-</v>
      </c>
      <c r="AC122" s="240">
        <f>IF(OR(
'PROD. 3º MÊS'!C40="Administrativo",
'PROD. 3º MÊS'!C40="Intermediário",
'PROD. 3º MÊS'!C40="Externo",
'PROD. 3º MÊS'!C40="Final"),"-",
'PROD. 3º MÊS'!C40)</f>
        <v>0</v>
      </c>
      <c r="AD122" s="241" t="str">
        <f t="shared" si="50"/>
        <v>-</v>
      </c>
      <c r="AE122" s="242" t="str">
        <f t="shared" si="51"/>
        <v>-</v>
      </c>
      <c r="AG122" s="240">
        <f>IF(OR(
'PROD. 2º MÊS'!C40="Administrativo",
'PROD. 2º MÊS'!C40="Intermediário",
'PROD. 2º MÊS'!C40="Externo",
'PROD. 2º MÊS'!C40="Final"),"-",
'PROD. 2º MÊS'!C40)</f>
        <v>0</v>
      </c>
      <c r="AH122" s="241" t="str">
        <f t="shared" si="52"/>
        <v>-</v>
      </c>
      <c r="AI122" s="242" t="str">
        <f t="shared" si="53"/>
        <v>-</v>
      </c>
      <c r="AK122" s="240">
        <f>IF(OR(
'PROD. 1º MÊS'!C40="Administrativo",
'PROD. 1º MÊS'!C40="Intermediário",
'PROD. 1º MÊS'!C40="Externo",
'PROD. 1º MÊS'!C40="Final"),"-",
'PROD. 1º MÊS'!C40)</f>
        <v>0</v>
      </c>
      <c r="AL122" s="241" t="str">
        <f t="shared" si="54"/>
        <v>-</v>
      </c>
      <c r="AM122" s="242" t="str">
        <f t="shared" si="55"/>
        <v>-</v>
      </c>
      <c r="AO122" s="342">
        <f t="shared" si="47"/>
        <v>0</v>
      </c>
      <c r="AP122" s="341" t="str">
        <f t="array" ref="AP122">IFERROR( INDEX( $AO$89:$AO$553, MATCH( 0, COUNTIF( $AP$87:AP121, $AO$89:$AO$553), 0)), "-")</f>
        <v>-</v>
      </c>
      <c r="AQ122" s="248" t="str">
        <f t="shared" si="56"/>
        <v>-</v>
      </c>
      <c r="AR122" s="249" t="str">
        <f t="shared" ref="AR122:AR153" si="59">IFERROR( IF( $B$8="-", "-", IF(AP122="", "-", VLOOKUP(AP122, $AK$89:$AM$204, 2, 0))), "-")</f>
        <v>-</v>
      </c>
      <c r="AS122" s="250" t="str">
        <f t="shared" ref="AS122:AS153" si="60">IFERROR( IF( $B$8="-", "-", IF(AP122="", "-", VLOOKUP(AP122, $AG$89:$AI$204, 2, 0))), "-")</f>
        <v>-</v>
      </c>
      <c r="AT122" s="250" t="str">
        <f t="shared" ref="AT122:AT153" si="61">IFERROR( IF( $B$8="-", "-", IF(AP122="", "-", VLOOKUP(AP122, $AC$89:$AE$204, 2, 0))), "-")</f>
        <v>-</v>
      </c>
      <c r="AU122" s="251" t="str">
        <f t="shared" ref="AU122:AU153" si="62">IFERROR( IF( $B$8="-", "-", IF(AP122="", "-", VLOOKUP(AP122, $W$89:$Y$204, 2, 0))), "-")</f>
        <v>-</v>
      </c>
      <c r="AV122" s="252" t="str">
        <f t="shared" ref="AV122:AV153" si="63">IFERROR(IF( $B$8="-", "-", IF(AP122="", "-", VLOOKUP(AP122, $AK$89:$AM$204, 3, 0))), "-")</f>
        <v>-</v>
      </c>
      <c r="AW122" s="253" t="str">
        <f t="shared" ref="AW122:AW153" si="64">IFERROR(IF( $B$8="-", "-", IF(AP122="", "-", VLOOKUP(AP122, $AG$89:$AI$204, 3, 0))), "-")</f>
        <v>-</v>
      </c>
      <c r="AX122" s="253" t="str">
        <f t="shared" ref="AX122:AX153" si="65">IFERROR(IF( $B$8="-", "-", IF(AP122="", "-", VLOOKUP(AP122, $AC$89:$AE$204, 3, 0))), "-")</f>
        <v>-</v>
      </c>
      <c r="AY122" s="254" t="str">
        <f t="shared" ref="AY122:AY153" si="66">IFERROR( IF( $B$8="-", "-", IF(AP122="", "-", VLOOKUP(AP122, $W$89:$Y$204, 3, 0))), "-")</f>
        <v>-</v>
      </c>
      <c r="AZ122" s="255" t="str">
        <f t="shared" si="57"/>
        <v>-</v>
      </c>
      <c r="BA122" s="95" t="str">
        <f t="shared" si="58"/>
        <v>-</v>
      </c>
    </row>
    <row r="123" spans="1:53" ht="18.2" customHeight="1" x14ac:dyDescent="0.25">
      <c r="A123" s="79"/>
      <c r="B123" s="429" t="s">
        <v>207</v>
      </c>
      <c r="C123" s="429"/>
      <c r="D123" s="429"/>
      <c r="E123" s="429"/>
      <c r="F123" s="429"/>
      <c r="G123" s="429"/>
      <c r="H123" s="429"/>
      <c r="I123" s="429"/>
      <c r="J123" s="429"/>
      <c r="K123" s="429"/>
      <c r="L123" s="429"/>
      <c r="M123" s="429"/>
      <c r="N123" s="429"/>
      <c r="O123" s="429"/>
      <c r="P123" s="429"/>
      <c r="Q123" s="429"/>
      <c r="R123" s="79"/>
      <c r="W123" s="240">
        <f>IF(OR(
'PROD. 4º MÊS'!C41="Administrativo",
'PROD. 4º MÊS'!C41="Intermediário",
'PROD. 4º MÊS'!C41="Externo",
'PROD. 4º MÊS'!C41="Final"),"-",
'PROD. 4º MÊS'!C41)</f>
        <v>0</v>
      </c>
      <c r="X123" s="241" t="str">
        <f t="shared" si="48"/>
        <v>-</v>
      </c>
      <c r="Y123" s="242" t="str">
        <f t="shared" si="49"/>
        <v>-</v>
      </c>
      <c r="AC123" s="240">
        <f>IF(OR(
'PROD. 3º MÊS'!C41="Administrativo",
'PROD. 3º MÊS'!C41="Intermediário",
'PROD. 3º MÊS'!C41="Externo",
'PROD. 3º MÊS'!C41="Final"),"-",
'PROD. 3º MÊS'!C41)</f>
        <v>0</v>
      </c>
      <c r="AD123" s="241" t="str">
        <f t="shared" si="50"/>
        <v>-</v>
      </c>
      <c r="AE123" s="242" t="str">
        <f t="shared" si="51"/>
        <v>-</v>
      </c>
      <c r="AG123" s="240">
        <f>IF(OR(
'PROD. 2º MÊS'!C41="Administrativo",
'PROD. 2º MÊS'!C41="Intermediário",
'PROD. 2º MÊS'!C41="Externo",
'PROD. 2º MÊS'!C41="Final"),"-",
'PROD. 2º MÊS'!C41)</f>
        <v>0</v>
      </c>
      <c r="AH123" s="241" t="str">
        <f t="shared" si="52"/>
        <v>-</v>
      </c>
      <c r="AI123" s="242" t="str">
        <f t="shared" si="53"/>
        <v>-</v>
      </c>
      <c r="AK123" s="240">
        <f>IF(OR(
'PROD. 1º MÊS'!C41="Administrativo",
'PROD. 1º MÊS'!C41="Intermediário",
'PROD. 1º MÊS'!C41="Externo",
'PROD. 1º MÊS'!C41="Final"),"-",
'PROD. 1º MÊS'!C41)</f>
        <v>0</v>
      </c>
      <c r="AL123" s="241" t="str">
        <f t="shared" si="54"/>
        <v>-</v>
      </c>
      <c r="AM123" s="242" t="str">
        <f t="shared" si="55"/>
        <v>-</v>
      </c>
      <c r="AO123" s="342">
        <f t="shared" si="47"/>
        <v>0</v>
      </c>
      <c r="AP123" s="341" t="str">
        <f t="array" ref="AP123">IFERROR( INDEX( $AO$89:$AO$553, MATCH( 0, COUNTIF( $AP$87:AP122, $AO$89:$AO$553), 0)), "-")</f>
        <v>-</v>
      </c>
      <c r="AQ123" s="257" t="str">
        <f t="shared" si="56"/>
        <v>-</v>
      </c>
      <c r="AR123" s="258" t="str">
        <f t="shared" si="59"/>
        <v>-</v>
      </c>
      <c r="AS123" s="259" t="str">
        <f t="shared" si="60"/>
        <v>-</v>
      </c>
      <c r="AT123" s="259" t="str">
        <f t="shared" si="61"/>
        <v>-</v>
      </c>
      <c r="AU123" s="260" t="str">
        <f t="shared" si="62"/>
        <v>-</v>
      </c>
      <c r="AV123" s="261" t="str">
        <f t="shared" si="63"/>
        <v>-</v>
      </c>
      <c r="AW123" s="262" t="str">
        <f t="shared" si="64"/>
        <v>-</v>
      </c>
      <c r="AX123" s="262" t="str">
        <f t="shared" si="65"/>
        <v>-</v>
      </c>
      <c r="AY123" s="263" t="str">
        <f t="shared" si="66"/>
        <v>-</v>
      </c>
      <c r="AZ123" s="264" t="str">
        <f t="shared" si="57"/>
        <v>-</v>
      </c>
      <c r="BA123" s="96" t="str">
        <f t="shared" si="58"/>
        <v>-</v>
      </c>
    </row>
    <row r="124" spans="1:53" ht="18.2" customHeight="1" x14ac:dyDescent="0.25">
      <c r="A124" s="79"/>
      <c r="B124" s="698" t="s">
        <v>365</v>
      </c>
      <c r="C124" s="698"/>
      <c r="D124" s="698"/>
      <c r="E124" s="698"/>
      <c r="F124" s="698"/>
      <c r="G124" s="698"/>
      <c r="H124" s="698"/>
      <c r="I124" s="698"/>
      <c r="J124" s="698"/>
      <c r="K124" s="698"/>
      <c r="L124" s="698"/>
      <c r="M124" s="698"/>
      <c r="N124" s="698"/>
      <c r="O124" s="698"/>
      <c r="P124" s="698"/>
      <c r="Q124" s="698"/>
      <c r="R124" s="79"/>
      <c r="W124" s="240">
        <f>IF(OR(
'PROD. 4º MÊS'!C42="Administrativo",
'PROD. 4º MÊS'!C42="Intermediário",
'PROD. 4º MÊS'!C42="Externo",
'PROD. 4º MÊS'!C42="Final"),"-",
'PROD. 4º MÊS'!C42)</f>
        <v>0</v>
      </c>
      <c r="X124" s="241" t="str">
        <f t="shared" si="48"/>
        <v>-</v>
      </c>
      <c r="Y124" s="242" t="str">
        <f t="shared" si="49"/>
        <v>-</v>
      </c>
      <c r="AC124" s="240">
        <f>IF(OR(
'PROD. 3º MÊS'!C42="Administrativo",
'PROD. 3º MÊS'!C42="Intermediário",
'PROD. 3º MÊS'!C42="Externo",
'PROD. 3º MÊS'!C42="Final"),"-",
'PROD. 3º MÊS'!C42)</f>
        <v>0</v>
      </c>
      <c r="AD124" s="241" t="str">
        <f t="shared" si="50"/>
        <v>-</v>
      </c>
      <c r="AE124" s="242" t="str">
        <f t="shared" si="51"/>
        <v>-</v>
      </c>
      <c r="AG124" s="240">
        <f>IF(OR(
'PROD. 2º MÊS'!C42="Administrativo",
'PROD. 2º MÊS'!C42="Intermediário",
'PROD. 2º MÊS'!C42="Externo",
'PROD. 2º MÊS'!C42="Final"),"-",
'PROD. 2º MÊS'!C42)</f>
        <v>0</v>
      </c>
      <c r="AH124" s="241" t="str">
        <f t="shared" si="52"/>
        <v>-</v>
      </c>
      <c r="AI124" s="242" t="str">
        <f t="shared" si="53"/>
        <v>-</v>
      </c>
      <c r="AK124" s="240">
        <f>IF(OR(
'PROD. 1º MÊS'!C42="Administrativo",
'PROD. 1º MÊS'!C42="Intermediário",
'PROD. 1º MÊS'!C42="Externo",
'PROD. 1º MÊS'!C42="Final"),"-",
'PROD. 1º MÊS'!C42)</f>
        <v>0</v>
      </c>
      <c r="AL124" s="241" t="str">
        <f t="shared" si="54"/>
        <v>-</v>
      </c>
      <c r="AM124" s="242" t="str">
        <f t="shared" si="55"/>
        <v>-</v>
      </c>
      <c r="AO124" s="342">
        <f t="shared" si="47"/>
        <v>0</v>
      </c>
      <c r="AP124" s="341" t="str">
        <f t="array" ref="AP124">IFERROR( INDEX( $AO$89:$AO$553, MATCH( 0, COUNTIF( $AP$87:AP123, $AO$89:$AO$553), 0)), "-")</f>
        <v>-</v>
      </c>
      <c r="AQ124" s="248" t="str">
        <f t="shared" si="56"/>
        <v>-</v>
      </c>
      <c r="AR124" s="249" t="str">
        <f t="shared" si="59"/>
        <v>-</v>
      </c>
      <c r="AS124" s="250" t="str">
        <f t="shared" si="60"/>
        <v>-</v>
      </c>
      <c r="AT124" s="250" t="str">
        <f t="shared" si="61"/>
        <v>-</v>
      </c>
      <c r="AU124" s="251" t="str">
        <f t="shared" si="62"/>
        <v>-</v>
      </c>
      <c r="AV124" s="252" t="str">
        <f t="shared" si="63"/>
        <v>-</v>
      </c>
      <c r="AW124" s="253" t="str">
        <f t="shared" si="64"/>
        <v>-</v>
      </c>
      <c r="AX124" s="253" t="str">
        <f t="shared" si="65"/>
        <v>-</v>
      </c>
      <c r="AY124" s="254" t="str">
        <f t="shared" si="66"/>
        <v>-</v>
      </c>
      <c r="AZ124" s="255" t="str">
        <f t="shared" si="57"/>
        <v>-</v>
      </c>
      <c r="BA124" s="95" t="str">
        <f t="shared" si="58"/>
        <v>-</v>
      </c>
    </row>
    <row r="125" spans="1:53" ht="18.2" customHeight="1" x14ac:dyDescent="0.25">
      <c r="A125" s="79"/>
      <c r="B125" s="698"/>
      <c r="C125" s="698"/>
      <c r="D125" s="698"/>
      <c r="E125" s="698"/>
      <c r="F125" s="698"/>
      <c r="G125" s="698"/>
      <c r="H125" s="698"/>
      <c r="I125" s="698"/>
      <c r="J125" s="698"/>
      <c r="K125" s="698"/>
      <c r="L125" s="698"/>
      <c r="M125" s="698"/>
      <c r="N125" s="698"/>
      <c r="O125" s="698"/>
      <c r="P125" s="698"/>
      <c r="Q125" s="698"/>
      <c r="R125" s="79"/>
      <c r="W125" s="240">
        <f>IF(OR(
'PROD. 4º MÊS'!C43="Administrativo",
'PROD. 4º MÊS'!C43="Intermediário",
'PROD. 4º MÊS'!C43="Externo",
'PROD. 4º MÊS'!C43="Final"),"-",
'PROD. 4º MÊS'!C43)</f>
        <v>0</v>
      </c>
      <c r="X125" s="241" t="str">
        <f t="shared" si="48"/>
        <v>-</v>
      </c>
      <c r="Y125" s="242" t="str">
        <f t="shared" si="49"/>
        <v>-</v>
      </c>
      <c r="AC125" s="240">
        <f>IF(OR(
'PROD. 3º MÊS'!C43="Administrativo",
'PROD. 3º MÊS'!C43="Intermediário",
'PROD. 3º MÊS'!C43="Externo",
'PROD. 3º MÊS'!C43="Final"),"-",
'PROD. 3º MÊS'!C43)</f>
        <v>0</v>
      </c>
      <c r="AD125" s="241" t="str">
        <f t="shared" si="50"/>
        <v>-</v>
      </c>
      <c r="AE125" s="242" t="str">
        <f t="shared" si="51"/>
        <v>-</v>
      </c>
      <c r="AG125" s="240">
        <f>IF(OR(
'PROD. 2º MÊS'!C43="Administrativo",
'PROD. 2º MÊS'!C43="Intermediário",
'PROD. 2º MÊS'!C43="Externo",
'PROD. 2º MÊS'!C43="Final"),"-",
'PROD. 2º MÊS'!C43)</f>
        <v>0</v>
      </c>
      <c r="AH125" s="241" t="str">
        <f t="shared" si="52"/>
        <v>-</v>
      </c>
      <c r="AI125" s="242" t="str">
        <f t="shared" si="53"/>
        <v>-</v>
      </c>
      <c r="AK125" s="240">
        <f>IF(OR(
'PROD. 1º MÊS'!C43="Administrativo",
'PROD. 1º MÊS'!C43="Intermediário",
'PROD. 1º MÊS'!C43="Externo",
'PROD. 1º MÊS'!C43="Final"),"-",
'PROD. 1º MÊS'!C43)</f>
        <v>0</v>
      </c>
      <c r="AL125" s="241" t="str">
        <f t="shared" si="54"/>
        <v>-</v>
      </c>
      <c r="AM125" s="242" t="str">
        <f t="shared" si="55"/>
        <v>-</v>
      </c>
      <c r="AO125" s="342">
        <f t="shared" si="47"/>
        <v>0</v>
      </c>
      <c r="AP125" s="341" t="str">
        <f t="array" ref="AP125">IFERROR( INDEX( $AO$89:$AO$553, MATCH( 0, COUNTIF( $AP$87:AP124, $AO$89:$AO$553), 0)), "-")</f>
        <v>-</v>
      </c>
      <c r="AQ125" s="257" t="str">
        <f t="shared" si="56"/>
        <v>-</v>
      </c>
      <c r="AR125" s="258" t="str">
        <f t="shared" si="59"/>
        <v>-</v>
      </c>
      <c r="AS125" s="259" t="str">
        <f t="shared" si="60"/>
        <v>-</v>
      </c>
      <c r="AT125" s="259" t="str">
        <f t="shared" si="61"/>
        <v>-</v>
      </c>
      <c r="AU125" s="260" t="str">
        <f t="shared" si="62"/>
        <v>-</v>
      </c>
      <c r="AV125" s="261" t="str">
        <f t="shared" si="63"/>
        <v>-</v>
      </c>
      <c r="AW125" s="262" t="str">
        <f t="shared" si="64"/>
        <v>-</v>
      </c>
      <c r="AX125" s="262" t="str">
        <f t="shared" si="65"/>
        <v>-</v>
      </c>
      <c r="AY125" s="263" t="str">
        <f t="shared" si="66"/>
        <v>-</v>
      </c>
      <c r="AZ125" s="264" t="str">
        <f t="shared" si="57"/>
        <v>-</v>
      </c>
      <c r="BA125" s="96" t="str">
        <f t="shared" si="58"/>
        <v>-</v>
      </c>
    </row>
    <row r="126" spans="1:53" ht="18.2" customHeight="1" x14ac:dyDescent="0.25">
      <c r="A126" s="79"/>
      <c r="B126" s="698"/>
      <c r="C126" s="698"/>
      <c r="D126" s="698"/>
      <c r="E126" s="698"/>
      <c r="F126" s="698"/>
      <c r="G126" s="698"/>
      <c r="H126" s="698"/>
      <c r="I126" s="698"/>
      <c r="J126" s="698"/>
      <c r="K126" s="698"/>
      <c r="L126" s="698"/>
      <c r="M126" s="698"/>
      <c r="N126" s="698"/>
      <c r="O126" s="698"/>
      <c r="P126" s="698"/>
      <c r="Q126" s="698"/>
      <c r="R126" s="79"/>
      <c r="W126" s="240">
        <f>IF(OR(
'PROD. 4º MÊS'!C44="Administrativo",
'PROD. 4º MÊS'!C44="Intermediário",
'PROD. 4º MÊS'!C44="Externo",
'PROD. 4º MÊS'!C44="Final"),"-",
'PROD. 4º MÊS'!C44)</f>
        <v>0</v>
      </c>
      <c r="X126" s="241" t="str">
        <f t="shared" si="48"/>
        <v>-</v>
      </c>
      <c r="Y126" s="242" t="str">
        <f t="shared" si="49"/>
        <v>-</v>
      </c>
      <c r="AC126" s="240">
        <f>IF(OR(
'PROD. 3º MÊS'!C44="Administrativo",
'PROD. 3º MÊS'!C44="Intermediário",
'PROD. 3º MÊS'!C44="Externo",
'PROD. 3º MÊS'!C44="Final"),"-",
'PROD. 3º MÊS'!C44)</f>
        <v>0</v>
      </c>
      <c r="AD126" s="241" t="str">
        <f t="shared" si="50"/>
        <v>-</v>
      </c>
      <c r="AE126" s="242" t="str">
        <f t="shared" si="51"/>
        <v>-</v>
      </c>
      <c r="AG126" s="240">
        <f>IF(OR(
'PROD. 2º MÊS'!C44="Administrativo",
'PROD. 2º MÊS'!C44="Intermediário",
'PROD. 2º MÊS'!C44="Externo",
'PROD. 2º MÊS'!C44="Final"),"-",
'PROD. 2º MÊS'!C44)</f>
        <v>0</v>
      </c>
      <c r="AH126" s="241" t="str">
        <f t="shared" si="52"/>
        <v>-</v>
      </c>
      <c r="AI126" s="242" t="str">
        <f t="shared" si="53"/>
        <v>-</v>
      </c>
      <c r="AK126" s="240">
        <f>IF(OR(
'PROD. 1º MÊS'!C44="Administrativo",
'PROD. 1º MÊS'!C44="Intermediário",
'PROD. 1º MÊS'!C44="Externo",
'PROD. 1º MÊS'!C44="Final"),"-",
'PROD. 1º MÊS'!C44)</f>
        <v>0</v>
      </c>
      <c r="AL126" s="241" t="str">
        <f t="shared" si="54"/>
        <v>-</v>
      </c>
      <c r="AM126" s="242" t="str">
        <f t="shared" si="55"/>
        <v>-</v>
      </c>
      <c r="AO126" s="342">
        <f t="shared" si="47"/>
        <v>0</v>
      </c>
      <c r="AP126" s="341" t="str">
        <f t="array" ref="AP126">IFERROR( INDEX( $AO$89:$AO$553, MATCH( 0, COUNTIF( $AP$87:AP125, $AO$89:$AO$553), 0)), "-")</f>
        <v>-</v>
      </c>
      <c r="AQ126" s="248" t="str">
        <f t="shared" si="56"/>
        <v>-</v>
      </c>
      <c r="AR126" s="249" t="str">
        <f t="shared" si="59"/>
        <v>-</v>
      </c>
      <c r="AS126" s="250" t="str">
        <f t="shared" si="60"/>
        <v>-</v>
      </c>
      <c r="AT126" s="250" t="str">
        <f t="shared" si="61"/>
        <v>-</v>
      </c>
      <c r="AU126" s="251" t="str">
        <f t="shared" si="62"/>
        <v>-</v>
      </c>
      <c r="AV126" s="252" t="str">
        <f t="shared" si="63"/>
        <v>-</v>
      </c>
      <c r="AW126" s="253" t="str">
        <f t="shared" si="64"/>
        <v>-</v>
      </c>
      <c r="AX126" s="253" t="str">
        <f t="shared" si="65"/>
        <v>-</v>
      </c>
      <c r="AY126" s="254" t="str">
        <f t="shared" si="66"/>
        <v>-</v>
      </c>
      <c r="AZ126" s="255" t="str">
        <f t="shared" si="57"/>
        <v>-</v>
      </c>
      <c r="BA126" s="95" t="str">
        <f t="shared" si="58"/>
        <v>-</v>
      </c>
    </row>
    <row r="127" spans="1:53" ht="18.2" customHeight="1" x14ac:dyDescent="0.25">
      <c r="A127" s="79"/>
      <c r="B127" s="698"/>
      <c r="C127" s="698"/>
      <c r="D127" s="698"/>
      <c r="E127" s="698"/>
      <c r="F127" s="698"/>
      <c r="G127" s="698"/>
      <c r="H127" s="698"/>
      <c r="I127" s="698"/>
      <c r="J127" s="698"/>
      <c r="K127" s="698"/>
      <c r="L127" s="698"/>
      <c r="M127" s="698"/>
      <c r="N127" s="698"/>
      <c r="O127" s="698"/>
      <c r="P127" s="698"/>
      <c r="Q127" s="698"/>
      <c r="R127" s="79"/>
      <c r="W127" s="240">
        <f>IF(OR(
'PROD. 4º MÊS'!C45="Administrativo",
'PROD. 4º MÊS'!C45="Intermediário",
'PROD. 4º MÊS'!C45="Externo",
'PROD. 4º MÊS'!C45="Final"),"-",
'PROD. 4º MÊS'!C45)</f>
        <v>0</v>
      </c>
      <c r="X127" s="241" t="str">
        <f t="shared" si="48"/>
        <v>-</v>
      </c>
      <c r="Y127" s="242" t="str">
        <f t="shared" si="49"/>
        <v>-</v>
      </c>
      <c r="AC127" s="240">
        <f>IF(OR(
'PROD. 3º MÊS'!C45="Administrativo",
'PROD. 3º MÊS'!C45="Intermediário",
'PROD. 3º MÊS'!C45="Externo",
'PROD. 3º MÊS'!C45="Final"),"-",
'PROD. 3º MÊS'!C45)</f>
        <v>0</v>
      </c>
      <c r="AD127" s="241" t="str">
        <f t="shared" si="50"/>
        <v>-</v>
      </c>
      <c r="AE127" s="242" t="str">
        <f t="shared" si="51"/>
        <v>-</v>
      </c>
      <c r="AG127" s="240">
        <f>IF(OR(
'PROD. 2º MÊS'!C45="Administrativo",
'PROD. 2º MÊS'!C45="Intermediário",
'PROD. 2º MÊS'!C45="Externo",
'PROD. 2º MÊS'!C45="Final"),"-",
'PROD. 2º MÊS'!C45)</f>
        <v>0</v>
      </c>
      <c r="AH127" s="241" t="str">
        <f t="shared" si="52"/>
        <v>-</v>
      </c>
      <c r="AI127" s="242" t="str">
        <f t="shared" si="53"/>
        <v>-</v>
      </c>
      <c r="AK127" s="240">
        <f>IF(OR(
'PROD. 1º MÊS'!C45="Administrativo",
'PROD. 1º MÊS'!C45="Intermediário",
'PROD. 1º MÊS'!C45="Externo",
'PROD. 1º MÊS'!C45="Final"),"-",
'PROD. 1º MÊS'!C45)</f>
        <v>0</v>
      </c>
      <c r="AL127" s="241" t="str">
        <f t="shared" si="54"/>
        <v>-</v>
      </c>
      <c r="AM127" s="242" t="str">
        <f t="shared" si="55"/>
        <v>-</v>
      </c>
      <c r="AO127" s="342">
        <f t="shared" si="47"/>
        <v>0</v>
      </c>
      <c r="AP127" s="341" t="str">
        <f t="array" ref="AP127">IFERROR( INDEX( $AO$89:$AO$553, MATCH( 0, COUNTIF( $AP$87:AP126, $AO$89:$AO$553), 0)), "-")</f>
        <v>-</v>
      </c>
      <c r="AQ127" s="257" t="str">
        <f t="shared" si="56"/>
        <v>-</v>
      </c>
      <c r="AR127" s="258" t="str">
        <f t="shared" si="59"/>
        <v>-</v>
      </c>
      <c r="AS127" s="259" t="str">
        <f t="shared" si="60"/>
        <v>-</v>
      </c>
      <c r="AT127" s="259" t="str">
        <f t="shared" si="61"/>
        <v>-</v>
      </c>
      <c r="AU127" s="260" t="str">
        <f t="shared" si="62"/>
        <v>-</v>
      </c>
      <c r="AV127" s="261" t="str">
        <f t="shared" si="63"/>
        <v>-</v>
      </c>
      <c r="AW127" s="262" t="str">
        <f t="shared" si="64"/>
        <v>-</v>
      </c>
      <c r="AX127" s="262" t="str">
        <f t="shared" si="65"/>
        <v>-</v>
      </c>
      <c r="AY127" s="263" t="str">
        <f t="shared" si="66"/>
        <v>-</v>
      </c>
      <c r="AZ127" s="264" t="str">
        <f t="shared" si="57"/>
        <v>-</v>
      </c>
      <c r="BA127" s="96" t="str">
        <f t="shared" si="58"/>
        <v>-</v>
      </c>
    </row>
    <row r="128" spans="1:53" ht="18.2" customHeight="1" x14ac:dyDescent="0.25">
      <c r="A128" s="79"/>
      <c r="B128" s="698"/>
      <c r="C128" s="698"/>
      <c r="D128" s="698"/>
      <c r="E128" s="698"/>
      <c r="F128" s="698"/>
      <c r="G128" s="698"/>
      <c r="H128" s="698"/>
      <c r="I128" s="698"/>
      <c r="J128" s="698"/>
      <c r="K128" s="698"/>
      <c r="L128" s="698"/>
      <c r="M128" s="698"/>
      <c r="N128" s="698"/>
      <c r="O128" s="698"/>
      <c r="P128" s="698"/>
      <c r="Q128" s="698"/>
      <c r="R128" s="79"/>
      <c r="W128" s="240">
        <f>IF(OR(
'PROD. 4º MÊS'!C46="Administrativo",
'PROD. 4º MÊS'!C46="Intermediário",
'PROD. 4º MÊS'!C46="Externo",
'PROD. 4º MÊS'!C46="Final"),"-",
'PROD. 4º MÊS'!C46)</f>
        <v>0</v>
      </c>
      <c r="X128" s="241" t="str">
        <f t="shared" si="48"/>
        <v>-</v>
      </c>
      <c r="Y128" s="242" t="str">
        <f t="shared" si="49"/>
        <v>-</v>
      </c>
      <c r="AC128" s="240">
        <f>IF(OR(
'PROD. 3º MÊS'!C46="Administrativo",
'PROD. 3º MÊS'!C46="Intermediário",
'PROD. 3º MÊS'!C46="Externo",
'PROD. 3º MÊS'!C46="Final"),"-",
'PROD. 3º MÊS'!C46)</f>
        <v>0</v>
      </c>
      <c r="AD128" s="241" t="str">
        <f t="shared" si="50"/>
        <v>-</v>
      </c>
      <c r="AE128" s="242" t="str">
        <f t="shared" si="51"/>
        <v>-</v>
      </c>
      <c r="AG128" s="240">
        <f>IF(OR(
'PROD. 2º MÊS'!C46="Administrativo",
'PROD. 2º MÊS'!C46="Intermediário",
'PROD. 2º MÊS'!C46="Externo",
'PROD. 2º MÊS'!C46="Final"),"-",
'PROD. 2º MÊS'!C46)</f>
        <v>0</v>
      </c>
      <c r="AH128" s="241" t="str">
        <f t="shared" si="52"/>
        <v>-</v>
      </c>
      <c r="AI128" s="242" t="str">
        <f t="shared" si="53"/>
        <v>-</v>
      </c>
      <c r="AK128" s="240">
        <f>IF(OR(
'PROD. 1º MÊS'!C46="Administrativo",
'PROD. 1º MÊS'!C46="Intermediário",
'PROD. 1º MÊS'!C46="Externo",
'PROD. 1º MÊS'!C46="Final"),"-",
'PROD. 1º MÊS'!C46)</f>
        <v>0</v>
      </c>
      <c r="AL128" s="241" t="str">
        <f t="shared" si="54"/>
        <v>-</v>
      </c>
      <c r="AM128" s="242" t="str">
        <f t="shared" si="55"/>
        <v>-</v>
      </c>
      <c r="AO128" s="342">
        <f t="shared" si="47"/>
        <v>0</v>
      </c>
      <c r="AP128" s="341" t="str">
        <f t="array" ref="AP128">IFERROR( INDEX( $AO$89:$AO$553, MATCH( 0, COUNTIF( $AP$87:AP127, $AO$89:$AO$553), 0)), "-")</f>
        <v>-</v>
      </c>
      <c r="AQ128" s="248" t="str">
        <f t="shared" si="56"/>
        <v>-</v>
      </c>
      <c r="AR128" s="249" t="str">
        <f t="shared" si="59"/>
        <v>-</v>
      </c>
      <c r="AS128" s="250" t="str">
        <f t="shared" si="60"/>
        <v>-</v>
      </c>
      <c r="AT128" s="250" t="str">
        <f t="shared" si="61"/>
        <v>-</v>
      </c>
      <c r="AU128" s="251" t="str">
        <f t="shared" si="62"/>
        <v>-</v>
      </c>
      <c r="AV128" s="252" t="str">
        <f t="shared" si="63"/>
        <v>-</v>
      </c>
      <c r="AW128" s="253" t="str">
        <f t="shared" si="64"/>
        <v>-</v>
      </c>
      <c r="AX128" s="253" t="str">
        <f t="shared" si="65"/>
        <v>-</v>
      </c>
      <c r="AY128" s="254" t="str">
        <f t="shared" si="66"/>
        <v>-</v>
      </c>
      <c r="AZ128" s="255" t="str">
        <f t="shared" si="57"/>
        <v>-</v>
      </c>
      <c r="BA128" s="95" t="str">
        <f t="shared" si="58"/>
        <v>-</v>
      </c>
    </row>
    <row r="129" spans="1:53" ht="18.2" customHeight="1" x14ac:dyDescent="0.25">
      <c r="A129" s="79"/>
      <c r="B129" s="698"/>
      <c r="C129" s="698"/>
      <c r="D129" s="698"/>
      <c r="E129" s="698"/>
      <c r="F129" s="698"/>
      <c r="G129" s="698"/>
      <c r="H129" s="698"/>
      <c r="I129" s="698"/>
      <c r="J129" s="698"/>
      <c r="K129" s="698"/>
      <c r="L129" s="698"/>
      <c r="M129" s="698"/>
      <c r="N129" s="698"/>
      <c r="O129" s="698"/>
      <c r="P129" s="698"/>
      <c r="Q129" s="698"/>
      <c r="R129" s="79"/>
      <c r="W129" s="240">
        <f>IF(OR(
'PROD. 4º MÊS'!C47="Administrativo",
'PROD. 4º MÊS'!C47="Intermediário",
'PROD. 4º MÊS'!C47="Externo",
'PROD. 4º MÊS'!C47="Final"),"-",
'PROD. 4º MÊS'!C47)</f>
        <v>0</v>
      </c>
      <c r="X129" s="241" t="str">
        <f t="shared" si="48"/>
        <v>-</v>
      </c>
      <c r="Y129" s="242" t="str">
        <f t="shared" si="49"/>
        <v>-</v>
      </c>
      <c r="AC129" s="240">
        <f>IF(OR(
'PROD. 3º MÊS'!C47="Administrativo",
'PROD. 3º MÊS'!C47="Intermediário",
'PROD. 3º MÊS'!C47="Externo",
'PROD. 3º MÊS'!C47="Final"),"-",
'PROD. 3º MÊS'!C47)</f>
        <v>0</v>
      </c>
      <c r="AD129" s="241" t="str">
        <f t="shared" si="50"/>
        <v>-</v>
      </c>
      <c r="AE129" s="242" t="str">
        <f t="shared" si="51"/>
        <v>-</v>
      </c>
      <c r="AG129" s="240">
        <f>IF(OR(
'PROD. 2º MÊS'!C47="Administrativo",
'PROD. 2º MÊS'!C47="Intermediário",
'PROD. 2º MÊS'!C47="Externo",
'PROD. 2º MÊS'!C47="Final"),"-",
'PROD. 2º MÊS'!C47)</f>
        <v>0</v>
      </c>
      <c r="AH129" s="241" t="str">
        <f t="shared" si="52"/>
        <v>-</v>
      </c>
      <c r="AI129" s="242" t="str">
        <f t="shared" si="53"/>
        <v>-</v>
      </c>
      <c r="AK129" s="240">
        <f>IF(OR(
'PROD. 1º MÊS'!C47="Administrativo",
'PROD. 1º MÊS'!C47="Intermediário",
'PROD. 1º MÊS'!C47="Externo",
'PROD. 1º MÊS'!C47="Final"),"-",
'PROD. 1º MÊS'!C47)</f>
        <v>0</v>
      </c>
      <c r="AL129" s="241" t="str">
        <f t="shared" si="54"/>
        <v>-</v>
      </c>
      <c r="AM129" s="242" t="str">
        <f t="shared" si="55"/>
        <v>-</v>
      </c>
      <c r="AO129" s="342">
        <f t="shared" si="47"/>
        <v>0</v>
      </c>
      <c r="AP129" s="341" t="str">
        <f t="array" ref="AP129">IFERROR( INDEX( $AO$89:$AO$553, MATCH( 0, COUNTIF( $AP$87:AP128, $AO$89:$AO$553), 0)), "-")</f>
        <v>-</v>
      </c>
      <c r="AQ129" s="257" t="str">
        <f t="shared" si="56"/>
        <v>-</v>
      </c>
      <c r="AR129" s="258" t="str">
        <f t="shared" si="59"/>
        <v>-</v>
      </c>
      <c r="AS129" s="259" t="str">
        <f t="shared" si="60"/>
        <v>-</v>
      </c>
      <c r="AT129" s="259" t="str">
        <f t="shared" si="61"/>
        <v>-</v>
      </c>
      <c r="AU129" s="260" t="str">
        <f t="shared" si="62"/>
        <v>-</v>
      </c>
      <c r="AV129" s="261" t="str">
        <f t="shared" si="63"/>
        <v>-</v>
      </c>
      <c r="AW129" s="262" t="str">
        <f t="shared" si="64"/>
        <v>-</v>
      </c>
      <c r="AX129" s="262" t="str">
        <f t="shared" si="65"/>
        <v>-</v>
      </c>
      <c r="AY129" s="263" t="str">
        <f t="shared" si="66"/>
        <v>-</v>
      </c>
      <c r="AZ129" s="264" t="str">
        <f t="shared" si="57"/>
        <v>-</v>
      </c>
      <c r="BA129" s="96" t="str">
        <f t="shared" si="58"/>
        <v>-</v>
      </c>
    </row>
    <row r="130" spans="1:53" ht="18.2" customHeight="1" x14ac:dyDescent="0.25">
      <c r="A130" s="79"/>
      <c r="B130" s="698"/>
      <c r="C130" s="698"/>
      <c r="D130" s="698"/>
      <c r="E130" s="698"/>
      <c r="F130" s="698"/>
      <c r="G130" s="698"/>
      <c r="H130" s="698"/>
      <c r="I130" s="698"/>
      <c r="J130" s="698"/>
      <c r="K130" s="698"/>
      <c r="L130" s="698"/>
      <c r="M130" s="698"/>
      <c r="N130" s="698"/>
      <c r="O130" s="698"/>
      <c r="P130" s="698"/>
      <c r="Q130" s="698"/>
      <c r="R130" s="79"/>
      <c r="W130" s="240">
        <f>IF(OR(
'PROD. 4º MÊS'!C48="Administrativo",
'PROD. 4º MÊS'!C48="Intermediário",
'PROD. 4º MÊS'!C48="Externo",
'PROD. 4º MÊS'!C48="Final"),"-",
'PROD. 4º MÊS'!C48)</f>
        <v>0</v>
      </c>
      <c r="X130" s="241" t="str">
        <f t="shared" si="48"/>
        <v>-</v>
      </c>
      <c r="Y130" s="242" t="str">
        <f t="shared" si="49"/>
        <v>-</v>
      </c>
      <c r="AC130" s="240">
        <f>IF(OR(
'PROD. 3º MÊS'!C48="Administrativo",
'PROD. 3º MÊS'!C48="Intermediário",
'PROD. 3º MÊS'!C48="Externo",
'PROD. 3º MÊS'!C48="Final"),"-",
'PROD. 3º MÊS'!C48)</f>
        <v>0</v>
      </c>
      <c r="AD130" s="241" t="str">
        <f t="shared" si="50"/>
        <v>-</v>
      </c>
      <c r="AE130" s="242" t="str">
        <f t="shared" si="51"/>
        <v>-</v>
      </c>
      <c r="AG130" s="240">
        <f>IF(OR(
'PROD. 2º MÊS'!C48="Administrativo",
'PROD. 2º MÊS'!C48="Intermediário",
'PROD. 2º MÊS'!C48="Externo",
'PROD. 2º MÊS'!C48="Final"),"-",
'PROD. 2º MÊS'!C48)</f>
        <v>0</v>
      </c>
      <c r="AH130" s="241" t="str">
        <f t="shared" si="52"/>
        <v>-</v>
      </c>
      <c r="AI130" s="242" t="str">
        <f t="shared" si="53"/>
        <v>-</v>
      </c>
      <c r="AK130" s="240">
        <f>IF(OR(
'PROD. 1º MÊS'!C48="Administrativo",
'PROD. 1º MÊS'!C48="Intermediário",
'PROD. 1º MÊS'!C48="Externo",
'PROD. 1º MÊS'!C48="Final"),"-",
'PROD. 1º MÊS'!C48)</f>
        <v>0</v>
      </c>
      <c r="AL130" s="241" t="str">
        <f t="shared" si="54"/>
        <v>-</v>
      </c>
      <c r="AM130" s="242" t="str">
        <f t="shared" si="55"/>
        <v>-</v>
      </c>
      <c r="AO130" s="342">
        <f t="shared" si="47"/>
        <v>0</v>
      </c>
      <c r="AP130" s="341" t="str">
        <f t="array" ref="AP130">IFERROR( INDEX( $AO$89:$AO$553, MATCH( 0, COUNTIF( $AP$87:AP129, $AO$89:$AO$553), 0)), "-")</f>
        <v>-</v>
      </c>
      <c r="AQ130" s="248" t="str">
        <f t="shared" si="56"/>
        <v>-</v>
      </c>
      <c r="AR130" s="249" t="str">
        <f t="shared" si="59"/>
        <v>-</v>
      </c>
      <c r="AS130" s="250" t="str">
        <f t="shared" si="60"/>
        <v>-</v>
      </c>
      <c r="AT130" s="250" t="str">
        <f t="shared" si="61"/>
        <v>-</v>
      </c>
      <c r="AU130" s="251" t="str">
        <f t="shared" si="62"/>
        <v>-</v>
      </c>
      <c r="AV130" s="252" t="str">
        <f t="shared" si="63"/>
        <v>-</v>
      </c>
      <c r="AW130" s="253" t="str">
        <f t="shared" si="64"/>
        <v>-</v>
      </c>
      <c r="AX130" s="253" t="str">
        <f t="shared" si="65"/>
        <v>-</v>
      </c>
      <c r="AY130" s="254" t="str">
        <f t="shared" si="66"/>
        <v>-</v>
      </c>
      <c r="AZ130" s="255" t="str">
        <f t="shared" si="57"/>
        <v>-</v>
      </c>
      <c r="BA130" s="95" t="str">
        <f t="shared" si="58"/>
        <v>-</v>
      </c>
    </row>
    <row r="131" spans="1:53" ht="18.2" customHeight="1" x14ac:dyDescent="0.25">
      <c r="A131" s="79"/>
      <c r="B131" s="698"/>
      <c r="C131" s="698"/>
      <c r="D131" s="698"/>
      <c r="E131" s="698"/>
      <c r="F131" s="698"/>
      <c r="G131" s="698"/>
      <c r="H131" s="698"/>
      <c r="I131" s="698"/>
      <c r="J131" s="698"/>
      <c r="K131" s="698"/>
      <c r="L131" s="698"/>
      <c r="M131" s="698"/>
      <c r="N131" s="698"/>
      <c r="O131" s="698"/>
      <c r="P131" s="698"/>
      <c r="Q131" s="698"/>
      <c r="R131" s="79"/>
      <c r="W131" s="240">
        <f>IF(OR(
'PROD. 4º MÊS'!C49="Administrativo",
'PROD. 4º MÊS'!C49="Intermediário",
'PROD. 4º MÊS'!C49="Externo",
'PROD. 4º MÊS'!C49="Final"),"-",
'PROD. 4º MÊS'!C49)</f>
        <v>0</v>
      </c>
      <c r="X131" s="241" t="str">
        <f t="shared" si="48"/>
        <v>-</v>
      </c>
      <c r="Y131" s="242" t="str">
        <f t="shared" si="49"/>
        <v>-</v>
      </c>
      <c r="AC131" s="240">
        <f>IF(OR(
'PROD. 3º MÊS'!C49="Administrativo",
'PROD. 3º MÊS'!C49="Intermediário",
'PROD. 3º MÊS'!C49="Externo",
'PROD. 3º MÊS'!C49="Final"),"-",
'PROD. 3º MÊS'!C49)</f>
        <v>0</v>
      </c>
      <c r="AD131" s="241" t="str">
        <f t="shared" si="50"/>
        <v>-</v>
      </c>
      <c r="AE131" s="242" t="str">
        <f t="shared" si="51"/>
        <v>-</v>
      </c>
      <c r="AG131" s="240">
        <f>IF(OR(
'PROD. 2º MÊS'!C49="Administrativo",
'PROD. 2º MÊS'!C49="Intermediário",
'PROD. 2º MÊS'!C49="Externo",
'PROD. 2º MÊS'!C49="Final"),"-",
'PROD. 2º MÊS'!C49)</f>
        <v>0</v>
      </c>
      <c r="AH131" s="241" t="str">
        <f t="shared" si="52"/>
        <v>-</v>
      </c>
      <c r="AI131" s="242" t="str">
        <f t="shared" si="53"/>
        <v>-</v>
      </c>
      <c r="AK131" s="240">
        <f>IF(OR(
'PROD. 1º MÊS'!C49="Administrativo",
'PROD. 1º MÊS'!C49="Intermediário",
'PROD. 1º MÊS'!C49="Externo",
'PROD. 1º MÊS'!C49="Final"),"-",
'PROD. 1º MÊS'!C49)</f>
        <v>0</v>
      </c>
      <c r="AL131" s="241" t="str">
        <f t="shared" si="54"/>
        <v>-</v>
      </c>
      <c r="AM131" s="242" t="str">
        <f t="shared" si="55"/>
        <v>-</v>
      </c>
      <c r="AO131" s="342">
        <f t="shared" si="47"/>
        <v>0</v>
      </c>
      <c r="AP131" s="341" t="str">
        <f t="array" ref="AP131">IFERROR( INDEX( $AO$89:$AO$553, MATCH( 0, COUNTIF( $AP$87:AP130, $AO$89:$AO$553), 0)), "-")</f>
        <v>-</v>
      </c>
      <c r="AQ131" s="257" t="str">
        <f t="shared" si="56"/>
        <v>-</v>
      </c>
      <c r="AR131" s="258" t="str">
        <f t="shared" si="59"/>
        <v>-</v>
      </c>
      <c r="AS131" s="259" t="str">
        <f t="shared" si="60"/>
        <v>-</v>
      </c>
      <c r="AT131" s="259" t="str">
        <f t="shared" si="61"/>
        <v>-</v>
      </c>
      <c r="AU131" s="260" t="str">
        <f t="shared" si="62"/>
        <v>-</v>
      </c>
      <c r="AV131" s="261" t="str">
        <f t="shared" si="63"/>
        <v>-</v>
      </c>
      <c r="AW131" s="262" t="str">
        <f t="shared" si="64"/>
        <v>-</v>
      </c>
      <c r="AX131" s="262" t="str">
        <f t="shared" si="65"/>
        <v>-</v>
      </c>
      <c r="AY131" s="263" t="str">
        <f t="shared" si="66"/>
        <v>-</v>
      </c>
      <c r="AZ131" s="264" t="str">
        <f t="shared" si="57"/>
        <v>-</v>
      </c>
      <c r="BA131" s="96" t="str">
        <f t="shared" si="58"/>
        <v>-</v>
      </c>
    </row>
    <row r="132" spans="1:53" ht="18.2" customHeight="1" x14ac:dyDescent="0.25">
      <c r="A132" s="79"/>
      <c r="B132" s="698"/>
      <c r="C132" s="698"/>
      <c r="D132" s="698"/>
      <c r="E132" s="698"/>
      <c r="F132" s="698"/>
      <c r="G132" s="698"/>
      <c r="H132" s="698"/>
      <c r="I132" s="698"/>
      <c r="J132" s="698"/>
      <c r="K132" s="698"/>
      <c r="L132" s="698"/>
      <c r="M132" s="698"/>
      <c r="N132" s="698"/>
      <c r="O132" s="698"/>
      <c r="P132" s="698"/>
      <c r="Q132" s="698"/>
      <c r="R132" s="79"/>
      <c r="W132" s="240">
        <f>IF(OR(
'PROD. 4º MÊS'!C50="Administrativo",
'PROD. 4º MÊS'!C50="Intermediário",
'PROD. 4º MÊS'!C50="Externo",
'PROD. 4º MÊS'!C50="Final"),"-",
'PROD. 4º MÊS'!C50)</f>
        <v>0</v>
      </c>
      <c r="X132" s="241" t="str">
        <f t="shared" si="48"/>
        <v>-</v>
      </c>
      <c r="Y132" s="242" t="str">
        <f t="shared" si="49"/>
        <v>-</v>
      </c>
      <c r="AC132" s="240">
        <f>IF(OR(
'PROD. 3º MÊS'!C50="Administrativo",
'PROD. 3º MÊS'!C50="Intermediário",
'PROD. 3º MÊS'!C50="Externo",
'PROD. 3º MÊS'!C50="Final"),"-",
'PROD. 3º MÊS'!C50)</f>
        <v>0</v>
      </c>
      <c r="AD132" s="241" t="str">
        <f t="shared" si="50"/>
        <v>-</v>
      </c>
      <c r="AE132" s="242" t="str">
        <f t="shared" si="51"/>
        <v>-</v>
      </c>
      <c r="AG132" s="240">
        <f>IF(OR(
'PROD. 2º MÊS'!C50="Administrativo",
'PROD. 2º MÊS'!C50="Intermediário",
'PROD. 2º MÊS'!C50="Externo",
'PROD. 2º MÊS'!C50="Final"),"-",
'PROD. 2º MÊS'!C50)</f>
        <v>0</v>
      </c>
      <c r="AH132" s="241" t="str">
        <f t="shared" si="52"/>
        <v>-</v>
      </c>
      <c r="AI132" s="242" t="str">
        <f t="shared" si="53"/>
        <v>-</v>
      </c>
      <c r="AK132" s="240">
        <f>IF(OR(
'PROD. 1º MÊS'!C50="Administrativo",
'PROD. 1º MÊS'!C50="Intermediário",
'PROD. 1º MÊS'!C50="Externo",
'PROD. 1º MÊS'!C50="Final"),"-",
'PROD. 1º MÊS'!C50)</f>
        <v>0</v>
      </c>
      <c r="AL132" s="241" t="str">
        <f t="shared" si="54"/>
        <v>-</v>
      </c>
      <c r="AM132" s="242" t="str">
        <f t="shared" si="55"/>
        <v>-</v>
      </c>
      <c r="AO132" s="342">
        <f t="shared" si="47"/>
        <v>0</v>
      </c>
      <c r="AP132" s="341" t="str">
        <f t="array" ref="AP132">IFERROR( INDEX( $AO$89:$AO$553, MATCH( 0, COUNTIF( $AP$87:AP131, $AO$89:$AO$553), 0)), "-")</f>
        <v>-</v>
      </c>
      <c r="AQ132" s="248" t="str">
        <f t="shared" si="56"/>
        <v>-</v>
      </c>
      <c r="AR132" s="249" t="str">
        <f t="shared" si="59"/>
        <v>-</v>
      </c>
      <c r="AS132" s="250" t="str">
        <f t="shared" si="60"/>
        <v>-</v>
      </c>
      <c r="AT132" s="250" t="str">
        <f t="shared" si="61"/>
        <v>-</v>
      </c>
      <c r="AU132" s="251" t="str">
        <f t="shared" si="62"/>
        <v>-</v>
      </c>
      <c r="AV132" s="252" t="str">
        <f t="shared" si="63"/>
        <v>-</v>
      </c>
      <c r="AW132" s="253" t="str">
        <f t="shared" si="64"/>
        <v>-</v>
      </c>
      <c r="AX132" s="253" t="str">
        <f t="shared" si="65"/>
        <v>-</v>
      </c>
      <c r="AY132" s="254" t="str">
        <f t="shared" si="66"/>
        <v>-</v>
      </c>
      <c r="AZ132" s="255" t="str">
        <f t="shared" si="57"/>
        <v>-</v>
      </c>
      <c r="BA132" s="95" t="str">
        <f t="shared" si="58"/>
        <v>-</v>
      </c>
    </row>
    <row r="133" spans="1:53" ht="18.2" customHeight="1" x14ac:dyDescent="0.25">
      <c r="A133" s="79"/>
      <c r="B133" s="698"/>
      <c r="C133" s="698"/>
      <c r="D133" s="698"/>
      <c r="E133" s="698"/>
      <c r="F133" s="698"/>
      <c r="G133" s="698"/>
      <c r="H133" s="698"/>
      <c r="I133" s="698"/>
      <c r="J133" s="698"/>
      <c r="K133" s="698"/>
      <c r="L133" s="698"/>
      <c r="M133" s="698"/>
      <c r="N133" s="698"/>
      <c r="O133" s="698"/>
      <c r="P133" s="698"/>
      <c r="Q133" s="698"/>
      <c r="R133" s="79"/>
      <c r="W133" s="240">
        <f>IF(OR(
'PROD. 4º MÊS'!C51="Administrativo",
'PROD. 4º MÊS'!C51="Intermediário",
'PROD. 4º MÊS'!C51="Externo",
'PROD. 4º MÊS'!C51="Final"),"-",
'PROD. 4º MÊS'!C51)</f>
        <v>0</v>
      </c>
      <c r="X133" s="241" t="str">
        <f t="shared" si="48"/>
        <v>-</v>
      </c>
      <c r="Y133" s="242" t="str">
        <f t="shared" si="49"/>
        <v>-</v>
      </c>
      <c r="AC133" s="240">
        <f>IF(OR(
'PROD. 3º MÊS'!C51="Administrativo",
'PROD. 3º MÊS'!C51="Intermediário",
'PROD. 3º MÊS'!C51="Externo",
'PROD. 3º MÊS'!C51="Final"),"-",
'PROD. 3º MÊS'!C51)</f>
        <v>0</v>
      </c>
      <c r="AD133" s="241" t="str">
        <f t="shared" si="50"/>
        <v>-</v>
      </c>
      <c r="AE133" s="242" t="str">
        <f t="shared" si="51"/>
        <v>-</v>
      </c>
      <c r="AG133" s="240">
        <f>IF(OR(
'PROD. 2º MÊS'!C51="Administrativo",
'PROD. 2º MÊS'!C51="Intermediário",
'PROD. 2º MÊS'!C51="Externo",
'PROD. 2º MÊS'!C51="Final"),"-",
'PROD. 2º MÊS'!C51)</f>
        <v>0</v>
      </c>
      <c r="AH133" s="241" t="str">
        <f t="shared" si="52"/>
        <v>-</v>
      </c>
      <c r="AI133" s="242" t="str">
        <f t="shared" si="53"/>
        <v>-</v>
      </c>
      <c r="AK133" s="240">
        <f>IF(OR(
'PROD. 1º MÊS'!C51="Administrativo",
'PROD. 1º MÊS'!C51="Intermediário",
'PROD. 1º MÊS'!C51="Externo",
'PROD. 1º MÊS'!C51="Final"),"-",
'PROD. 1º MÊS'!C51)</f>
        <v>0</v>
      </c>
      <c r="AL133" s="241" t="str">
        <f t="shared" si="54"/>
        <v>-</v>
      </c>
      <c r="AM133" s="242" t="str">
        <f t="shared" si="55"/>
        <v>-</v>
      </c>
      <c r="AO133" s="342">
        <f t="shared" si="47"/>
        <v>0</v>
      </c>
      <c r="AP133" s="341" t="str">
        <f t="array" ref="AP133">IFERROR( INDEX( $AO$89:$AO$553, MATCH( 0, COUNTIF( $AP$87:AP132, $AO$89:$AO$553), 0)), "-")</f>
        <v>-</v>
      </c>
      <c r="AQ133" s="257" t="str">
        <f t="shared" si="56"/>
        <v>-</v>
      </c>
      <c r="AR133" s="258" t="str">
        <f t="shared" si="59"/>
        <v>-</v>
      </c>
      <c r="AS133" s="259" t="str">
        <f t="shared" si="60"/>
        <v>-</v>
      </c>
      <c r="AT133" s="259" t="str">
        <f t="shared" si="61"/>
        <v>-</v>
      </c>
      <c r="AU133" s="260" t="str">
        <f t="shared" si="62"/>
        <v>-</v>
      </c>
      <c r="AV133" s="261" t="str">
        <f t="shared" si="63"/>
        <v>-</v>
      </c>
      <c r="AW133" s="262" t="str">
        <f t="shared" si="64"/>
        <v>-</v>
      </c>
      <c r="AX133" s="262" t="str">
        <f t="shared" si="65"/>
        <v>-</v>
      </c>
      <c r="AY133" s="263" t="str">
        <f t="shared" si="66"/>
        <v>-</v>
      </c>
      <c r="AZ133" s="264" t="str">
        <f t="shared" si="57"/>
        <v>-</v>
      </c>
      <c r="BA133" s="96" t="str">
        <f t="shared" si="58"/>
        <v>-</v>
      </c>
    </row>
    <row r="134" spans="1:53" ht="18.2" customHeight="1" x14ac:dyDescent="0.25">
      <c r="A134" s="79"/>
      <c r="B134" s="698"/>
      <c r="C134" s="698"/>
      <c r="D134" s="698"/>
      <c r="E134" s="698"/>
      <c r="F134" s="698"/>
      <c r="G134" s="698"/>
      <c r="H134" s="698"/>
      <c r="I134" s="698"/>
      <c r="J134" s="698"/>
      <c r="K134" s="698"/>
      <c r="L134" s="698"/>
      <c r="M134" s="698"/>
      <c r="N134" s="698"/>
      <c r="O134" s="698"/>
      <c r="P134" s="698"/>
      <c r="Q134" s="698"/>
      <c r="R134" s="79"/>
      <c r="W134" s="240">
        <f>IF(OR(
'PROD. 4º MÊS'!C52="Administrativo",
'PROD. 4º MÊS'!C52="Intermediário",
'PROD. 4º MÊS'!C52="Externo",
'PROD. 4º MÊS'!C52="Final"),"-",
'PROD. 4º MÊS'!C52)</f>
        <v>0</v>
      </c>
      <c r="X134" s="241" t="str">
        <f t="shared" si="48"/>
        <v>-</v>
      </c>
      <c r="Y134" s="242" t="str">
        <f t="shared" si="49"/>
        <v>-</v>
      </c>
      <c r="AC134" s="240">
        <f>IF(OR(
'PROD. 3º MÊS'!C52="Administrativo",
'PROD. 3º MÊS'!C52="Intermediário",
'PROD. 3º MÊS'!C52="Externo",
'PROD. 3º MÊS'!C52="Final"),"-",
'PROD. 3º MÊS'!C52)</f>
        <v>0</v>
      </c>
      <c r="AD134" s="241" t="str">
        <f t="shared" si="50"/>
        <v>-</v>
      </c>
      <c r="AE134" s="242" t="str">
        <f t="shared" si="51"/>
        <v>-</v>
      </c>
      <c r="AG134" s="240">
        <f>IF(OR(
'PROD. 2º MÊS'!C52="Administrativo",
'PROD. 2º MÊS'!C52="Intermediário",
'PROD. 2º MÊS'!C52="Externo",
'PROD. 2º MÊS'!C52="Final"),"-",
'PROD. 2º MÊS'!C52)</f>
        <v>0</v>
      </c>
      <c r="AH134" s="241" t="str">
        <f t="shared" si="52"/>
        <v>-</v>
      </c>
      <c r="AI134" s="242" t="str">
        <f t="shared" si="53"/>
        <v>-</v>
      </c>
      <c r="AK134" s="240">
        <f>IF(OR(
'PROD. 1º MÊS'!C52="Administrativo",
'PROD. 1º MÊS'!C52="Intermediário",
'PROD. 1º MÊS'!C52="Externo",
'PROD. 1º MÊS'!C52="Final"),"-",
'PROD. 1º MÊS'!C52)</f>
        <v>0</v>
      </c>
      <c r="AL134" s="241" t="str">
        <f t="shared" si="54"/>
        <v>-</v>
      </c>
      <c r="AM134" s="242" t="str">
        <f t="shared" si="55"/>
        <v>-</v>
      </c>
      <c r="AO134" s="342">
        <f t="shared" si="47"/>
        <v>0</v>
      </c>
      <c r="AP134" s="341" t="str">
        <f t="array" ref="AP134">IFERROR( INDEX( $AO$89:$AO$553, MATCH( 0, COUNTIF( $AP$87:AP133, $AO$89:$AO$553), 0)), "-")</f>
        <v>-</v>
      </c>
      <c r="AQ134" s="248" t="str">
        <f t="shared" si="56"/>
        <v>-</v>
      </c>
      <c r="AR134" s="249" t="str">
        <f t="shared" si="59"/>
        <v>-</v>
      </c>
      <c r="AS134" s="250" t="str">
        <f t="shared" si="60"/>
        <v>-</v>
      </c>
      <c r="AT134" s="250" t="str">
        <f t="shared" si="61"/>
        <v>-</v>
      </c>
      <c r="AU134" s="251" t="str">
        <f t="shared" si="62"/>
        <v>-</v>
      </c>
      <c r="AV134" s="252" t="str">
        <f t="shared" si="63"/>
        <v>-</v>
      </c>
      <c r="AW134" s="253" t="str">
        <f t="shared" si="64"/>
        <v>-</v>
      </c>
      <c r="AX134" s="253" t="str">
        <f t="shared" si="65"/>
        <v>-</v>
      </c>
      <c r="AY134" s="254" t="str">
        <f t="shared" si="66"/>
        <v>-</v>
      </c>
      <c r="AZ134" s="255" t="str">
        <f t="shared" si="57"/>
        <v>-</v>
      </c>
      <c r="BA134" s="95" t="str">
        <f t="shared" si="58"/>
        <v>-</v>
      </c>
    </row>
    <row r="135" spans="1:53" ht="18.2" customHeight="1" x14ac:dyDescent="0.25">
      <c r="A135" s="79"/>
      <c r="B135" s="698"/>
      <c r="C135" s="698"/>
      <c r="D135" s="698"/>
      <c r="E135" s="698"/>
      <c r="F135" s="698"/>
      <c r="G135" s="698"/>
      <c r="H135" s="698"/>
      <c r="I135" s="698"/>
      <c r="J135" s="698"/>
      <c r="K135" s="698"/>
      <c r="L135" s="698"/>
      <c r="M135" s="698"/>
      <c r="N135" s="698"/>
      <c r="O135" s="698"/>
      <c r="P135" s="698"/>
      <c r="Q135" s="698"/>
      <c r="R135" s="79"/>
      <c r="W135" s="240">
        <f>IF(OR(
'PROD. 4º MÊS'!C53="Administrativo",
'PROD. 4º MÊS'!C53="Intermediário",
'PROD. 4º MÊS'!C53="Externo",
'PROD. 4º MÊS'!C53="Final"),"-",
'PROD. 4º MÊS'!C53)</f>
        <v>0</v>
      </c>
      <c r="X135" s="241" t="str">
        <f t="shared" si="48"/>
        <v>-</v>
      </c>
      <c r="Y135" s="242" t="str">
        <f t="shared" si="49"/>
        <v>-</v>
      </c>
      <c r="AC135" s="240">
        <f>IF(OR(
'PROD. 3º MÊS'!C53="Administrativo",
'PROD. 3º MÊS'!C53="Intermediário",
'PROD. 3º MÊS'!C53="Externo",
'PROD. 3º MÊS'!C53="Final"),"-",
'PROD. 3º MÊS'!C53)</f>
        <v>0</v>
      </c>
      <c r="AD135" s="241" t="str">
        <f t="shared" si="50"/>
        <v>-</v>
      </c>
      <c r="AE135" s="242" t="str">
        <f t="shared" si="51"/>
        <v>-</v>
      </c>
      <c r="AG135" s="240">
        <f>IF(OR(
'PROD. 2º MÊS'!C53="Administrativo",
'PROD. 2º MÊS'!C53="Intermediário",
'PROD. 2º MÊS'!C53="Externo",
'PROD. 2º MÊS'!C53="Final"),"-",
'PROD. 2º MÊS'!C53)</f>
        <v>0</v>
      </c>
      <c r="AH135" s="241" t="str">
        <f t="shared" si="52"/>
        <v>-</v>
      </c>
      <c r="AI135" s="242" t="str">
        <f t="shared" si="53"/>
        <v>-</v>
      </c>
      <c r="AK135" s="240">
        <f>IF(OR(
'PROD. 1º MÊS'!C53="Administrativo",
'PROD. 1º MÊS'!C53="Intermediário",
'PROD. 1º MÊS'!C53="Externo",
'PROD. 1º MÊS'!C53="Final"),"-",
'PROD. 1º MÊS'!C53)</f>
        <v>0</v>
      </c>
      <c r="AL135" s="241" t="str">
        <f t="shared" si="54"/>
        <v>-</v>
      </c>
      <c r="AM135" s="242" t="str">
        <f t="shared" si="55"/>
        <v>-</v>
      </c>
      <c r="AO135" s="342">
        <f t="shared" si="47"/>
        <v>0</v>
      </c>
      <c r="AP135" s="341" t="str">
        <f t="array" ref="AP135">IFERROR( INDEX( $AO$89:$AO$553, MATCH( 0, COUNTIF( $AP$87:AP134, $AO$89:$AO$553), 0)), "-")</f>
        <v>-</v>
      </c>
      <c r="AQ135" s="257" t="str">
        <f t="shared" si="56"/>
        <v>-</v>
      </c>
      <c r="AR135" s="258" t="str">
        <f t="shared" si="59"/>
        <v>-</v>
      </c>
      <c r="AS135" s="259" t="str">
        <f t="shared" si="60"/>
        <v>-</v>
      </c>
      <c r="AT135" s="259" t="str">
        <f t="shared" si="61"/>
        <v>-</v>
      </c>
      <c r="AU135" s="260" t="str">
        <f t="shared" si="62"/>
        <v>-</v>
      </c>
      <c r="AV135" s="261" t="str">
        <f t="shared" si="63"/>
        <v>-</v>
      </c>
      <c r="AW135" s="262" t="str">
        <f t="shared" si="64"/>
        <v>-</v>
      </c>
      <c r="AX135" s="262" t="str">
        <f t="shared" si="65"/>
        <v>-</v>
      </c>
      <c r="AY135" s="263" t="str">
        <f t="shared" si="66"/>
        <v>-</v>
      </c>
      <c r="AZ135" s="264" t="str">
        <f t="shared" si="57"/>
        <v>-</v>
      </c>
      <c r="BA135" s="96" t="str">
        <f t="shared" si="58"/>
        <v>-</v>
      </c>
    </row>
    <row r="136" spans="1:53" ht="18.2" customHeight="1" x14ac:dyDescent="0.25">
      <c r="A136" s="79"/>
      <c r="B136" s="698"/>
      <c r="C136" s="698"/>
      <c r="D136" s="698"/>
      <c r="E136" s="698"/>
      <c r="F136" s="698"/>
      <c r="G136" s="698"/>
      <c r="H136" s="698"/>
      <c r="I136" s="698"/>
      <c r="J136" s="698"/>
      <c r="K136" s="698"/>
      <c r="L136" s="698"/>
      <c r="M136" s="698"/>
      <c r="N136" s="698"/>
      <c r="O136" s="698"/>
      <c r="P136" s="698"/>
      <c r="Q136" s="698"/>
      <c r="R136" s="79"/>
      <c r="W136" s="240">
        <f>IF(OR(
'PROD. 4º MÊS'!C54="Administrativo",
'PROD. 4º MÊS'!C54="Intermediário",
'PROD. 4º MÊS'!C54="Externo",
'PROD. 4º MÊS'!C54="Final"),"-",
'PROD. 4º MÊS'!C54)</f>
        <v>0</v>
      </c>
      <c r="X136" s="241" t="str">
        <f t="shared" si="48"/>
        <v>-</v>
      </c>
      <c r="Y136" s="242" t="str">
        <f t="shared" si="49"/>
        <v>-</v>
      </c>
      <c r="AC136" s="240">
        <f>IF(OR(
'PROD. 3º MÊS'!C54="Administrativo",
'PROD. 3º MÊS'!C54="Intermediário",
'PROD. 3º MÊS'!C54="Externo",
'PROD. 3º MÊS'!C54="Final"),"-",
'PROD. 3º MÊS'!C54)</f>
        <v>0</v>
      </c>
      <c r="AD136" s="241" t="str">
        <f t="shared" si="50"/>
        <v>-</v>
      </c>
      <c r="AE136" s="242" t="str">
        <f t="shared" si="51"/>
        <v>-</v>
      </c>
      <c r="AG136" s="240">
        <f>IF(OR(
'PROD. 2º MÊS'!C54="Administrativo",
'PROD. 2º MÊS'!C54="Intermediário",
'PROD. 2º MÊS'!C54="Externo",
'PROD. 2º MÊS'!C54="Final"),"-",
'PROD. 2º MÊS'!C54)</f>
        <v>0</v>
      </c>
      <c r="AH136" s="241" t="str">
        <f t="shared" si="52"/>
        <v>-</v>
      </c>
      <c r="AI136" s="242" t="str">
        <f t="shared" si="53"/>
        <v>-</v>
      </c>
      <c r="AK136" s="240">
        <f>IF(OR(
'PROD. 1º MÊS'!C54="Administrativo",
'PROD. 1º MÊS'!C54="Intermediário",
'PROD. 1º MÊS'!C54="Externo",
'PROD. 1º MÊS'!C54="Final"),"-",
'PROD. 1º MÊS'!C54)</f>
        <v>0</v>
      </c>
      <c r="AL136" s="241" t="str">
        <f t="shared" si="54"/>
        <v>-</v>
      </c>
      <c r="AM136" s="242" t="str">
        <f t="shared" si="55"/>
        <v>-</v>
      </c>
      <c r="AO136" s="342">
        <f t="shared" si="47"/>
        <v>0</v>
      </c>
      <c r="AP136" s="341" t="str">
        <f t="array" ref="AP136">IFERROR( INDEX( $AO$89:$AO$553, MATCH( 0, COUNTIF( $AP$87:AP135, $AO$89:$AO$553), 0)), "-")</f>
        <v>-</v>
      </c>
      <c r="AQ136" s="248" t="str">
        <f t="shared" si="56"/>
        <v>-</v>
      </c>
      <c r="AR136" s="249" t="str">
        <f t="shared" si="59"/>
        <v>-</v>
      </c>
      <c r="AS136" s="250" t="str">
        <f t="shared" si="60"/>
        <v>-</v>
      </c>
      <c r="AT136" s="250" t="str">
        <f t="shared" si="61"/>
        <v>-</v>
      </c>
      <c r="AU136" s="251" t="str">
        <f t="shared" si="62"/>
        <v>-</v>
      </c>
      <c r="AV136" s="252" t="str">
        <f t="shared" si="63"/>
        <v>-</v>
      </c>
      <c r="AW136" s="253" t="str">
        <f t="shared" si="64"/>
        <v>-</v>
      </c>
      <c r="AX136" s="253" t="str">
        <f t="shared" si="65"/>
        <v>-</v>
      </c>
      <c r="AY136" s="254" t="str">
        <f t="shared" si="66"/>
        <v>-</v>
      </c>
      <c r="AZ136" s="255" t="str">
        <f t="shared" si="57"/>
        <v>-</v>
      </c>
      <c r="BA136" s="95" t="str">
        <f t="shared" si="58"/>
        <v>-</v>
      </c>
    </row>
    <row r="137" spans="1:53" ht="18.2" customHeight="1" x14ac:dyDescent="0.25">
      <c r="A137" s="79"/>
      <c r="B137" s="698"/>
      <c r="C137" s="698"/>
      <c r="D137" s="698"/>
      <c r="E137" s="698"/>
      <c r="F137" s="698"/>
      <c r="G137" s="698"/>
      <c r="H137" s="698"/>
      <c r="I137" s="698"/>
      <c r="J137" s="698"/>
      <c r="K137" s="698"/>
      <c r="L137" s="698"/>
      <c r="M137" s="698"/>
      <c r="N137" s="698"/>
      <c r="O137" s="698"/>
      <c r="P137" s="698"/>
      <c r="Q137" s="698"/>
      <c r="R137" s="79"/>
      <c r="W137" s="240">
        <f>IF(OR(
'PROD. 4º MÊS'!C55="Administrativo",
'PROD. 4º MÊS'!C55="Intermediário",
'PROD. 4º MÊS'!C55="Externo",
'PROD. 4º MÊS'!C55="Final"),"-",
'PROD. 4º MÊS'!C55)</f>
        <v>0</v>
      </c>
      <c r="X137" s="241" t="str">
        <f t="shared" si="48"/>
        <v>-</v>
      </c>
      <c r="Y137" s="242" t="str">
        <f t="shared" si="49"/>
        <v>-</v>
      </c>
      <c r="AC137" s="240">
        <f>IF(OR(
'PROD. 3º MÊS'!C55="Administrativo",
'PROD. 3º MÊS'!C55="Intermediário",
'PROD. 3º MÊS'!C55="Externo",
'PROD. 3º MÊS'!C55="Final"),"-",
'PROD. 3º MÊS'!C55)</f>
        <v>0</v>
      </c>
      <c r="AD137" s="241" t="str">
        <f t="shared" si="50"/>
        <v>-</v>
      </c>
      <c r="AE137" s="242" t="str">
        <f t="shared" si="51"/>
        <v>-</v>
      </c>
      <c r="AG137" s="240">
        <f>IF(OR(
'PROD. 2º MÊS'!C55="Administrativo",
'PROD. 2º MÊS'!C55="Intermediário",
'PROD. 2º MÊS'!C55="Externo",
'PROD. 2º MÊS'!C55="Final"),"-",
'PROD. 2º MÊS'!C55)</f>
        <v>0</v>
      </c>
      <c r="AH137" s="241" t="str">
        <f t="shared" si="52"/>
        <v>-</v>
      </c>
      <c r="AI137" s="242" t="str">
        <f t="shared" si="53"/>
        <v>-</v>
      </c>
      <c r="AK137" s="240">
        <f>IF(OR(
'PROD. 1º MÊS'!C55="Administrativo",
'PROD. 1º MÊS'!C55="Intermediário",
'PROD. 1º MÊS'!C55="Externo",
'PROD. 1º MÊS'!C55="Final"),"-",
'PROD. 1º MÊS'!C55)</f>
        <v>0</v>
      </c>
      <c r="AL137" s="241" t="str">
        <f t="shared" si="54"/>
        <v>-</v>
      </c>
      <c r="AM137" s="242" t="str">
        <f t="shared" si="55"/>
        <v>-</v>
      </c>
      <c r="AO137" s="342">
        <f t="shared" si="47"/>
        <v>0</v>
      </c>
      <c r="AP137" s="341" t="str">
        <f t="array" ref="AP137">IFERROR( INDEX( $AO$89:$AO$553, MATCH( 0, COUNTIF( $AP$87:AP136, $AO$89:$AO$553), 0)), "-")</f>
        <v>-</v>
      </c>
      <c r="AQ137" s="257" t="str">
        <f t="shared" si="56"/>
        <v>-</v>
      </c>
      <c r="AR137" s="258" t="str">
        <f t="shared" si="59"/>
        <v>-</v>
      </c>
      <c r="AS137" s="259" t="str">
        <f t="shared" si="60"/>
        <v>-</v>
      </c>
      <c r="AT137" s="259" t="str">
        <f t="shared" si="61"/>
        <v>-</v>
      </c>
      <c r="AU137" s="260" t="str">
        <f t="shared" si="62"/>
        <v>-</v>
      </c>
      <c r="AV137" s="261" t="str">
        <f t="shared" si="63"/>
        <v>-</v>
      </c>
      <c r="AW137" s="262" t="str">
        <f t="shared" si="64"/>
        <v>-</v>
      </c>
      <c r="AX137" s="262" t="str">
        <f t="shared" si="65"/>
        <v>-</v>
      </c>
      <c r="AY137" s="263" t="str">
        <f t="shared" si="66"/>
        <v>-</v>
      </c>
      <c r="AZ137" s="264" t="str">
        <f t="shared" si="57"/>
        <v>-</v>
      </c>
      <c r="BA137" s="96" t="str">
        <f t="shared" si="58"/>
        <v>-</v>
      </c>
    </row>
    <row r="138" spans="1:53" ht="18.2" customHeight="1" x14ac:dyDescent="0.25">
      <c r="A138" s="79"/>
      <c r="B138" s="698"/>
      <c r="C138" s="698"/>
      <c r="D138" s="698"/>
      <c r="E138" s="698"/>
      <c r="F138" s="698"/>
      <c r="G138" s="698"/>
      <c r="H138" s="698"/>
      <c r="I138" s="698"/>
      <c r="J138" s="698"/>
      <c r="K138" s="698"/>
      <c r="L138" s="698"/>
      <c r="M138" s="698"/>
      <c r="N138" s="698"/>
      <c r="O138" s="698"/>
      <c r="P138" s="698"/>
      <c r="Q138" s="698"/>
      <c r="R138" s="79"/>
      <c r="W138" s="240">
        <f>IF(OR(
'PROD. 4º MÊS'!C56="Administrativo",
'PROD. 4º MÊS'!C56="Intermediário",
'PROD. 4º MÊS'!C56="Externo",
'PROD. 4º MÊS'!C56="Final"),"-",
'PROD. 4º MÊS'!C56)</f>
        <v>0</v>
      </c>
      <c r="X138" s="241" t="str">
        <f t="shared" si="48"/>
        <v>-</v>
      </c>
      <c r="Y138" s="242" t="str">
        <f t="shared" si="49"/>
        <v>-</v>
      </c>
      <c r="AC138" s="240">
        <f>IF(OR(
'PROD. 3º MÊS'!C56="Administrativo",
'PROD. 3º MÊS'!C56="Intermediário",
'PROD. 3º MÊS'!C56="Externo",
'PROD. 3º MÊS'!C56="Final"),"-",
'PROD. 3º MÊS'!C56)</f>
        <v>0</v>
      </c>
      <c r="AD138" s="241" t="str">
        <f t="shared" si="50"/>
        <v>-</v>
      </c>
      <c r="AE138" s="242" t="str">
        <f t="shared" si="51"/>
        <v>-</v>
      </c>
      <c r="AG138" s="240">
        <f>IF(OR(
'PROD. 2º MÊS'!C56="Administrativo",
'PROD. 2º MÊS'!C56="Intermediário",
'PROD. 2º MÊS'!C56="Externo",
'PROD. 2º MÊS'!C56="Final"),"-",
'PROD. 2º MÊS'!C56)</f>
        <v>0</v>
      </c>
      <c r="AH138" s="241" t="str">
        <f t="shared" si="52"/>
        <v>-</v>
      </c>
      <c r="AI138" s="242" t="str">
        <f t="shared" si="53"/>
        <v>-</v>
      </c>
      <c r="AK138" s="240">
        <f>IF(OR(
'PROD. 1º MÊS'!C56="Administrativo",
'PROD. 1º MÊS'!C56="Intermediário",
'PROD. 1º MÊS'!C56="Externo",
'PROD. 1º MÊS'!C56="Final"),"-",
'PROD. 1º MÊS'!C56)</f>
        <v>0</v>
      </c>
      <c r="AL138" s="241" t="str">
        <f t="shared" si="54"/>
        <v>-</v>
      </c>
      <c r="AM138" s="242" t="str">
        <f t="shared" si="55"/>
        <v>-</v>
      </c>
      <c r="AO138" s="342">
        <f t="shared" si="47"/>
        <v>0</v>
      </c>
      <c r="AP138" s="341" t="str">
        <f t="array" ref="AP138">IFERROR( INDEX( $AO$89:$AO$553, MATCH( 0, COUNTIF( $AP$87:AP137, $AO$89:$AO$553), 0)), "-")</f>
        <v>-</v>
      </c>
      <c r="AQ138" s="248" t="str">
        <f t="shared" si="56"/>
        <v>-</v>
      </c>
      <c r="AR138" s="249" t="str">
        <f t="shared" si="59"/>
        <v>-</v>
      </c>
      <c r="AS138" s="250" t="str">
        <f t="shared" si="60"/>
        <v>-</v>
      </c>
      <c r="AT138" s="250" t="str">
        <f t="shared" si="61"/>
        <v>-</v>
      </c>
      <c r="AU138" s="251" t="str">
        <f t="shared" si="62"/>
        <v>-</v>
      </c>
      <c r="AV138" s="252" t="str">
        <f t="shared" si="63"/>
        <v>-</v>
      </c>
      <c r="AW138" s="253" t="str">
        <f t="shared" si="64"/>
        <v>-</v>
      </c>
      <c r="AX138" s="253" t="str">
        <f t="shared" si="65"/>
        <v>-</v>
      </c>
      <c r="AY138" s="254" t="str">
        <f t="shared" si="66"/>
        <v>-</v>
      </c>
      <c r="AZ138" s="255" t="str">
        <f t="shared" si="57"/>
        <v>-</v>
      </c>
      <c r="BA138" s="95" t="str">
        <f t="shared" si="58"/>
        <v>-</v>
      </c>
    </row>
    <row r="139" spans="1:53" ht="18.2" customHeight="1" x14ac:dyDescent="0.25">
      <c r="A139" s="79"/>
      <c r="B139" s="698"/>
      <c r="C139" s="698"/>
      <c r="D139" s="698"/>
      <c r="E139" s="698"/>
      <c r="F139" s="698"/>
      <c r="G139" s="698"/>
      <c r="H139" s="698"/>
      <c r="I139" s="698"/>
      <c r="J139" s="698"/>
      <c r="K139" s="698"/>
      <c r="L139" s="698"/>
      <c r="M139" s="698"/>
      <c r="N139" s="698"/>
      <c r="O139" s="698"/>
      <c r="P139" s="698"/>
      <c r="Q139" s="698"/>
      <c r="R139" s="79"/>
      <c r="W139" s="240">
        <f>IF(OR(
'PROD. 4º MÊS'!C57="Administrativo",
'PROD. 4º MÊS'!C57="Intermediário",
'PROD. 4º MÊS'!C57="Externo",
'PROD. 4º MÊS'!C57="Final"),"-",
'PROD. 4º MÊS'!C57)</f>
        <v>0</v>
      </c>
      <c r="X139" s="241" t="str">
        <f t="shared" si="48"/>
        <v>-</v>
      </c>
      <c r="Y139" s="242" t="str">
        <f t="shared" si="49"/>
        <v>-</v>
      </c>
      <c r="AC139" s="240">
        <f>IF(OR(
'PROD. 3º MÊS'!C57="Administrativo",
'PROD. 3º MÊS'!C57="Intermediário",
'PROD. 3º MÊS'!C57="Externo",
'PROD. 3º MÊS'!C57="Final"),"-",
'PROD. 3º MÊS'!C57)</f>
        <v>0</v>
      </c>
      <c r="AD139" s="241" t="str">
        <f t="shared" si="50"/>
        <v>-</v>
      </c>
      <c r="AE139" s="242" t="str">
        <f t="shared" si="51"/>
        <v>-</v>
      </c>
      <c r="AG139" s="240">
        <f>IF(OR(
'PROD. 2º MÊS'!C57="Administrativo",
'PROD. 2º MÊS'!C57="Intermediário",
'PROD. 2º MÊS'!C57="Externo",
'PROD. 2º MÊS'!C57="Final"),"-",
'PROD. 2º MÊS'!C57)</f>
        <v>0</v>
      </c>
      <c r="AH139" s="241" t="str">
        <f t="shared" si="52"/>
        <v>-</v>
      </c>
      <c r="AI139" s="242" t="str">
        <f t="shared" si="53"/>
        <v>-</v>
      </c>
      <c r="AK139" s="240">
        <f>IF(OR(
'PROD. 1º MÊS'!C57="Administrativo",
'PROD. 1º MÊS'!C57="Intermediário",
'PROD. 1º MÊS'!C57="Externo",
'PROD. 1º MÊS'!C57="Final"),"-",
'PROD. 1º MÊS'!C57)</f>
        <v>0</v>
      </c>
      <c r="AL139" s="241" t="str">
        <f t="shared" si="54"/>
        <v>-</v>
      </c>
      <c r="AM139" s="242" t="str">
        <f t="shared" si="55"/>
        <v>-</v>
      </c>
      <c r="AO139" s="342">
        <f t="shared" si="47"/>
        <v>0</v>
      </c>
      <c r="AP139" s="341" t="str">
        <f t="array" ref="AP139">IFERROR( INDEX( $AO$89:$AO$553, MATCH( 0, COUNTIF( $AP$87:AP138, $AO$89:$AO$553), 0)), "-")</f>
        <v>-</v>
      </c>
      <c r="AQ139" s="257" t="str">
        <f t="shared" si="56"/>
        <v>-</v>
      </c>
      <c r="AR139" s="258" t="str">
        <f t="shared" si="59"/>
        <v>-</v>
      </c>
      <c r="AS139" s="259" t="str">
        <f t="shared" si="60"/>
        <v>-</v>
      </c>
      <c r="AT139" s="259" t="str">
        <f t="shared" si="61"/>
        <v>-</v>
      </c>
      <c r="AU139" s="260" t="str">
        <f t="shared" si="62"/>
        <v>-</v>
      </c>
      <c r="AV139" s="261" t="str">
        <f t="shared" si="63"/>
        <v>-</v>
      </c>
      <c r="AW139" s="262" t="str">
        <f t="shared" si="64"/>
        <v>-</v>
      </c>
      <c r="AX139" s="262" t="str">
        <f t="shared" si="65"/>
        <v>-</v>
      </c>
      <c r="AY139" s="263" t="str">
        <f t="shared" si="66"/>
        <v>-</v>
      </c>
      <c r="AZ139" s="264" t="str">
        <f t="shared" si="57"/>
        <v>-</v>
      </c>
      <c r="BA139" s="96" t="str">
        <f t="shared" si="58"/>
        <v>-</v>
      </c>
    </row>
    <row r="140" spans="1:53" ht="18.2" customHeight="1" x14ac:dyDescent="0.25">
      <c r="A140" s="79"/>
      <c r="B140" s="698"/>
      <c r="C140" s="698"/>
      <c r="D140" s="698"/>
      <c r="E140" s="698"/>
      <c r="F140" s="698"/>
      <c r="G140" s="698"/>
      <c r="H140" s="698"/>
      <c r="I140" s="698"/>
      <c r="J140" s="698"/>
      <c r="K140" s="698"/>
      <c r="L140" s="698"/>
      <c r="M140" s="698"/>
      <c r="N140" s="698"/>
      <c r="O140" s="698"/>
      <c r="P140" s="698"/>
      <c r="Q140" s="698"/>
      <c r="R140" s="79"/>
      <c r="W140" s="240">
        <f>IF(OR(
'PROD. 4º MÊS'!C58="Administrativo",
'PROD. 4º MÊS'!C58="Intermediário",
'PROD. 4º MÊS'!C58="Externo",
'PROD. 4º MÊS'!C58="Final"),"-",
'PROD. 4º MÊS'!C58)</f>
        <v>0</v>
      </c>
      <c r="X140" s="241" t="str">
        <f t="shared" si="48"/>
        <v>-</v>
      </c>
      <c r="Y140" s="242" t="str">
        <f t="shared" si="49"/>
        <v>-</v>
      </c>
      <c r="AC140" s="240">
        <f>IF(OR(
'PROD. 3º MÊS'!C58="Administrativo",
'PROD. 3º MÊS'!C58="Intermediário",
'PROD. 3º MÊS'!C58="Externo",
'PROD. 3º MÊS'!C58="Final"),"-",
'PROD. 3º MÊS'!C58)</f>
        <v>0</v>
      </c>
      <c r="AD140" s="241" t="str">
        <f t="shared" si="50"/>
        <v>-</v>
      </c>
      <c r="AE140" s="242" t="str">
        <f t="shared" si="51"/>
        <v>-</v>
      </c>
      <c r="AG140" s="240">
        <f>IF(OR(
'PROD. 2º MÊS'!C58="Administrativo",
'PROD. 2º MÊS'!C58="Intermediário",
'PROD. 2º MÊS'!C58="Externo",
'PROD. 2º MÊS'!C58="Final"),"-",
'PROD. 2º MÊS'!C58)</f>
        <v>0</v>
      </c>
      <c r="AH140" s="241" t="str">
        <f t="shared" si="52"/>
        <v>-</v>
      </c>
      <c r="AI140" s="242" t="str">
        <f t="shared" si="53"/>
        <v>-</v>
      </c>
      <c r="AK140" s="240">
        <f>IF(OR(
'PROD. 1º MÊS'!C58="Administrativo",
'PROD. 1º MÊS'!C58="Intermediário",
'PROD. 1º MÊS'!C58="Externo",
'PROD. 1º MÊS'!C58="Final"),"-",
'PROD. 1º MÊS'!C58)</f>
        <v>0</v>
      </c>
      <c r="AL140" s="241" t="str">
        <f t="shared" si="54"/>
        <v>-</v>
      </c>
      <c r="AM140" s="242" t="str">
        <f t="shared" si="55"/>
        <v>-</v>
      </c>
      <c r="AO140" s="342">
        <f t="shared" si="47"/>
        <v>0</v>
      </c>
      <c r="AP140" s="341" t="str">
        <f t="array" ref="AP140">IFERROR( INDEX( $AO$89:$AO$553, MATCH( 0, COUNTIF( $AP$87:AP139, $AO$89:$AO$553), 0)), "-")</f>
        <v>-</v>
      </c>
      <c r="AQ140" s="248" t="str">
        <f t="shared" si="56"/>
        <v>-</v>
      </c>
      <c r="AR140" s="249" t="str">
        <f t="shared" si="59"/>
        <v>-</v>
      </c>
      <c r="AS140" s="250" t="str">
        <f t="shared" si="60"/>
        <v>-</v>
      </c>
      <c r="AT140" s="250" t="str">
        <f t="shared" si="61"/>
        <v>-</v>
      </c>
      <c r="AU140" s="251" t="str">
        <f t="shared" si="62"/>
        <v>-</v>
      </c>
      <c r="AV140" s="252" t="str">
        <f t="shared" si="63"/>
        <v>-</v>
      </c>
      <c r="AW140" s="253" t="str">
        <f t="shared" si="64"/>
        <v>-</v>
      </c>
      <c r="AX140" s="253" t="str">
        <f t="shared" si="65"/>
        <v>-</v>
      </c>
      <c r="AY140" s="254" t="str">
        <f t="shared" si="66"/>
        <v>-</v>
      </c>
      <c r="AZ140" s="255" t="str">
        <f t="shared" si="57"/>
        <v>-</v>
      </c>
      <c r="BA140" s="95" t="str">
        <f t="shared" si="58"/>
        <v>-</v>
      </c>
    </row>
    <row r="141" spans="1:53" ht="18.2" customHeight="1" x14ac:dyDescent="0.25">
      <c r="A141" s="79"/>
      <c r="B141" s="698"/>
      <c r="C141" s="698"/>
      <c r="D141" s="698"/>
      <c r="E141" s="698"/>
      <c r="F141" s="698"/>
      <c r="G141" s="698"/>
      <c r="H141" s="698"/>
      <c r="I141" s="698"/>
      <c r="J141" s="698"/>
      <c r="K141" s="698"/>
      <c r="L141" s="698"/>
      <c r="M141" s="698"/>
      <c r="N141" s="698"/>
      <c r="O141" s="698"/>
      <c r="P141" s="698"/>
      <c r="Q141" s="698"/>
      <c r="R141" s="79"/>
      <c r="W141" s="240">
        <f>IF(OR(
'PROD. 4º MÊS'!C59="Administrativo",
'PROD. 4º MÊS'!C59="Intermediário",
'PROD. 4º MÊS'!C59="Externo",
'PROD. 4º MÊS'!C59="Final"),"-",
'PROD. 4º MÊS'!C59)</f>
        <v>0</v>
      </c>
      <c r="X141" s="241" t="str">
        <f t="shared" si="48"/>
        <v>-</v>
      </c>
      <c r="Y141" s="242" t="str">
        <f t="shared" si="49"/>
        <v>-</v>
      </c>
      <c r="AC141" s="240">
        <f>IF(OR(
'PROD. 3º MÊS'!C59="Administrativo",
'PROD. 3º MÊS'!C59="Intermediário",
'PROD. 3º MÊS'!C59="Externo",
'PROD. 3º MÊS'!C59="Final"),"-",
'PROD. 3º MÊS'!C59)</f>
        <v>0</v>
      </c>
      <c r="AD141" s="241" t="str">
        <f t="shared" si="50"/>
        <v>-</v>
      </c>
      <c r="AE141" s="242" t="str">
        <f t="shared" si="51"/>
        <v>-</v>
      </c>
      <c r="AG141" s="240">
        <f>IF(OR(
'PROD. 2º MÊS'!C59="Administrativo",
'PROD. 2º MÊS'!C59="Intermediário",
'PROD. 2º MÊS'!C59="Externo",
'PROD. 2º MÊS'!C59="Final"),"-",
'PROD. 2º MÊS'!C59)</f>
        <v>0</v>
      </c>
      <c r="AH141" s="241" t="str">
        <f t="shared" si="52"/>
        <v>-</v>
      </c>
      <c r="AI141" s="242" t="str">
        <f t="shared" si="53"/>
        <v>-</v>
      </c>
      <c r="AK141" s="240">
        <f>IF(OR(
'PROD. 1º MÊS'!C59="Administrativo",
'PROD. 1º MÊS'!C59="Intermediário",
'PROD. 1º MÊS'!C59="Externo",
'PROD. 1º MÊS'!C59="Final"),"-",
'PROD. 1º MÊS'!C59)</f>
        <v>0</v>
      </c>
      <c r="AL141" s="241" t="str">
        <f t="shared" si="54"/>
        <v>-</v>
      </c>
      <c r="AM141" s="242" t="str">
        <f t="shared" si="55"/>
        <v>-</v>
      </c>
      <c r="AO141" s="342">
        <f t="shared" si="47"/>
        <v>0</v>
      </c>
      <c r="AP141" s="341" t="str">
        <f t="array" ref="AP141">IFERROR( INDEX( $AO$89:$AO$553, MATCH( 0, COUNTIF( $AP$87:AP140, $AO$89:$AO$553), 0)), "-")</f>
        <v>-</v>
      </c>
      <c r="AQ141" s="257" t="str">
        <f t="shared" si="56"/>
        <v>-</v>
      </c>
      <c r="AR141" s="258" t="str">
        <f t="shared" si="59"/>
        <v>-</v>
      </c>
      <c r="AS141" s="259" t="str">
        <f t="shared" si="60"/>
        <v>-</v>
      </c>
      <c r="AT141" s="259" t="str">
        <f t="shared" si="61"/>
        <v>-</v>
      </c>
      <c r="AU141" s="260" t="str">
        <f t="shared" si="62"/>
        <v>-</v>
      </c>
      <c r="AV141" s="261" t="str">
        <f t="shared" si="63"/>
        <v>-</v>
      </c>
      <c r="AW141" s="262" t="str">
        <f t="shared" si="64"/>
        <v>-</v>
      </c>
      <c r="AX141" s="262" t="str">
        <f t="shared" si="65"/>
        <v>-</v>
      </c>
      <c r="AY141" s="263" t="str">
        <f t="shared" si="66"/>
        <v>-</v>
      </c>
      <c r="AZ141" s="264" t="str">
        <f t="shared" si="57"/>
        <v>-</v>
      </c>
      <c r="BA141" s="96" t="str">
        <f t="shared" si="58"/>
        <v>-</v>
      </c>
    </row>
    <row r="142" spans="1:53" ht="18.2" customHeight="1" x14ac:dyDescent="0.25">
      <c r="A142" s="79"/>
      <c r="B142" s="698"/>
      <c r="C142" s="698"/>
      <c r="D142" s="698"/>
      <c r="E142" s="698"/>
      <c r="F142" s="698"/>
      <c r="G142" s="698"/>
      <c r="H142" s="698"/>
      <c r="I142" s="698"/>
      <c r="J142" s="698"/>
      <c r="K142" s="698"/>
      <c r="L142" s="698"/>
      <c r="M142" s="698"/>
      <c r="N142" s="698"/>
      <c r="O142" s="698"/>
      <c r="P142" s="698"/>
      <c r="Q142" s="698"/>
      <c r="R142" s="79"/>
      <c r="W142" s="240">
        <f>IF(OR(
'PROD. 4º MÊS'!C60="Administrativo",
'PROD. 4º MÊS'!C60="Intermediário",
'PROD. 4º MÊS'!C60="Externo",
'PROD. 4º MÊS'!C60="Final"),"-",
'PROD. 4º MÊS'!C60)</f>
        <v>0</v>
      </c>
      <c r="X142" s="241" t="str">
        <f t="shared" si="48"/>
        <v>-</v>
      </c>
      <c r="Y142" s="242" t="str">
        <f t="shared" si="49"/>
        <v>-</v>
      </c>
      <c r="AC142" s="240">
        <f>IF(OR(
'PROD. 3º MÊS'!C60="Administrativo",
'PROD. 3º MÊS'!C60="Intermediário",
'PROD. 3º MÊS'!C60="Externo",
'PROD. 3º MÊS'!C60="Final"),"-",
'PROD. 3º MÊS'!C60)</f>
        <v>0</v>
      </c>
      <c r="AD142" s="241" t="str">
        <f t="shared" si="50"/>
        <v>-</v>
      </c>
      <c r="AE142" s="242" t="str">
        <f t="shared" si="51"/>
        <v>-</v>
      </c>
      <c r="AG142" s="240">
        <f>IF(OR(
'PROD. 2º MÊS'!C60="Administrativo",
'PROD. 2º MÊS'!C60="Intermediário",
'PROD. 2º MÊS'!C60="Externo",
'PROD. 2º MÊS'!C60="Final"),"-",
'PROD. 2º MÊS'!C60)</f>
        <v>0</v>
      </c>
      <c r="AH142" s="241" t="str">
        <f t="shared" si="52"/>
        <v>-</v>
      </c>
      <c r="AI142" s="242" t="str">
        <f t="shared" si="53"/>
        <v>-</v>
      </c>
      <c r="AK142" s="240">
        <f>IF(OR(
'PROD. 1º MÊS'!C60="Administrativo",
'PROD. 1º MÊS'!C60="Intermediário",
'PROD. 1º MÊS'!C60="Externo",
'PROD. 1º MÊS'!C60="Final"),"-",
'PROD. 1º MÊS'!C60)</f>
        <v>0</v>
      </c>
      <c r="AL142" s="241" t="str">
        <f t="shared" si="54"/>
        <v>-</v>
      </c>
      <c r="AM142" s="242" t="str">
        <f t="shared" si="55"/>
        <v>-</v>
      </c>
      <c r="AO142" s="342">
        <f t="shared" si="47"/>
        <v>0</v>
      </c>
      <c r="AP142" s="341" t="str">
        <f t="array" ref="AP142">IFERROR( INDEX( $AO$89:$AO$553, MATCH( 0, COUNTIF( $AP$87:AP141, $AO$89:$AO$553), 0)), "-")</f>
        <v>-</v>
      </c>
      <c r="AQ142" s="248" t="str">
        <f t="shared" si="56"/>
        <v>-</v>
      </c>
      <c r="AR142" s="249" t="str">
        <f t="shared" si="59"/>
        <v>-</v>
      </c>
      <c r="AS142" s="250" t="str">
        <f t="shared" si="60"/>
        <v>-</v>
      </c>
      <c r="AT142" s="250" t="str">
        <f t="shared" si="61"/>
        <v>-</v>
      </c>
      <c r="AU142" s="251" t="str">
        <f t="shared" si="62"/>
        <v>-</v>
      </c>
      <c r="AV142" s="252" t="str">
        <f t="shared" si="63"/>
        <v>-</v>
      </c>
      <c r="AW142" s="253" t="str">
        <f t="shared" si="64"/>
        <v>-</v>
      </c>
      <c r="AX142" s="253" t="str">
        <f t="shared" si="65"/>
        <v>-</v>
      </c>
      <c r="AY142" s="254" t="str">
        <f t="shared" si="66"/>
        <v>-</v>
      </c>
      <c r="AZ142" s="255" t="str">
        <f t="shared" si="57"/>
        <v>-</v>
      </c>
      <c r="BA142" s="95" t="str">
        <f t="shared" si="58"/>
        <v>-</v>
      </c>
    </row>
    <row r="143" spans="1:53" ht="18.2" customHeight="1" x14ac:dyDescent="0.25">
      <c r="A143" s="79"/>
      <c r="B143" s="698"/>
      <c r="C143" s="698"/>
      <c r="D143" s="698"/>
      <c r="E143" s="698"/>
      <c r="F143" s="698"/>
      <c r="G143" s="698"/>
      <c r="H143" s="698"/>
      <c r="I143" s="698"/>
      <c r="J143" s="698"/>
      <c r="K143" s="698"/>
      <c r="L143" s="698"/>
      <c r="M143" s="698"/>
      <c r="N143" s="698"/>
      <c r="O143" s="698"/>
      <c r="P143" s="698"/>
      <c r="Q143" s="698"/>
      <c r="R143" s="79"/>
      <c r="W143" s="240">
        <f>IF(OR(
'PROD. 4º MÊS'!C61="Administrativo",
'PROD. 4º MÊS'!C61="Intermediário",
'PROD. 4º MÊS'!C61="Externo",
'PROD. 4º MÊS'!C61="Final"),"-",
'PROD. 4º MÊS'!C61)</f>
        <v>0</v>
      </c>
      <c r="X143" s="241" t="str">
        <f t="shared" si="48"/>
        <v>-</v>
      </c>
      <c r="Y143" s="242" t="str">
        <f t="shared" si="49"/>
        <v>-</v>
      </c>
      <c r="AC143" s="240">
        <f>IF(OR(
'PROD. 3º MÊS'!C61="Administrativo",
'PROD. 3º MÊS'!C61="Intermediário",
'PROD. 3º MÊS'!C61="Externo",
'PROD. 3º MÊS'!C61="Final"),"-",
'PROD. 3º MÊS'!C61)</f>
        <v>0</v>
      </c>
      <c r="AD143" s="241" t="str">
        <f t="shared" si="50"/>
        <v>-</v>
      </c>
      <c r="AE143" s="242" t="str">
        <f t="shared" si="51"/>
        <v>-</v>
      </c>
      <c r="AG143" s="240">
        <f>IF(OR(
'PROD. 2º MÊS'!C61="Administrativo",
'PROD. 2º MÊS'!C61="Intermediário",
'PROD. 2º MÊS'!C61="Externo",
'PROD. 2º MÊS'!C61="Final"),"-",
'PROD. 2º MÊS'!C61)</f>
        <v>0</v>
      </c>
      <c r="AH143" s="241" t="str">
        <f t="shared" si="52"/>
        <v>-</v>
      </c>
      <c r="AI143" s="242" t="str">
        <f t="shared" si="53"/>
        <v>-</v>
      </c>
      <c r="AK143" s="240">
        <f>IF(OR(
'PROD. 1º MÊS'!C61="Administrativo",
'PROD. 1º MÊS'!C61="Intermediário",
'PROD. 1º MÊS'!C61="Externo",
'PROD. 1º MÊS'!C61="Final"),"-",
'PROD. 1º MÊS'!C61)</f>
        <v>0</v>
      </c>
      <c r="AL143" s="241" t="str">
        <f t="shared" si="54"/>
        <v>-</v>
      </c>
      <c r="AM143" s="242" t="str">
        <f t="shared" si="55"/>
        <v>-</v>
      </c>
      <c r="AO143" s="342">
        <f t="shared" si="47"/>
        <v>0</v>
      </c>
      <c r="AP143" s="341" t="str">
        <f t="array" ref="AP143">IFERROR( INDEX( $AO$89:$AO$553, MATCH( 0, COUNTIF( $AP$87:AP142, $AO$89:$AO$553), 0)), "-")</f>
        <v>-</v>
      </c>
      <c r="AQ143" s="257" t="str">
        <f t="shared" si="56"/>
        <v>-</v>
      </c>
      <c r="AR143" s="258" t="str">
        <f t="shared" si="59"/>
        <v>-</v>
      </c>
      <c r="AS143" s="259" t="str">
        <f t="shared" si="60"/>
        <v>-</v>
      </c>
      <c r="AT143" s="259" t="str">
        <f t="shared" si="61"/>
        <v>-</v>
      </c>
      <c r="AU143" s="260" t="str">
        <f t="shared" si="62"/>
        <v>-</v>
      </c>
      <c r="AV143" s="261" t="str">
        <f t="shared" si="63"/>
        <v>-</v>
      </c>
      <c r="AW143" s="262" t="str">
        <f t="shared" si="64"/>
        <v>-</v>
      </c>
      <c r="AX143" s="262" t="str">
        <f t="shared" si="65"/>
        <v>-</v>
      </c>
      <c r="AY143" s="263" t="str">
        <f t="shared" si="66"/>
        <v>-</v>
      </c>
      <c r="AZ143" s="264" t="str">
        <f t="shared" si="57"/>
        <v>-</v>
      </c>
      <c r="BA143" s="96" t="str">
        <f t="shared" si="58"/>
        <v>-</v>
      </c>
    </row>
    <row r="144" spans="1:53" ht="18.2" customHeight="1" x14ac:dyDescent="0.25">
      <c r="A144" s="79"/>
      <c r="B144" s="698"/>
      <c r="C144" s="698"/>
      <c r="D144" s="698"/>
      <c r="E144" s="698"/>
      <c r="F144" s="698"/>
      <c r="G144" s="698"/>
      <c r="H144" s="698"/>
      <c r="I144" s="698"/>
      <c r="J144" s="698"/>
      <c r="K144" s="698"/>
      <c r="L144" s="698"/>
      <c r="M144" s="698"/>
      <c r="N144" s="698"/>
      <c r="O144" s="698"/>
      <c r="P144" s="698"/>
      <c r="Q144" s="698"/>
      <c r="R144" s="79"/>
      <c r="W144" s="240">
        <f>IF(OR(
'PROD. 4º MÊS'!C62="Administrativo",
'PROD. 4º MÊS'!C62="Intermediário",
'PROD. 4º MÊS'!C62="Externo",
'PROD. 4º MÊS'!C62="Final"),"-",
'PROD. 4º MÊS'!C62)</f>
        <v>0</v>
      </c>
      <c r="X144" s="241" t="str">
        <f t="shared" si="48"/>
        <v>-</v>
      </c>
      <c r="Y144" s="242" t="str">
        <f t="shared" si="49"/>
        <v>-</v>
      </c>
      <c r="AC144" s="240">
        <f>IF(OR(
'PROD. 3º MÊS'!C62="Administrativo",
'PROD. 3º MÊS'!C62="Intermediário",
'PROD. 3º MÊS'!C62="Externo",
'PROD. 3º MÊS'!C62="Final"),"-",
'PROD. 3º MÊS'!C62)</f>
        <v>0</v>
      </c>
      <c r="AD144" s="241" t="str">
        <f t="shared" si="50"/>
        <v>-</v>
      </c>
      <c r="AE144" s="242" t="str">
        <f t="shared" si="51"/>
        <v>-</v>
      </c>
      <c r="AG144" s="240">
        <f>IF(OR(
'PROD. 2º MÊS'!C62="Administrativo",
'PROD. 2º MÊS'!C62="Intermediário",
'PROD. 2º MÊS'!C62="Externo",
'PROD. 2º MÊS'!C62="Final"),"-",
'PROD. 2º MÊS'!C62)</f>
        <v>0</v>
      </c>
      <c r="AH144" s="241" t="str">
        <f t="shared" si="52"/>
        <v>-</v>
      </c>
      <c r="AI144" s="242" t="str">
        <f t="shared" si="53"/>
        <v>-</v>
      </c>
      <c r="AK144" s="240">
        <f>IF(OR(
'PROD. 1º MÊS'!C62="Administrativo",
'PROD. 1º MÊS'!C62="Intermediário",
'PROD. 1º MÊS'!C62="Externo",
'PROD. 1º MÊS'!C62="Final"),"-",
'PROD. 1º MÊS'!C62)</f>
        <v>0</v>
      </c>
      <c r="AL144" s="241" t="str">
        <f t="shared" si="54"/>
        <v>-</v>
      </c>
      <c r="AM144" s="242" t="str">
        <f t="shared" si="55"/>
        <v>-</v>
      </c>
      <c r="AO144" s="342">
        <f t="shared" si="47"/>
        <v>0</v>
      </c>
      <c r="AP144" s="341" t="str">
        <f t="array" ref="AP144">IFERROR( INDEX( $AO$89:$AO$553, MATCH( 0, COUNTIF( $AP$87:AP143, $AO$89:$AO$553), 0)), "-")</f>
        <v>-</v>
      </c>
      <c r="AQ144" s="248" t="str">
        <f t="shared" si="56"/>
        <v>-</v>
      </c>
      <c r="AR144" s="249" t="str">
        <f t="shared" si="59"/>
        <v>-</v>
      </c>
      <c r="AS144" s="250" t="str">
        <f t="shared" si="60"/>
        <v>-</v>
      </c>
      <c r="AT144" s="250" t="str">
        <f t="shared" si="61"/>
        <v>-</v>
      </c>
      <c r="AU144" s="251" t="str">
        <f t="shared" si="62"/>
        <v>-</v>
      </c>
      <c r="AV144" s="252" t="str">
        <f t="shared" si="63"/>
        <v>-</v>
      </c>
      <c r="AW144" s="253" t="str">
        <f t="shared" si="64"/>
        <v>-</v>
      </c>
      <c r="AX144" s="253" t="str">
        <f t="shared" si="65"/>
        <v>-</v>
      </c>
      <c r="AY144" s="254" t="str">
        <f t="shared" si="66"/>
        <v>-</v>
      </c>
      <c r="AZ144" s="255" t="str">
        <f t="shared" si="57"/>
        <v>-</v>
      </c>
      <c r="BA144" s="95" t="str">
        <f t="shared" si="58"/>
        <v>-</v>
      </c>
    </row>
    <row r="145" spans="1:53" ht="18.2" customHeight="1" x14ac:dyDescent="0.25">
      <c r="A145" s="79"/>
      <c r="B145" s="220"/>
      <c r="C145" s="220"/>
      <c r="D145" s="220"/>
      <c r="E145" s="220"/>
      <c r="F145" s="220"/>
      <c r="G145" s="220"/>
      <c r="H145" s="220"/>
      <c r="I145" s="220"/>
      <c r="J145" s="220"/>
      <c r="K145" s="220"/>
      <c r="L145" s="220"/>
      <c r="M145" s="220"/>
      <c r="N145" s="220"/>
      <c r="O145" s="220"/>
      <c r="P145" s="220"/>
      <c r="Q145" s="220"/>
      <c r="R145" s="79"/>
      <c r="W145" s="240">
        <f>IF(OR(
'PROD. 4º MÊS'!C63="Administrativo",
'PROD. 4º MÊS'!C63="Intermediário",
'PROD. 4º MÊS'!C63="Externo",
'PROD. 4º MÊS'!C63="Final"),"-",
'PROD. 4º MÊS'!C63)</f>
        <v>0</v>
      </c>
      <c r="X145" s="241" t="str">
        <f t="shared" si="48"/>
        <v>-</v>
      </c>
      <c r="Y145" s="242" t="str">
        <f t="shared" si="49"/>
        <v>-</v>
      </c>
      <c r="AC145" s="240">
        <f>IF(OR(
'PROD. 3º MÊS'!C63="Administrativo",
'PROD. 3º MÊS'!C63="Intermediário",
'PROD. 3º MÊS'!C63="Externo",
'PROD. 3º MÊS'!C63="Final"),"-",
'PROD. 3º MÊS'!C63)</f>
        <v>0</v>
      </c>
      <c r="AD145" s="241" t="str">
        <f t="shared" si="50"/>
        <v>-</v>
      </c>
      <c r="AE145" s="242" t="str">
        <f t="shared" si="51"/>
        <v>-</v>
      </c>
      <c r="AG145" s="240">
        <f>IF(OR(
'PROD. 2º MÊS'!C63="Administrativo",
'PROD. 2º MÊS'!C63="Intermediário",
'PROD. 2º MÊS'!C63="Externo",
'PROD. 2º MÊS'!C63="Final"),"-",
'PROD. 2º MÊS'!C63)</f>
        <v>0</v>
      </c>
      <c r="AH145" s="241" t="str">
        <f t="shared" si="52"/>
        <v>-</v>
      </c>
      <c r="AI145" s="242" t="str">
        <f t="shared" si="53"/>
        <v>-</v>
      </c>
      <c r="AK145" s="240">
        <f>IF(OR(
'PROD. 1º MÊS'!C63="Administrativo",
'PROD. 1º MÊS'!C63="Intermediário",
'PROD. 1º MÊS'!C63="Externo",
'PROD. 1º MÊS'!C63="Final"),"-",
'PROD. 1º MÊS'!C63)</f>
        <v>0</v>
      </c>
      <c r="AL145" s="241" t="str">
        <f t="shared" si="54"/>
        <v>-</v>
      </c>
      <c r="AM145" s="242" t="str">
        <f t="shared" si="55"/>
        <v>-</v>
      </c>
      <c r="AO145" s="342">
        <f t="shared" si="47"/>
        <v>0</v>
      </c>
      <c r="AP145" s="341" t="str">
        <f t="array" ref="AP145">IFERROR( INDEX( $AO$89:$AO$553, MATCH( 0, COUNTIF( $AP$87:AP144, $AO$89:$AO$553), 0)), "-")</f>
        <v>-</v>
      </c>
      <c r="AQ145" s="257" t="str">
        <f t="shared" si="56"/>
        <v>-</v>
      </c>
      <c r="AR145" s="258" t="str">
        <f t="shared" si="59"/>
        <v>-</v>
      </c>
      <c r="AS145" s="259" t="str">
        <f t="shared" si="60"/>
        <v>-</v>
      </c>
      <c r="AT145" s="259" t="str">
        <f t="shared" si="61"/>
        <v>-</v>
      </c>
      <c r="AU145" s="260" t="str">
        <f t="shared" si="62"/>
        <v>-</v>
      </c>
      <c r="AV145" s="261" t="str">
        <f t="shared" si="63"/>
        <v>-</v>
      </c>
      <c r="AW145" s="262" t="str">
        <f t="shared" si="64"/>
        <v>-</v>
      </c>
      <c r="AX145" s="262" t="str">
        <f t="shared" si="65"/>
        <v>-</v>
      </c>
      <c r="AY145" s="263" t="str">
        <f t="shared" si="66"/>
        <v>-</v>
      </c>
      <c r="AZ145" s="264" t="str">
        <f t="shared" si="57"/>
        <v>-</v>
      </c>
      <c r="BA145" s="96" t="str">
        <f t="shared" si="58"/>
        <v>-</v>
      </c>
    </row>
    <row r="146" spans="1:53" ht="18.2" customHeight="1" x14ac:dyDescent="0.25">
      <c r="A146" s="79"/>
      <c r="B146" s="217"/>
      <c r="C146" s="278"/>
      <c r="D146" s="279" t="str">
        <f xml:space="preserve"> CONCATENATE( "PRODUÇÃO e do CUSTO MÉDIO de:  ", UPPER($B$156))</f>
        <v>PRODUÇÃO e do CUSTO MÉDIO de:  AMBULATÓRIO DE GINECOLOGIA</v>
      </c>
      <c r="E146" s="217"/>
      <c r="F146" s="217"/>
      <c r="G146" s="217"/>
      <c r="H146" s="217"/>
      <c r="I146" s="217"/>
      <c r="J146" s="217"/>
      <c r="K146" s="217"/>
      <c r="L146" s="280"/>
      <c r="M146" s="280"/>
      <c r="N146" s="217"/>
      <c r="O146" s="217"/>
      <c r="P146" s="217"/>
      <c r="Q146" s="217"/>
      <c r="R146" s="79"/>
      <c r="W146" s="240">
        <f>IF(OR(
'PROD. 4º MÊS'!C64="Administrativo",
'PROD. 4º MÊS'!C64="Intermediário",
'PROD. 4º MÊS'!C64="Externo",
'PROD. 4º MÊS'!C64="Final"),"-",
'PROD. 4º MÊS'!C64)</f>
        <v>0</v>
      </c>
      <c r="X146" s="241" t="str">
        <f t="shared" si="48"/>
        <v>-</v>
      </c>
      <c r="Y146" s="242" t="str">
        <f t="shared" si="49"/>
        <v>-</v>
      </c>
      <c r="AC146" s="240">
        <f>IF(OR(
'PROD. 3º MÊS'!C64="Administrativo",
'PROD. 3º MÊS'!C64="Intermediário",
'PROD. 3º MÊS'!C64="Externo",
'PROD. 3º MÊS'!C64="Final"),"-",
'PROD. 3º MÊS'!C64)</f>
        <v>0</v>
      </c>
      <c r="AD146" s="241" t="str">
        <f t="shared" si="50"/>
        <v>-</v>
      </c>
      <c r="AE146" s="242" t="str">
        <f t="shared" si="51"/>
        <v>-</v>
      </c>
      <c r="AG146" s="240">
        <f>IF(OR(
'PROD. 2º MÊS'!C64="Administrativo",
'PROD. 2º MÊS'!C64="Intermediário",
'PROD. 2º MÊS'!C64="Externo",
'PROD. 2º MÊS'!C64="Final"),"-",
'PROD. 2º MÊS'!C64)</f>
        <v>0</v>
      </c>
      <c r="AH146" s="241" t="str">
        <f t="shared" si="52"/>
        <v>-</v>
      </c>
      <c r="AI146" s="242" t="str">
        <f t="shared" si="53"/>
        <v>-</v>
      </c>
      <c r="AK146" s="240">
        <f>IF(OR(
'PROD. 1º MÊS'!C64="Administrativo",
'PROD. 1º MÊS'!C64="Intermediário",
'PROD. 1º MÊS'!C64="Externo",
'PROD. 1º MÊS'!C64="Final"),"-",
'PROD. 1º MÊS'!C64)</f>
        <v>0</v>
      </c>
      <c r="AL146" s="241" t="str">
        <f t="shared" si="54"/>
        <v>-</v>
      </c>
      <c r="AM146" s="242" t="str">
        <f t="shared" si="55"/>
        <v>-</v>
      </c>
      <c r="AO146" s="342">
        <f t="shared" si="47"/>
        <v>0</v>
      </c>
      <c r="AP146" s="341" t="str">
        <f t="array" ref="AP146">IFERROR( INDEX( $AO$89:$AO$553, MATCH( 0, COUNTIF( $AP$87:AP145, $AO$89:$AO$553), 0)), "-")</f>
        <v>-</v>
      </c>
      <c r="AQ146" s="248" t="str">
        <f t="shared" si="56"/>
        <v>-</v>
      </c>
      <c r="AR146" s="249" t="str">
        <f t="shared" si="59"/>
        <v>-</v>
      </c>
      <c r="AS146" s="250" t="str">
        <f t="shared" si="60"/>
        <v>-</v>
      </c>
      <c r="AT146" s="250" t="str">
        <f t="shared" si="61"/>
        <v>-</v>
      </c>
      <c r="AU146" s="251" t="str">
        <f t="shared" si="62"/>
        <v>-</v>
      </c>
      <c r="AV146" s="252" t="str">
        <f t="shared" si="63"/>
        <v>-</v>
      </c>
      <c r="AW146" s="253" t="str">
        <f t="shared" si="64"/>
        <v>-</v>
      </c>
      <c r="AX146" s="253" t="str">
        <f t="shared" si="65"/>
        <v>-</v>
      </c>
      <c r="AY146" s="254" t="str">
        <f t="shared" si="66"/>
        <v>-</v>
      </c>
      <c r="AZ146" s="255" t="str">
        <f t="shared" si="57"/>
        <v>-</v>
      </c>
      <c r="BA146" s="95" t="str">
        <f t="shared" si="58"/>
        <v>-</v>
      </c>
    </row>
    <row r="147" spans="1:53" ht="18.2" customHeight="1" x14ac:dyDescent="0.25">
      <c r="A147" s="79"/>
      <c r="B147" s="217"/>
      <c r="C147" s="281" t="s">
        <v>167</v>
      </c>
      <c r="D147" s="217" t="str">
        <f>RELATÓRIO!$B$156</f>
        <v>Ambulatório de Ginecologia</v>
      </c>
      <c r="E147" s="282" t="str">
        <f>$AR$88</f>
        <v>JAN-25</v>
      </c>
      <c r="F147" s="282" t="str">
        <f>$AS$88</f>
        <v>FEV-25</v>
      </c>
      <c r="G147" s="282" t="str">
        <f>$AT$88</f>
        <v>MAR-25</v>
      </c>
      <c r="H147" s="282" t="str">
        <f>$AU$88</f>
        <v>ABR-25</v>
      </c>
      <c r="I147" s="217" t="s">
        <v>162</v>
      </c>
      <c r="J147" s="217" t="s">
        <v>163</v>
      </c>
      <c r="K147" s="217" t="s">
        <v>164</v>
      </c>
      <c r="L147" s="280"/>
      <c r="M147" s="280"/>
      <c r="N147" s="217"/>
      <c r="O147" s="217"/>
      <c r="P147" s="217"/>
      <c r="Q147" s="217"/>
      <c r="R147" s="79"/>
      <c r="W147" s="240">
        <f>IF(OR(
'PROD. 4º MÊS'!C65="Administrativo",
'PROD. 4º MÊS'!C65="Intermediário",
'PROD. 4º MÊS'!C65="Externo",
'PROD. 4º MÊS'!C65="Final"),"-",
'PROD. 4º MÊS'!C65)</f>
        <v>0</v>
      </c>
      <c r="X147" s="241" t="str">
        <f t="shared" si="48"/>
        <v>-</v>
      </c>
      <c r="Y147" s="242" t="str">
        <f t="shared" si="49"/>
        <v>-</v>
      </c>
      <c r="AC147" s="240">
        <f>IF(OR(
'PROD. 3º MÊS'!C65="Administrativo",
'PROD. 3º MÊS'!C65="Intermediário",
'PROD. 3º MÊS'!C65="Externo",
'PROD. 3º MÊS'!C65="Final"),"-",
'PROD. 3º MÊS'!C65)</f>
        <v>0</v>
      </c>
      <c r="AD147" s="241" t="str">
        <f t="shared" si="50"/>
        <v>-</v>
      </c>
      <c r="AE147" s="242" t="str">
        <f t="shared" si="51"/>
        <v>-</v>
      </c>
      <c r="AG147" s="240">
        <f>IF(OR(
'PROD. 2º MÊS'!C65="Administrativo",
'PROD. 2º MÊS'!C65="Intermediário",
'PROD. 2º MÊS'!C65="Externo",
'PROD. 2º MÊS'!C65="Final"),"-",
'PROD. 2º MÊS'!C65)</f>
        <v>0</v>
      </c>
      <c r="AH147" s="241" t="str">
        <f t="shared" si="52"/>
        <v>-</v>
      </c>
      <c r="AI147" s="242" t="str">
        <f t="shared" si="53"/>
        <v>-</v>
      </c>
      <c r="AK147" s="240">
        <f>IF(OR(
'PROD. 1º MÊS'!C65="Administrativo",
'PROD. 1º MÊS'!C65="Intermediário",
'PROD. 1º MÊS'!C65="Externo",
'PROD. 1º MÊS'!C65="Final"),"-",
'PROD. 1º MÊS'!C65)</f>
        <v>0</v>
      </c>
      <c r="AL147" s="241" t="str">
        <f t="shared" si="54"/>
        <v>-</v>
      </c>
      <c r="AM147" s="242" t="str">
        <f t="shared" si="55"/>
        <v>-</v>
      </c>
      <c r="AO147" s="342">
        <f t="shared" si="47"/>
        <v>0</v>
      </c>
      <c r="AP147" s="341" t="str">
        <f t="array" ref="AP147">IFERROR( INDEX( $AO$89:$AO$553, MATCH( 0, COUNTIF( $AP$87:AP146, $AO$89:$AO$553), 0)), "-")</f>
        <v>-</v>
      </c>
      <c r="AQ147" s="257" t="str">
        <f t="shared" si="56"/>
        <v>-</v>
      </c>
      <c r="AR147" s="258" t="str">
        <f t="shared" si="59"/>
        <v>-</v>
      </c>
      <c r="AS147" s="259" t="str">
        <f t="shared" si="60"/>
        <v>-</v>
      </c>
      <c r="AT147" s="259" t="str">
        <f t="shared" si="61"/>
        <v>-</v>
      </c>
      <c r="AU147" s="260" t="str">
        <f t="shared" si="62"/>
        <v>-</v>
      </c>
      <c r="AV147" s="261" t="str">
        <f t="shared" si="63"/>
        <v>-</v>
      </c>
      <c r="AW147" s="262" t="str">
        <f t="shared" si="64"/>
        <v>-</v>
      </c>
      <c r="AX147" s="262" t="str">
        <f t="shared" si="65"/>
        <v>-</v>
      </c>
      <c r="AY147" s="263" t="str">
        <f t="shared" si="66"/>
        <v>-</v>
      </c>
      <c r="AZ147" s="264" t="str">
        <f t="shared" si="57"/>
        <v>-</v>
      </c>
      <c r="BA147" s="96" t="str">
        <f t="shared" si="58"/>
        <v>-</v>
      </c>
    </row>
    <row r="148" spans="1:53" ht="18.2" customHeight="1" x14ac:dyDescent="0.25">
      <c r="A148" s="79"/>
      <c r="B148" s="217"/>
      <c r="C148" s="217"/>
      <c r="D148" s="217" t="s">
        <v>100</v>
      </c>
      <c r="E148" s="217" t="str">
        <f>VLOOKUP($D$147,$AQ$89:$AY$225,2,FALSE)</f>
        <v>-</v>
      </c>
      <c r="F148" s="217">
        <f>VLOOKUP($D$147,$AQ$89:$AY$225,3,FALSE)</f>
        <v>89</v>
      </c>
      <c r="G148" s="217" t="str">
        <f>VLOOKUP($D$147,$AQ$89:$AY$225,4,FALSE)</f>
        <v>-</v>
      </c>
      <c r="H148" s="217">
        <f>VLOOKUP($D$147,$AQ$89:$AY$225,5,FALSE)</f>
        <v>93</v>
      </c>
      <c r="I148" s="217">
        <f>AVERAGE(E148:H148)</f>
        <v>91</v>
      </c>
      <c r="J148" s="283">
        <f>_xlfn.STDEV.S(E148:H148)</f>
        <v>2.8284271247461903</v>
      </c>
      <c r="K148" s="89">
        <f>IFERROR( J148 / I148, "-")</f>
        <v>3.1081616755452641E-2</v>
      </c>
      <c r="L148" s="280"/>
      <c r="M148" s="280"/>
      <c r="N148" s="217"/>
      <c r="O148" s="217"/>
      <c r="P148" s="217"/>
      <c r="Q148" s="217"/>
      <c r="R148" s="79"/>
      <c r="W148" s="240">
        <f>IF(OR(
'PROD. 4º MÊS'!C66="Administrativo",
'PROD. 4º MÊS'!C66="Intermediário",
'PROD. 4º MÊS'!C66="Externo",
'PROD. 4º MÊS'!C66="Final"),"-",
'PROD. 4º MÊS'!C66)</f>
        <v>0</v>
      </c>
      <c r="X148" s="241" t="str">
        <f t="shared" si="48"/>
        <v>-</v>
      </c>
      <c r="Y148" s="242" t="str">
        <f t="shared" si="49"/>
        <v>-</v>
      </c>
      <c r="AC148" s="240">
        <f>IF(OR(
'PROD. 3º MÊS'!C66="Administrativo",
'PROD. 3º MÊS'!C66="Intermediário",
'PROD. 3º MÊS'!C66="Externo",
'PROD. 3º MÊS'!C66="Final"),"-",
'PROD. 3º MÊS'!C66)</f>
        <v>0</v>
      </c>
      <c r="AD148" s="241" t="str">
        <f t="shared" si="50"/>
        <v>-</v>
      </c>
      <c r="AE148" s="242" t="str">
        <f t="shared" si="51"/>
        <v>-</v>
      </c>
      <c r="AG148" s="240">
        <f>IF(OR(
'PROD. 2º MÊS'!C66="Administrativo",
'PROD. 2º MÊS'!C66="Intermediário",
'PROD. 2º MÊS'!C66="Externo",
'PROD. 2º MÊS'!C66="Final"),"-",
'PROD. 2º MÊS'!C66)</f>
        <v>0</v>
      </c>
      <c r="AH148" s="241" t="str">
        <f t="shared" si="52"/>
        <v>-</v>
      </c>
      <c r="AI148" s="242" t="str">
        <f t="shared" si="53"/>
        <v>-</v>
      </c>
      <c r="AK148" s="240">
        <f>IF(OR(
'PROD. 1º MÊS'!C66="Administrativo",
'PROD. 1º MÊS'!C66="Intermediário",
'PROD. 1º MÊS'!C66="Externo",
'PROD. 1º MÊS'!C66="Final"),"-",
'PROD. 1º MÊS'!C66)</f>
        <v>0</v>
      </c>
      <c r="AL148" s="241" t="str">
        <f t="shared" si="54"/>
        <v>-</v>
      </c>
      <c r="AM148" s="242" t="str">
        <f t="shared" si="55"/>
        <v>-</v>
      </c>
      <c r="AO148" s="342">
        <f t="shared" si="47"/>
        <v>0</v>
      </c>
      <c r="AP148" s="341" t="str">
        <f t="array" ref="AP148">IFERROR( INDEX( $AO$89:$AO$553, MATCH( 0, COUNTIF( $AP$87:AP147, $AO$89:$AO$553), 0)), "-")</f>
        <v>-</v>
      </c>
      <c r="AQ148" s="248" t="str">
        <f t="shared" si="56"/>
        <v>-</v>
      </c>
      <c r="AR148" s="249" t="str">
        <f t="shared" si="59"/>
        <v>-</v>
      </c>
      <c r="AS148" s="250" t="str">
        <f t="shared" si="60"/>
        <v>-</v>
      </c>
      <c r="AT148" s="250" t="str">
        <f t="shared" si="61"/>
        <v>-</v>
      </c>
      <c r="AU148" s="251" t="str">
        <f t="shared" si="62"/>
        <v>-</v>
      </c>
      <c r="AV148" s="252" t="str">
        <f t="shared" si="63"/>
        <v>-</v>
      </c>
      <c r="AW148" s="253" t="str">
        <f t="shared" si="64"/>
        <v>-</v>
      </c>
      <c r="AX148" s="253" t="str">
        <f t="shared" si="65"/>
        <v>-</v>
      </c>
      <c r="AY148" s="254" t="str">
        <f t="shared" si="66"/>
        <v>-</v>
      </c>
      <c r="AZ148" s="255" t="str">
        <f t="shared" si="57"/>
        <v>-</v>
      </c>
      <c r="BA148" s="95" t="str">
        <f t="shared" si="58"/>
        <v>-</v>
      </c>
    </row>
    <row r="149" spans="1:53" ht="18.2" customHeight="1" x14ac:dyDescent="0.25">
      <c r="A149" s="79"/>
      <c r="B149" s="217"/>
      <c r="C149" s="217"/>
      <c r="D149" s="217" t="s">
        <v>99</v>
      </c>
      <c r="E149" s="90" t="str">
        <f>VLOOKUP($D$147,$AQ$89:$AY$225,6,FALSE)</f>
        <v>-</v>
      </c>
      <c r="F149" s="90">
        <f>VLOOKUP($D$147,$AQ$89:$AY$225,7,FALSE)</f>
        <v>365.51</v>
      </c>
      <c r="G149" s="90" t="str">
        <f>VLOOKUP($D$147,$AQ$89:$AY$225,8,FALSE)</f>
        <v>-</v>
      </c>
      <c r="H149" s="90">
        <f>VLOOKUP($D$147,$AQ$89:$AY$225,9,FALSE)</f>
        <v>393.65</v>
      </c>
      <c r="I149" s="284">
        <f>AVERAGE(E149:H149)</f>
        <v>379.58</v>
      </c>
      <c r="J149" s="90">
        <f>_xlfn.STDEV.S(E149:H149)</f>
        <v>19.897984822589436</v>
      </c>
      <c r="K149" s="89">
        <f>IFERROR( J149 / I149, "-")</f>
        <v>5.242105701720174E-2</v>
      </c>
      <c r="L149" s="280"/>
      <c r="M149" s="280"/>
      <c r="N149" s="217"/>
      <c r="O149" s="217"/>
      <c r="P149" s="217"/>
      <c r="Q149" s="217"/>
      <c r="R149" s="79"/>
      <c r="W149" s="240">
        <f>IF(OR(
'PROD. 4º MÊS'!C67="Administrativo",
'PROD. 4º MÊS'!C67="Intermediário",
'PROD. 4º MÊS'!C67="Externo",
'PROD. 4º MÊS'!C67="Final"),"-",
'PROD. 4º MÊS'!C67)</f>
        <v>0</v>
      </c>
      <c r="X149" s="241" t="str">
        <f t="shared" si="48"/>
        <v>-</v>
      </c>
      <c r="Y149" s="242" t="str">
        <f t="shared" si="49"/>
        <v>-</v>
      </c>
      <c r="AC149" s="240">
        <f>IF(OR(
'PROD. 3º MÊS'!C67="Administrativo",
'PROD. 3º MÊS'!C67="Intermediário",
'PROD. 3º MÊS'!C67="Externo",
'PROD. 3º MÊS'!C67="Final"),"-",
'PROD. 3º MÊS'!C67)</f>
        <v>0</v>
      </c>
      <c r="AD149" s="241" t="str">
        <f t="shared" si="50"/>
        <v>-</v>
      </c>
      <c r="AE149" s="242" t="str">
        <f t="shared" si="51"/>
        <v>-</v>
      </c>
      <c r="AG149" s="240">
        <f>IF(OR(
'PROD. 2º MÊS'!C67="Administrativo",
'PROD. 2º MÊS'!C67="Intermediário",
'PROD. 2º MÊS'!C67="Externo",
'PROD. 2º MÊS'!C67="Final"),"-",
'PROD. 2º MÊS'!C67)</f>
        <v>0</v>
      </c>
      <c r="AH149" s="241" t="str">
        <f t="shared" si="52"/>
        <v>-</v>
      </c>
      <c r="AI149" s="242" t="str">
        <f t="shared" si="53"/>
        <v>-</v>
      </c>
      <c r="AK149" s="240">
        <f>IF(OR(
'PROD. 1º MÊS'!C67="Administrativo",
'PROD. 1º MÊS'!C67="Intermediário",
'PROD. 1º MÊS'!C67="Externo",
'PROD. 1º MÊS'!C67="Final"),"-",
'PROD. 1º MÊS'!C67)</f>
        <v>0</v>
      </c>
      <c r="AL149" s="241" t="str">
        <f t="shared" si="54"/>
        <v>-</v>
      </c>
      <c r="AM149" s="242" t="str">
        <f t="shared" si="55"/>
        <v>-</v>
      </c>
      <c r="AO149" s="342">
        <f t="shared" si="47"/>
        <v>0</v>
      </c>
      <c r="AP149" s="341" t="str">
        <f t="array" ref="AP149">IFERROR( INDEX( $AO$89:$AO$553, MATCH( 0, COUNTIF( $AP$87:AP148, $AO$89:$AO$553), 0)), "-")</f>
        <v>-</v>
      </c>
      <c r="AQ149" s="257" t="str">
        <f t="shared" si="56"/>
        <v>-</v>
      </c>
      <c r="AR149" s="258" t="str">
        <f t="shared" si="59"/>
        <v>-</v>
      </c>
      <c r="AS149" s="259" t="str">
        <f t="shared" si="60"/>
        <v>-</v>
      </c>
      <c r="AT149" s="259" t="str">
        <f t="shared" si="61"/>
        <v>-</v>
      </c>
      <c r="AU149" s="260" t="str">
        <f t="shared" si="62"/>
        <v>-</v>
      </c>
      <c r="AV149" s="261" t="str">
        <f t="shared" si="63"/>
        <v>-</v>
      </c>
      <c r="AW149" s="262" t="str">
        <f t="shared" si="64"/>
        <v>-</v>
      </c>
      <c r="AX149" s="262" t="str">
        <f t="shared" si="65"/>
        <v>-</v>
      </c>
      <c r="AY149" s="263" t="str">
        <f t="shared" si="66"/>
        <v>-</v>
      </c>
      <c r="AZ149" s="264" t="str">
        <f t="shared" si="57"/>
        <v>-</v>
      </c>
      <c r="BA149" s="96" t="str">
        <f t="shared" si="58"/>
        <v>-</v>
      </c>
    </row>
    <row r="150" spans="1:53" ht="18.2" customHeight="1" x14ac:dyDescent="0.25">
      <c r="A150" s="79"/>
      <c r="B150" s="217"/>
      <c r="C150" s="217"/>
      <c r="D150" s="217"/>
      <c r="E150" s="217"/>
      <c r="F150" s="217"/>
      <c r="G150" s="217"/>
      <c r="H150" s="217"/>
      <c r="I150" s="217"/>
      <c r="J150" s="217"/>
      <c r="K150" s="217"/>
      <c r="L150" s="217"/>
      <c r="M150" s="217"/>
      <c r="N150" s="217"/>
      <c r="O150" s="217"/>
      <c r="P150" s="217"/>
      <c r="Q150" s="217"/>
      <c r="R150" s="79"/>
      <c r="W150" s="240">
        <f>IF(OR(
'PROD. 4º MÊS'!C68="Administrativo",
'PROD. 4º MÊS'!C68="Intermediário",
'PROD. 4º MÊS'!C68="Externo",
'PROD. 4º MÊS'!C68="Final"),"-",
'PROD. 4º MÊS'!C68)</f>
        <v>0</v>
      </c>
      <c r="X150" s="241" t="str">
        <f t="shared" si="48"/>
        <v>-</v>
      </c>
      <c r="Y150" s="242" t="str">
        <f t="shared" si="49"/>
        <v>-</v>
      </c>
      <c r="AC150" s="240">
        <f>IF(OR(
'PROD. 3º MÊS'!C68="Administrativo",
'PROD. 3º MÊS'!C68="Intermediário",
'PROD. 3º MÊS'!C68="Externo",
'PROD. 3º MÊS'!C68="Final"),"-",
'PROD. 3º MÊS'!C68)</f>
        <v>0</v>
      </c>
      <c r="AD150" s="241" t="str">
        <f t="shared" si="50"/>
        <v>-</v>
      </c>
      <c r="AE150" s="242" t="str">
        <f t="shared" si="51"/>
        <v>-</v>
      </c>
      <c r="AG150" s="240">
        <f>IF(OR(
'PROD. 2º MÊS'!C68="Administrativo",
'PROD. 2º MÊS'!C68="Intermediário",
'PROD. 2º MÊS'!C68="Externo",
'PROD. 2º MÊS'!C68="Final"),"-",
'PROD. 2º MÊS'!C68)</f>
        <v>0</v>
      </c>
      <c r="AH150" s="241" t="str">
        <f t="shared" si="52"/>
        <v>-</v>
      </c>
      <c r="AI150" s="242" t="str">
        <f t="shared" si="53"/>
        <v>-</v>
      </c>
      <c r="AK150" s="240">
        <f>IF(OR(
'PROD. 1º MÊS'!C68="Administrativo",
'PROD. 1º MÊS'!C68="Intermediário",
'PROD. 1º MÊS'!C68="Externo",
'PROD. 1º MÊS'!C68="Final"),"-",
'PROD. 1º MÊS'!C68)</f>
        <v>0</v>
      </c>
      <c r="AL150" s="241" t="str">
        <f t="shared" si="54"/>
        <v>-</v>
      </c>
      <c r="AM150" s="242" t="str">
        <f t="shared" si="55"/>
        <v>-</v>
      </c>
      <c r="AO150" s="342">
        <f t="shared" si="47"/>
        <v>0</v>
      </c>
      <c r="AP150" s="341" t="str">
        <f t="array" ref="AP150">IFERROR( INDEX( $AO$89:$AO$553, MATCH( 0, COUNTIF( $AP$87:AP149, $AO$89:$AO$553), 0)), "-")</f>
        <v>-</v>
      </c>
      <c r="AQ150" s="248" t="str">
        <f t="shared" si="56"/>
        <v>-</v>
      </c>
      <c r="AR150" s="249" t="str">
        <f t="shared" si="59"/>
        <v>-</v>
      </c>
      <c r="AS150" s="250" t="str">
        <f t="shared" si="60"/>
        <v>-</v>
      </c>
      <c r="AT150" s="250" t="str">
        <f t="shared" si="61"/>
        <v>-</v>
      </c>
      <c r="AU150" s="251" t="str">
        <f t="shared" si="62"/>
        <v>-</v>
      </c>
      <c r="AV150" s="252" t="str">
        <f t="shared" si="63"/>
        <v>-</v>
      </c>
      <c r="AW150" s="253" t="str">
        <f t="shared" si="64"/>
        <v>-</v>
      </c>
      <c r="AX150" s="253" t="str">
        <f t="shared" si="65"/>
        <v>-</v>
      </c>
      <c r="AY150" s="254" t="str">
        <f t="shared" si="66"/>
        <v>-</v>
      </c>
      <c r="AZ150" s="255" t="str">
        <f t="shared" si="57"/>
        <v>-</v>
      </c>
      <c r="BA150" s="95" t="str">
        <f t="shared" si="58"/>
        <v>-</v>
      </c>
    </row>
    <row r="151" spans="1:53" ht="18.2" customHeight="1" x14ac:dyDescent="0.25">
      <c r="A151" s="79"/>
      <c r="B151" s="217"/>
      <c r="C151" s="217"/>
      <c r="D151" s="217"/>
      <c r="E151" s="217"/>
      <c r="F151" s="217"/>
      <c r="G151" s="217"/>
      <c r="H151" s="217"/>
      <c r="I151" s="217"/>
      <c r="J151" s="217"/>
      <c r="K151" s="217"/>
      <c r="L151" s="217"/>
      <c r="M151" s="217"/>
      <c r="N151" s="217"/>
      <c r="O151" s="217"/>
      <c r="P151" s="217"/>
      <c r="Q151" s="217"/>
      <c r="R151" s="79"/>
      <c r="W151" s="240">
        <f>IF(OR(
'PROD. 4º MÊS'!C69="Administrativo",
'PROD. 4º MÊS'!C69="Intermediário",
'PROD. 4º MÊS'!C69="Externo",
'PROD. 4º MÊS'!C69="Final"),"-",
'PROD. 4º MÊS'!C69)</f>
        <v>0</v>
      </c>
      <c r="X151" s="241" t="str">
        <f t="shared" si="48"/>
        <v>-</v>
      </c>
      <c r="Y151" s="242" t="str">
        <f t="shared" si="49"/>
        <v>-</v>
      </c>
      <c r="AC151" s="240">
        <f>IF(OR(
'PROD. 3º MÊS'!C69="Administrativo",
'PROD. 3º MÊS'!C69="Intermediário",
'PROD. 3º MÊS'!C69="Externo",
'PROD. 3º MÊS'!C69="Final"),"-",
'PROD. 3º MÊS'!C69)</f>
        <v>0</v>
      </c>
      <c r="AD151" s="241" t="str">
        <f t="shared" si="50"/>
        <v>-</v>
      </c>
      <c r="AE151" s="242" t="str">
        <f t="shared" si="51"/>
        <v>-</v>
      </c>
      <c r="AG151" s="240">
        <f>IF(OR(
'PROD. 2º MÊS'!C69="Administrativo",
'PROD. 2º MÊS'!C69="Intermediário",
'PROD. 2º MÊS'!C69="Externo",
'PROD. 2º MÊS'!C69="Final"),"-",
'PROD. 2º MÊS'!C69)</f>
        <v>0</v>
      </c>
      <c r="AH151" s="241" t="str">
        <f t="shared" si="52"/>
        <v>-</v>
      </c>
      <c r="AI151" s="242" t="str">
        <f t="shared" si="53"/>
        <v>-</v>
      </c>
      <c r="AK151" s="240">
        <f>IF(OR(
'PROD. 1º MÊS'!C69="Administrativo",
'PROD. 1º MÊS'!C69="Intermediário",
'PROD. 1º MÊS'!C69="Externo",
'PROD. 1º MÊS'!C69="Final"),"-",
'PROD. 1º MÊS'!C69)</f>
        <v>0</v>
      </c>
      <c r="AL151" s="241" t="str">
        <f t="shared" si="54"/>
        <v>-</v>
      </c>
      <c r="AM151" s="242" t="str">
        <f t="shared" si="55"/>
        <v>-</v>
      </c>
      <c r="AO151" s="342">
        <f t="shared" si="47"/>
        <v>0</v>
      </c>
      <c r="AP151" s="341" t="str">
        <f t="array" ref="AP151">IFERROR( INDEX( $AO$89:$AO$553, MATCH( 0, COUNTIF( $AP$87:AP150, $AO$89:$AO$553), 0)), "-")</f>
        <v>-</v>
      </c>
      <c r="AQ151" s="257" t="str">
        <f t="shared" si="56"/>
        <v>-</v>
      </c>
      <c r="AR151" s="258" t="str">
        <f t="shared" si="59"/>
        <v>-</v>
      </c>
      <c r="AS151" s="259" t="str">
        <f t="shared" si="60"/>
        <v>-</v>
      </c>
      <c r="AT151" s="259" t="str">
        <f t="shared" si="61"/>
        <v>-</v>
      </c>
      <c r="AU151" s="260" t="str">
        <f t="shared" si="62"/>
        <v>-</v>
      </c>
      <c r="AV151" s="261" t="str">
        <f t="shared" si="63"/>
        <v>-</v>
      </c>
      <c r="AW151" s="262" t="str">
        <f t="shared" si="64"/>
        <v>-</v>
      </c>
      <c r="AX151" s="262" t="str">
        <f t="shared" si="65"/>
        <v>-</v>
      </c>
      <c r="AY151" s="263" t="str">
        <f t="shared" si="66"/>
        <v>-</v>
      </c>
      <c r="AZ151" s="264" t="str">
        <f t="shared" si="57"/>
        <v>-</v>
      </c>
      <c r="BA151" s="96" t="str">
        <f t="shared" si="58"/>
        <v>-</v>
      </c>
    </row>
    <row r="152" spans="1:53" ht="18.2" customHeight="1" x14ac:dyDescent="0.25">
      <c r="A152" s="79"/>
      <c r="B152" s="217"/>
      <c r="C152" s="217"/>
      <c r="D152" s="217"/>
      <c r="E152" s="217"/>
      <c r="F152" s="217"/>
      <c r="G152" s="217"/>
      <c r="H152" s="217"/>
      <c r="I152" s="217"/>
      <c r="J152" s="217"/>
      <c r="K152" s="217"/>
      <c r="L152" s="217"/>
      <c r="M152" s="217"/>
      <c r="N152" s="217"/>
      <c r="O152" s="217"/>
      <c r="P152" s="217"/>
      <c r="Q152" s="217"/>
      <c r="R152" s="79"/>
      <c r="W152" s="240">
        <f>IF(OR(
'PROD. 4º MÊS'!C70="Administrativo",
'PROD. 4º MÊS'!C70="Intermediário",
'PROD. 4º MÊS'!C70="Externo",
'PROD. 4º MÊS'!C70="Final"),"-",
'PROD. 4º MÊS'!C70)</f>
        <v>0</v>
      </c>
      <c r="X152" s="241" t="str">
        <f t="shared" si="48"/>
        <v>-</v>
      </c>
      <c r="Y152" s="242" t="str">
        <f t="shared" si="49"/>
        <v>-</v>
      </c>
      <c r="AC152" s="240">
        <f>IF(OR(
'PROD. 3º MÊS'!C70="Administrativo",
'PROD. 3º MÊS'!C70="Intermediário",
'PROD. 3º MÊS'!C70="Externo",
'PROD. 3º MÊS'!C70="Final"),"-",
'PROD. 3º MÊS'!C70)</f>
        <v>0</v>
      </c>
      <c r="AD152" s="241" t="str">
        <f t="shared" si="50"/>
        <v>-</v>
      </c>
      <c r="AE152" s="242" t="str">
        <f t="shared" si="51"/>
        <v>-</v>
      </c>
      <c r="AG152" s="240">
        <f>IF(OR(
'PROD. 2º MÊS'!C70="Administrativo",
'PROD. 2º MÊS'!C70="Intermediário",
'PROD. 2º MÊS'!C70="Externo",
'PROD. 2º MÊS'!C70="Final"),"-",
'PROD. 2º MÊS'!C70)</f>
        <v>0</v>
      </c>
      <c r="AH152" s="241" t="str">
        <f t="shared" si="52"/>
        <v>-</v>
      </c>
      <c r="AI152" s="242" t="str">
        <f t="shared" si="53"/>
        <v>-</v>
      </c>
      <c r="AK152" s="240">
        <f>IF(OR(
'PROD. 1º MÊS'!C70="Administrativo",
'PROD. 1º MÊS'!C70="Intermediário",
'PROD. 1º MÊS'!C70="Externo",
'PROD. 1º MÊS'!C70="Final"),"-",
'PROD. 1º MÊS'!C70)</f>
        <v>0</v>
      </c>
      <c r="AL152" s="241" t="str">
        <f t="shared" si="54"/>
        <v>-</v>
      </c>
      <c r="AM152" s="242" t="str">
        <f t="shared" si="55"/>
        <v>-</v>
      </c>
      <c r="AO152" s="342">
        <f t="shared" si="47"/>
        <v>0</v>
      </c>
      <c r="AP152" s="341" t="str">
        <f t="array" ref="AP152">IFERROR( INDEX( $AO$89:$AO$553, MATCH( 0, COUNTIF( $AP$87:AP151, $AO$89:$AO$553), 0)), "-")</f>
        <v>-</v>
      </c>
      <c r="AQ152" s="248" t="str">
        <f t="shared" si="56"/>
        <v>-</v>
      </c>
      <c r="AR152" s="249" t="str">
        <f t="shared" si="59"/>
        <v>-</v>
      </c>
      <c r="AS152" s="250" t="str">
        <f t="shared" si="60"/>
        <v>-</v>
      </c>
      <c r="AT152" s="250" t="str">
        <f t="shared" si="61"/>
        <v>-</v>
      </c>
      <c r="AU152" s="251" t="str">
        <f t="shared" si="62"/>
        <v>-</v>
      </c>
      <c r="AV152" s="252" t="str">
        <f t="shared" si="63"/>
        <v>-</v>
      </c>
      <c r="AW152" s="253" t="str">
        <f t="shared" si="64"/>
        <v>-</v>
      </c>
      <c r="AX152" s="253" t="str">
        <f t="shared" si="65"/>
        <v>-</v>
      </c>
      <c r="AY152" s="254" t="str">
        <f t="shared" si="66"/>
        <v>-</v>
      </c>
      <c r="AZ152" s="255" t="str">
        <f t="shared" si="57"/>
        <v>-</v>
      </c>
      <c r="BA152" s="95" t="str">
        <f t="shared" si="58"/>
        <v>-</v>
      </c>
    </row>
    <row r="153" spans="1:53" ht="18.2" customHeight="1" x14ac:dyDescent="0.25">
      <c r="A153" s="79"/>
      <c r="B153" s="265"/>
      <c r="C153" s="265"/>
      <c r="D153" s="265"/>
      <c r="E153" s="265"/>
      <c r="F153" s="265"/>
      <c r="G153" s="265"/>
      <c r="H153" s="265"/>
      <c r="I153" s="265"/>
      <c r="J153" s="265"/>
      <c r="K153" s="265"/>
      <c r="L153" s="265"/>
      <c r="M153" s="265"/>
      <c r="N153" s="265"/>
      <c r="O153" s="265"/>
      <c r="P153" s="265"/>
      <c r="Q153" s="265"/>
      <c r="R153" s="79"/>
      <c r="W153" s="240">
        <f>IF(OR(
'PROD. 4º MÊS'!C71="Administrativo",
'PROD. 4º MÊS'!C71="Intermediário",
'PROD. 4º MÊS'!C71="Externo",
'PROD. 4º MÊS'!C71="Final"),"-",
'PROD. 4º MÊS'!C71)</f>
        <v>0</v>
      </c>
      <c r="X153" s="241" t="str">
        <f t="shared" ref="X153:X184" si="67" xml:space="preserve"> IFERROR( IF( W153="", "-", VLOOKUP( W153,_1_PROD_ATUAL, 3, 0)),"-")</f>
        <v>-</v>
      </c>
      <c r="Y153" s="242" t="str">
        <f t="shared" ref="Y153:Y184" si="68" xml:space="preserve"> IFERROR( IF( W153="","-", VLOOKUP( W153,_1_PROD_ATUAL, 4, 0)),"-")</f>
        <v>-</v>
      </c>
      <c r="AC153" s="240">
        <f>IF(OR(
'PROD. 3º MÊS'!C71="Administrativo",
'PROD. 3º MÊS'!C71="Intermediário",
'PROD. 3º MÊS'!C71="Externo",
'PROD. 3º MÊS'!C71="Final"),"-",
'PROD. 3º MÊS'!C71)</f>
        <v>0</v>
      </c>
      <c r="AD153" s="241" t="str">
        <f t="shared" ref="AD153:AD184" si="69" xml:space="preserve"> IFERROR( IF( AC153="", "-", VLOOKUP( AC153, _2_PROD_ANTER_, 3, 0)),"-")</f>
        <v>-</v>
      </c>
      <c r="AE153" s="242" t="str">
        <f t="shared" ref="AE153:AE184" si="70" xml:space="preserve"> IFERROR( IF( AC153="","-", VLOOKUP( AC153, _2_PROD_ANTER_, 4, 0)),"-")</f>
        <v>-</v>
      </c>
      <c r="AG153" s="240">
        <f>IF(OR(
'PROD. 2º MÊS'!C71="Administrativo",
'PROD. 2º MÊS'!C71="Intermediário",
'PROD. 2º MÊS'!C71="Externo",
'PROD. 2º MÊS'!C71="Final"),"-",
'PROD. 2º MÊS'!C71)</f>
        <v>0</v>
      </c>
      <c r="AH153" s="241" t="str">
        <f t="shared" ref="AH153:AH184" si="71" xml:space="preserve"> IFERROR( IF( AG153="","-", VLOOKUP( AG153, _3_PROD_2m_, 3, 0)),"-")</f>
        <v>-</v>
      </c>
      <c r="AI153" s="242" t="str">
        <f t="shared" ref="AI153:AI184" si="72" xml:space="preserve"> IFERROR( IF( AG153="","-", VLOOKUP( AG153, _3_PROD_2m_, 4, 0)), "-")</f>
        <v>-</v>
      </c>
      <c r="AK153" s="240">
        <f>IF(OR(
'PROD. 1º MÊS'!C71="Administrativo",
'PROD. 1º MÊS'!C71="Intermediário",
'PROD. 1º MÊS'!C71="Externo",
'PROD. 1º MÊS'!C71="Final"),"-",
'PROD. 1º MÊS'!C71)</f>
        <v>0</v>
      </c>
      <c r="AL153" s="241" t="str">
        <f t="shared" ref="AL153:AL184" si="73" xml:space="preserve"> IFERROR( IF( AK153="","-", VLOOKUP( AK153, _4_PROD_3m_, 3, 0)), "-")</f>
        <v>-</v>
      </c>
      <c r="AM153" s="242" t="str">
        <f t="shared" ref="AM153:AM184" si="74" xml:space="preserve"> IFERROR( IF( AK153="","-", VLOOKUP( AK153, _4_PROD_3m_, 4, 0)), "-")</f>
        <v>-</v>
      </c>
      <c r="AO153" s="342">
        <f t="shared" si="47"/>
        <v>0</v>
      </c>
      <c r="AP153" s="341" t="str">
        <f t="array" ref="AP153">IFERROR( INDEX( $AO$89:$AO$553, MATCH( 0, COUNTIF( $AP$87:AP152, $AO$89:$AO$553), 0)), "-")</f>
        <v>-</v>
      </c>
      <c r="AQ153" s="257" t="str">
        <f t="shared" ref="AQ153:AQ184" si="75" xml:space="preserve"> IFERROR( IF( AP153="","-", MID( AP153, 1, SEARCH( " - ", AP153) -1)), "-")</f>
        <v>-</v>
      </c>
      <c r="AR153" s="258" t="str">
        <f t="shared" si="59"/>
        <v>-</v>
      </c>
      <c r="AS153" s="259" t="str">
        <f t="shared" si="60"/>
        <v>-</v>
      </c>
      <c r="AT153" s="259" t="str">
        <f t="shared" si="61"/>
        <v>-</v>
      </c>
      <c r="AU153" s="260" t="str">
        <f t="shared" si="62"/>
        <v>-</v>
      </c>
      <c r="AV153" s="261" t="str">
        <f t="shared" si="63"/>
        <v>-</v>
      </c>
      <c r="AW153" s="262" t="str">
        <f t="shared" si="64"/>
        <v>-</v>
      </c>
      <c r="AX153" s="262" t="str">
        <f t="shared" si="65"/>
        <v>-</v>
      </c>
      <c r="AY153" s="263" t="str">
        <f t="shared" si="66"/>
        <v>-</v>
      </c>
      <c r="AZ153" s="264" t="str">
        <f t="shared" ref="AZ153:AZ184" si="76" xml:space="preserve"> IFERROR( IF( AQ153="-", "-", AVERAGE( AR153:AU153)), "-")</f>
        <v>-</v>
      </c>
      <c r="BA153" s="96" t="str">
        <f t="shared" ref="BA153:BA184" si="77" xml:space="preserve"> IFERROR( IF( AQ153="-", "-", AVERAGE( AV153:AY153)), "-")</f>
        <v>-</v>
      </c>
    </row>
    <row r="154" spans="1:53" ht="18.2" customHeight="1" x14ac:dyDescent="0.25">
      <c r="A154" s="79"/>
      <c r="B154" s="265"/>
      <c r="C154" s="265"/>
      <c r="D154" s="265"/>
      <c r="E154" s="265"/>
      <c r="F154" s="265"/>
      <c r="G154" s="265"/>
      <c r="H154" s="265"/>
      <c r="I154" s="265"/>
      <c r="J154" s="265"/>
      <c r="K154" s="265"/>
      <c r="L154" s="265"/>
      <c r="M154" s="265"/>
      <c r="N154" s="265"/>
      <c r="O154" s="265"/>
      <c r="P154" s="265"/>
      <c r="Q154" s="265"/>
      <c r="R154" s="378"/>
      <c r="W154" s="240">
        <f>IF(OR(
'PROD. 4º MÊS'!C72="Administrativo",
'PROD. 4º MÊS'!C72="Intermediário",
'PROD. 4º MÊS'!C72="Externo",
'PROD. 4º MÊS'!C72="Final"),"-",
'PROD. 4º MÊS'!C72)</f>
        <v>0</v>
      </c>
      <c r="X154" s="241" t="str">
        <f t="shared" si="67"/>
        <v>-</v>
      </c>
      <c r="Y154" s="242" t="str">
        <f t="shared" si="68"/>
        <v>-</v>
      </c>
      <c r="AC154" s="240">
        <f>IF(OR(
'PROD. 3º MÊS'!C72="Administrativo",
'PROD. 3º MÊS'!C72="Intermediário",
'PROD. 3º MÊS'!C72="Externo",
'PROD. 3º MÊS'!C72="Final"),"-",
'PROD. 3º MÊS'!C72)</f>
        <v>0</v>
      </c>
      <c r="AD154" s="241" t="str">
        <f t="shared" si="69"/>
        <v>-</v>
      </c>
      <c r="AE154" s="242" t="str">
        <f t="shared" si="70"/>
        <v>-</v>
      </c>
      <c r="AG154" s="240">
        <f>IF(OR(
'PROD. 2º MÊS'!C72="Administrativo",
'PROD. 2º MÊS'!C72="Intermediário",
'PROD. 2º MÊS'!C72="Externo",
'PROD. 2º MÊS'!C72="Final"),"-",
'PROD. 2º MÊS'!C72)</f>
        <v>0</v>
      </c>
      <c r="AH154" s="241" t="str">
        <f t="shared" si="71"/>
        <v>-</v>
      </c>
      <c r="AI154" s="242" t="str">
        <f t="shared" si="72"/>
        <v>-</v>
      </c>
      <c r="AK154" s="240">
        <f>IF(OR(
'PROD. 1º MÊS'!C72="Administrativo",
'PROD. 1º MÊS'!C72="Intermediário",
'PROD. 1º MÊS'!C72="Externo",
'PROD. 1º MÊS'!C72="Final"),"-",
'PROD. 1º MÊS'!C72)</f>
        <v>0</v>
      </c>
      <c r="AL154" s="241" t="str">
        <f t="shared" si="73"/>
        <v>-</v>
      </c>
      <c r="AM154" s="242" t="str">
        <f t="shared" si="74"/>
        <v>-</v>
      </c>
      <c r="AO154" s="342">
        <f t="shared" si="47"/>
        <v>0</v>
      </c>
      <c r="AP154" s="341" t="str">
        <f t="array" ref="AP154">IFERROR( INDEX( $AO$89:$AO$553, MATCH( 0, COUNTIF( $AP$87:AP153, $AO$89:$AO$553), 0)), "-")</f>
        <v>-</v>
      </c>
      <c r="AQ154" s="248" t="str">
        <f t="shared" si="75"/>
        <v>-</v>
      </c>
      <c r="AR154" s="249" t="str">
        <f t="shared" ref="AR154:AR185" si="78">IFERROR( IF( $B$8="-", "-", IF(AP154="", "-", VLOOKUP(AP154, $AK$89:$AM$204, 2, 0))), "-")</f>
        <v>-</v>
      </c>
      <c r="AS154" s="250" t="str">
        <f t="shared" ref="AS154:AS185" si="79">IFERROR( IF( $B$8="-", "-", IF(AP154="", "-", VLOOKUP(AP154, $AG$89:$AI$204, 2, 0))), "-")</f>
        <v>-</v>
      </c>
      <c r="AT154" s="250" t="str">
        <f t="shared" ref="AT154:AT185" si="80">IFERROR( IF( $B$8="-", "-", IF(AP154="", "-", VLOOKUP(AP154, $AC$89:$AE$204, 2, 0))), "-")</f>
        <v>-</v>
      </c>
      <c r="AU154" s="251" t="str">
        <f t="shared" ref="AU154:AU185" si="81">IFERROR( IF( $B$8="-", "-", IF(AP154="", "-", VLOOKUP(AP154, $W$89:$Y$204, 2, 0))), "-")</f>
        <v>-</v>
      </c>
      <c r="AV154" s="252" t="str">
        <f t="shared" ref="AV154:AV185" si="82">IFERROR(IF( $B$8="-", "-", IF(AP154="", "-", VLOOKUP(AP154, $AK$89:$AM$204, 3, 0))), "-")</f>
        <v>-</v>
      </c>
      <c r="AW154" s="253" t="str">
        <f t="shared" ref="AW154:AW185" si="83">IFERROR(IF( $B$8="-", "-", IF(AP154="", "-", VLOOKUP(AP154, $AG$89:$AI$204, 3, 0))), "-")</f>
        <v>-</v>
      </c>
      <c r="AX154" s="253" t="str">
        <f t="shared" ref="AX154:AX185" si="84">IFERROR(IF( $B$8="-", "-", IF(AP154="", "-", VLOOKUP(AP154, $AC$89:$AE$204, 3, 0))), "-")</f>
        <v>-</v>
      </c>
      <c r="AY154" s="254" t="str">
        <f t="shared" ref="AY154:AY185" si="85">IFERROR( IF( $B$8="-", "-", IF(AP154="", "-", VLOOKUP(AP154, $W$89:$Y$204, 3, 0))), "-")</f>
        <v>-</v>
      </c>
      <c r="AZ154" s="255" t="str">
        <f t="shared" si="76"/>
        <v>-</v>
      </c>
      <c r="BA154" s="95" t="str">
        <f t="shared" si="77"/>
        <v>-</v>
      </c>
    </row>
    <row r="155" spans="1:53" ht="18.2" customHeight="1" x14ac:dyDescent="0.25">
      <c r="A155" s="79"/>
      <c r="B155" s="265"/>
      <c r="C155" s="265"/>
      <c r="D155" s="265"/>
      <c r="E155" s="265"/>
      <c r="F155" s="265"/>
      <c r="G155" s="265"/>
      <c r="H155" s="265"/>
      <c r="I155" s="265"/>
      <c r="J155" s="265"/>
      <c r="K155" s="265"/>
      <c r="L155" s="265"/>
      <c r="M155" s="265"/>
      <c r="N155" s="265"/>
      <c r="O155" s="265"/>
      <c r="P155" s="265"/>
      <c r="Q155" s="265"/>
      <c r="R155" s="79"/>
      <c r="W155" s="240">
        <f>IF(OR(
'PROD. 4º MÊS'!C73="Administrativo",
'PROD. 4º MÊS'!C73="Intermediário",
'PROD. 4º MÊS'!C73="Externo",
'PROD. 4º MÊS'!C73="Final"),"-",
'PROD. 4º MÊS'!C73)</f>
        <v>0</v>
      </c>
      <c r="X155" s="241" t="str">
        <f t="shared" si="67"/>
        <v>-</v>
      </c>
      <c r="Y155" s="242" t="str">
        <f t="shared" si="68"/>
        <v>-</v>
      </c>
      <c r="AC155" s="240">
        <f>IF(OR(
'PROD. 3º MÊS'!C73="Administrativo",
'PROD. 3º MÊS'!C73="Intermediário",
'PROD. 3º MÊS'!C73="Externo",
'PROD. 3º MÊS'!C73="Final"),"-",
'PROD. 3º MÊS'!C73)</f>
        <v>0</v>
      </c>
      <c r="AD155" s="241" t="str">
        <f t="shared" si="69"/>
        <v>-</v>
      </c>
      <c r="AE155" s="242" t="str">
        <f t="shared" si="70"/>
        <v>-</v>
      </c>
      <c r="AG155" s="240">
        <f>IF(OR(
'PROD. 2º MÊS'!C73="Administrativo",
'PROD. 2º MÊS'!C73="Intermediário",
'PROD. 2º MÊS'!C73="Externo",
'PROD. 2º MÊS'!C73="Final"),"-",
'PROD. 2º MÊS'!C73)</f>
        <v>0</v>
      </c>
      <c r="AH155" s="241" t="str">
        <f t="shared" si="71"/>
        <v>-</v>
      </c>
      <c r="AI155" s="242" t="str">
        <f t="shared" si="72"/>
        <v>-</v>
      </c>
      <c r="AK155" s="240">
        <f>IF(OR(
'PROD. 1º MÊS'!C73="Administrativo",
'PROD. 1º MÊS'!C73="Intermediário",
'PROD. 1º MÊS'!C73="Externo",
'PROD. 1º MÊS'!C73="Final"),"-",
'PROD. 1º MÊS'!C73)</f>
        <v>0</v>
      </c>
      <c r="AL155" s="241" t="str">
        <f t="shared" si="73"/>
        <v>-</v>
      </c>
      <c r="AM155" s="242" t="str">
        <f t="shared" si="74"/>
        <v>-</v>
      </c>
      <c r="AO155" s="342">
        <f t="shared" ref="AO155:AO204" si="86" xml:space="preserve"> W155</f>
        <v>0</v>
      </c>
      <c r="AP155" s="341" t="str">
        <f t="array" ref="AP155">IFERROR( INDEX( $AO$89:$AO$553, MATCH( 0, COUNTIF( $AP$87:AP154, $AO$89:$AO$553), 0)), "-")</f>
        <v>-</v>
      </c>
      <c r="AQ155" s="257" t="str">
        <f t="shared" si="75"/>
        <v>-</v>
      </c>
      <c r="AR155" s="258" t="str">
        <f t="shared" si="78"/>
        <v>-</v>
      </c>
      <c r="AS155" s="259" t="str">
        <f t="shared" si="79"/>
        <v>-</v>
      </c>
      <c r="AT155" s="259" t="str">
        <f t="shared" si="80"/>
        <v>-</v>
      </c>
      <c r="AU155" s="260" t="str">
        <f t="shared" si="81"/>
        <v>-</v>
      </c>
      <c r="AV155" s="261" t="str">
        <f t="shared" si="82"/>
        <v>-</v>
      </c>
      <c r="AW155" s="262" t="str">
        <f t="shared" si="83"/>
        <v>-</v>
      </c>
      <c r="AX155" s="262" t="str">
        <f t="shared" si="84"/>
        <v>-</v>
      </c>
      <c r="AY155" s="263" t="str">
        <f t="shared" si="85"/>
        <v>-</v>
      </c>
      <c r="AZ155" s="264" t="str">
        <f t="shared" si="76"/>
        <v>-</v>
      </c>
      <c r="BA155" s="96" t="str">
        <f t="shared" si="77"/>
        <v>-</v>
      </c>
    </row>
    <row r="156" spans="1:53" ht="25.5" customHeight="1" x14ac:dyDescent="0.25">
      <c r="A156" s="79"/>
      <c r="B156" s="460" t="s">
        <v>278</v>
      </c>
      <c r="C156" s="461"/>
      <c r="D156" s="461"/>
      <c r="E156" s="461"/>
      <c r="F156" s="461"/>
      <c r="G156" s="461"/>
      <c r="H156" s="461"/>
      <c r="I156" s="461"/>
      <c r="J156" s="462"/>
      <c r="K156" s="534" t="s">
        <v>165</v>
      </c>
      <c r="L156" s="534"/>
      <c r="M156" s="274">
        <f xml:space="preserve"> $Q$87</f>
        <v>0.3</v>
      </c>
      <c r="N156" s="275" t="s">
        <v>179</v>
      </c>
      <c r="O156" s="97">
        <f>K148</f>
        <v>3.1081616755452641E-2</v>
      </c>
      <c r="P156" s="276" t="s">
        <v>180</v>
      </c>
      <c r="Q156" s="98">
        <f>K149</f>
        <v>5.242105701720174E-2</v>
      </c>
      <c r="R156" s="79"/>
      <c r="W156" s="240">
        <f>IF(OR(
'PROD. 4º MÊS'!C74="Administrativo",
'PROD. 4º MÊS'!C74="Intermediário",
'PROD. 4º MÊS'!C74="Externo",
'PROD. 4º MÊS'!C74="Final"),"-",
'PROD. 4º MÊS'!C74)</f>
        <v>0</v>
      </c>
      <c r="X156" s="241" t="str">
        <f t="shared" si="67"/>
        <v>-</v>
      </c>
      <c r="Y156" s="242" t="str">
        <f t="shared" si="68"/>
        <v>-</v>
      </c>
      <c r="AC156" s="240">
        <f>IF(OR(
'PROD. 3º MÊS'!C74="Administrativo",
'PROD. 3º MÊS'!C74="Intermediário",
'PROD. 3º MÊS'!C74="Externo",
'PROD. 3º MÊS'!C74="Final"),"-",
'PROD. 3º MÊS'!C74)</f>
        <v>0</v>
      </c>
      <c r="AD156" s="241" t="str">
        <f t="shared" si="69"/>
        <v>-</v>
      </c>
      <c r="AE156" s="242" t="str">
        <f t="shared" si="70"/>
        <v>-</v>
      </c>
      <c r="AG156" s="240">
        <f>IF(OR(
'PROD. 2º MÊS'!C74="Administrativo",
'PROD. 2º MÊS'!C74="Intermediário",
'PROD. 2º MÊS'!C74="Externo",
'PROD. 2º MÊS'!C74="Final"),"-",
'PROD. 2º MÊS'!C74)</f>
        <v>0</v>
      </c>
      <c r="AH156" s="241" t="str">
        <f t="shared" si="71"/>
        <v>-</v>
      </c>
      <c r="AI156" s="242" t="str">
        <f t="shared" si="72"/>
        <v>-</v>
      </c>
      <c r="AK156" s="240">
        <f>IF(OR(
'PROD. 1º MÊS'!C74="Administrativo",
'PROD. 1º MÊS'!C74="Intermediário",
'PROD. 1º MÊS'!C74="Externo",
'PROD. 1º MÊS'!C74="Final"),"-",
'PROD. 1º MÊS'!C74)</f>
        <v>0</v>
      </c>
      <c r="AL156" s="241" t="str">
        <f t="shared" si="73"/>
        <v>-</v>
      </c>
      <c r="AM156" s="242" t="str">
        <f t="shared" si="74"/>
        <v>-</v>
      </c>
      <c r="AO156" s="342">
        <f t="shared" si="86"/>
        <v>0</v>
      </c>
      <c r="AP156" s="341" t="str">
        <f t="array" ref="AP156">IFERROR( INDEX( $AO$89:$AO$553, MATCH( 0, COUNTIF( $AP$87:AP155, $AO$89:$AO$553), 0)), "-")</f>
        <v>-</v>
      </c>
      <c r="AQ156" s="248" t="str">
        <f t="shared" si="75"/>
        <v>-</v>
      </c>
      <c r="AR156" s="249" t="str">
        <f t="shared" si="78"/>
        <v>-</v>
      </c>
      <c r="AS156" s="250" t="str">
        <f t="shared" si="79"/>
        <v>-</v>
      </c>
      <c r="AT156" s="250" t="str">
        <f t="shared" si="80"/>
        <v>-</v>
      </c>
      <c r="AU156" s="251" t="str">
        <f t="shared" si="81"/>
        <v>-</v>
      </c>
      <c r="AV156" s="252" t="str">
        <f t="shared" si="82"/>
        <v>-</v>
      </c>
      <c r="AW156" s="253" t="str">
        <f t="shared" si="83"/>
        <v>-</v>
      </c>
      <c r="AX156" s="253" t="str">
        <f t="shared" si="84"/>
        <v>-</v>
      </c>
      <c r="AY156" s="254" t="str">
        <f t="shared" si="85"/>
        <v>-</v>
      </c>
      <c r="AZ156" s="255" t="str">
        <f t="shared" si="76"/>
        <v>-</v>
      </c>
      <c r="BA156" s="95" t="str">
        <f t="shared" si="77"/>
        <v>-</v>
      </c>
    </row>
    <row r="157" spans="1:53" ht="18.2" customHeight="1" x14ac:dyDescent="0.25">
      <c r="A157" s="79"/>
      <c r="B157" s="546"/>
      <c r="C157" s="546"/>
      <c r="D157" s="546"/>
      <c r="E157" s="546"/>
      <c r="F157" s="546"/>
      <c r="G157" s="546"/>
      <c r="H157" s="546"/>
      <c r="I157" s="546"/>
      <c r="J157" s="546"/>
      <c r="K157" s="546"/>
      <c r="L157" s="546"/>
      <c r="M157" s="546"/>
      <c r="N157" s="546"/>
      <c r="O157" s="546"/>
      <c r="P157" s="546"/>
      <c r="Q157" s="546"/>
      <c r="R157" s="79"/>
      <c r="W157" s="240">
        <f>IF(OR(
'PROD. 4º MÊS'!C75="Administrativo",
'PROD. 4º MÊS'!C75="Intermediário",
'PROD. 4º MÊS'!C75="Externo",
'PROD. 4º MÊS'!C75="Final"),"-",
'PROD. 4º MÊS'!C75)</f>
        <v>0</v>
      </c>
      <c r="X157" s="241" t="str">
        <f t="shared" si="67"/>
        <v>-</v>
      </c>
      <c r="Y157" s="242" t="str">
        <f t="shared" si="68"/>
        <v>-</v>
      </c>
      <c r="AC157" s="240">
        <f>IF(OR(
'PROD. 3º MÊS'!C75="Administrativo",
'PROD. 3º MÊS'!C75="Intermediário",
'PROD. 3º MÊS'!C75="Externo",
'PROD. 3º MÊS'!C75="Final"),"-",
'PROD. 3º MÊS'!C75)</f>
        <v>0</v>
      </c>
      <c r="AD157" s="241" t="str">
        <f t="shared" si="69"/>
        <v>-</v>
      </c>
      <c r="AE157" s="242" t="str">
        <f t="shared" si="70"/>
        <v>-</v>
      </c>
      <c r="AG157" s="240">
        <f>IF(OR(
'PROD. 2º MÊS'!C75="Administrativo",
'PROD. 2º MÊS'!C75="Intermediário",
'PROD. 2º MÊS'!C75="Externo",
'PROD. 2º MÊS'!C75="Final"),"-",
'PROD. 2º MÊS'!C75)</f>
        <v>0</v>
      </c>
      <c r="AH157" s="241" t="str">
        <f t="shared" si="71"/>
        <v>-</v>
      </c>
      <c r="AI157" s="242" t="str">
        <f t="shared" si="72"/>
        <v>-</v>
      </c>
      <c r="AK157" s="240">
        <f>IF(OR(
'PROD. 1º MÊS'!C75="Administrativo",
'PROD. 1º MÊS'!C75="Intermediário",
'PROD. 1º MÊS'!C75="Externo",
'PROD. 1º MÊS'!C75="Final"),"-",
'PROD. 1º MÊS'!C75)</f>
        <v>0</v>
      </c>
      <c r="AL157" s="241" t="str">
        <f t="shared" si="73"/>
        <v>-</v>
      </c>
      <c r="AM157" s="242" t="str">
        <f t="shared" si="74"/>
        <v>-</v>
      </c>
      <c r="AO157" s="342">
        <f t="shared" si="86"/>
        <v>0</v>
      </c>
      <c r="AP157" s="341" t="str">
        <f t="array" ref="AP157">IFERROR( INDEX( $AO$89:$AO$553, MATCH( 0, COUNTIF( $AP$87:AP156, $AO$89:$AO$553), 0)), "-")</f>
        <v>-</v>
      </c>
      <c r="AQ157" s="257" t="str">
        <f t="shared" si="75"/>
        <v>-</v>
      </c>
      <c r="AR157" s="258" t="str">
        <f t="shared" si="78"/>
        <v>-</v>
      </c>
      <c r="AS157" s="259" t="str">
        <f t="shared" si="79"/>
        <v>-</v>
      </c>
      <c r="AT157" s="259" t="str">
        <f t="shared" si="80"/>
        <v>-</v>
      </c>
      <c r="AU157" s="260" t="str">
        <f t="shared" si="81"/>
        <v>-</v>
      </c>
      <c r="AV157" s="261" t="str">
        <f t="shared" si="82"/>
        <v>-</v>
      </c>
      <c r="AW157" s="262" t="str">
        <f t="shared" si="83"/>
        <v>-</v>
      </c>
      <c r="AX157" s="262" t="str">
        <f t="shared" si="84"/>
        <v>-</v>
      </c>
      <c r="AY157" s="263" t="str">
        <f t="shared" si="85"/>
        <v>-</v>
      </c>
      <c r="AZ157" s="264" t="str">
        <f t="shared" si="76"/>
        <v>-</v>
      </c>
      <c r="BA157" s="96" t="str">
        <f t="shared" si="77"/>
        <v>-</v>
      </c>
    </row>
    <row r="158" spans="1:53" ht="18.2" customHeight="1" x14ac:dyDescent="0.25">
      <c r="A158" s="79"/>
      <c r="B158" s="459"/>
      <c r="C158" s="459"/>
      <c r="D158" s="459"/>
      <c r="E158" s="459"/>
      <c r="F158" s="459"/>
      <c r="G158" s="459"/>
      <c r="H158" s="459"/>
      <c r="I158" s="459"/>
      <c r="J158" s="459"/>
      <c r="K158" s="459"/>
      <c r="L158" s="459"/>
      <c r="M158" s="459"/>
      <c r="N158" s="459"/>
      <c r="O158" s="459"/>
      <c r="P158" s="459"/>
      <c r="Q158" s="459"/>
      <c r="R158" s="79"/>
      <c r="W158" s="240">
        <f>IF(OR(
'PROD. 4º MÊS'!C76="Administrativo",
'PROD. 4º MÊS'!C76="Intermediário",
'PROD. 4º MÊS'!C76="Externo",
'PROD. 4º MÊS'!C76="Final"),"-",
'PROD. 4º MÊS'!C76)</f>
        <v>0</v>
      </c>
      <c r="X158" s="241" t="str">
        <f t="shared" si="67"/>
        <v>-</v>
      </c>
      <c r="Y158" s="242" t="str">
        <f t="shared" si="68"/>
        <v>-</v>
      </c>
      <c r="AC158" s="240">
        <f>IF(OR(
'PROD. 3º MÊS'!C76="Administrativo",
'PROD. 3º MÊS'!C76="Intermediário",
'PROD. 3º MÊS'!C76="Externo",
'PROD. 3º MÊS'!C76="Final"),"-",
'PROD. 3º MÊS'!C76)</f>
        <v>0</v>
      </c>
      <c r="AD158" s="241" t="str">
        <f t="shared" si="69"/>
        <v>-</v>
      </c>
      <c r="AE158" s="242" t="str">
        <f t="shared" si="70"/>
        <v>-</v>
      </c>
      <c r="AG158" s="240">
        <f>IF(OR(
'PROD. 2º MÊS'!C76="Administrativo",
'PROD. 2º MÊS'!C76="Intermediário",
'PROD. 2º MÊS'!C76="Externo",
'PROD. 2º MÊS'!C76="Final"),"-",
'PROD. 2º MÊS'!C76)</f>
        <v>0</v>
      </c>
      <c r="AH158" s="241" t="str">
        <f t="shared" si="71"/>
        <v>-</v>
      </c>
      <c r="AI158" s="242" t="str">
        <f t="shared" si="72"/>
        <v>-</v>
      </c>
      <c r="AK158" s="240">
        <f>IF(OR(
'PROD. 1º MÊS'!C76="Administrativo",
'PROD. 1º MÊS'!C76="Intermediário",
'PROD. 1º MÊS'!C76="Externo",
'PROD. 1º MÊS'!C76="Final"),"-",
'PROD. 1º MÊS'!C76)</f>
        <v>0</v>
      </c>
      <c r="AL158" s="241" t="str">
        <f t="shared" si="73"/>
        <v>-</v>
      </c>
      <c r="AM158" s="242" t="str">
        <f t="shared" si="74"/>
        <v>-</v>
      </c>
      <c r="AO158" s="342">
        <f t="shared" si="86"/>
        <v>0</v>
      </c>
      <c r="AP158" s="341" t="str">
        <f t="array" ref="AP158">IFERROR( INDEX( $AO$89:$AO$553, MATCH( 0, COUNTIF( $AP$87:AP157, $AO$89:$AO$553), 0)), "-")</f>
        <v>-</v>
      </c>
      <c r="AQ158" s="248" t="str">
        <f t="shared" si="75"/>
        <v>-</v>
      </c>
      <c r="AR158" s="249" t="str">
        <f t="shared" si="78"/>
        <v>-</v>
      </c>
      <c r="AS158" s="250" t="str">
        <f t="shared" si="79"/>
        <v>-</v>
      </c>
      <c r="AT158" s="250" t="str">
        <f t="shared" si="80"/>
        <v>-</v>
      </c>
      <c r="AU158" s="251" t="str">
        <f t="shared" si="81"/>
        <v>-</v>
      </c>
      <c r="AV158" s="252" t="str">
        <f t="shared" si="82"/>
        <v>-</v>
      </c>
      <c r="AW158" s="253" t="str">
        <f t="shared" si="83"/>
        <v>-</v>
      </c>
      <c r="AX158" s="253" t="str">
        <f t="shared" si="84"/>
        <v>-</v>
      </c>
      <c r="AY158" s="254" t="str">
        <f t="shared" si="85"/>
        <v>-</v>
      </c>
      <c r="AZ158" s="255" t="str">
        <f t="shared" si="76"/>
        <v>-</v>
      </c>
      <c r="BA158" s="95" t="str">
        <f t="shared" si="77"/>
        <v>-</v>
      </c>
    </row>
    <row r="159" spans="1:53" ht="18.2" customHeight="1" x14ac:dyDescent="0.25">
      <c r="A159" s="79"/>
      <c r="B159" s="265"/>
      <c r="C159" s="265"/>
      <c r="D159" s="265"/>
      <c r="E159" s="265"/>
      <c r="F159" s="265"/>
      <c r="G159" s="265"/>
      <c r="H159" s="265"/>
      <c r="I159" s="265"/>
      <c r="J159" s="265"/>
      <c r="K159" s="265"/>
      <c r="L159" s="265"/>
      <c r="M159" s="265"/>
      <c r="N159" s="265"/>
      <c r="O159" s="265"/>
      <c r="P159" s="265"/>
      <c r="Q159" s="265"/>
      <c r="R159" s="79"/>
      <c r="W159" s="240">
        <f>IF(OR(
'PROD. 4º MÊS'!C77="Administrativo",
'PROD. 4º MÊS'!C77="Intermediário",
'PROD. 4º MÊS'!C77="Externo",
'PROD. 4º MÊS'!C77="Final"),"-",
'PROD. 4º MÊS'!C77)</f>
        <v>0</v>
      </c>
      <c r="X159" s="241" t="str">
        <f t="shared" si="67"/>
        <v>-</v>
      </c>
      <c r="Y159" s="242" t="str">
        <f t="shared" si="68"/>
        <v>-</v>
      </c>
      <c r="AC159" s="240">
        <f>IF(OR(
'PROD. 3º MÊS'!C77="Administrativo",
'PROD. 3º MÊS'!C77="Intermediário",
'PROD. 3º MÊS'!C77="Externo",
'PROD. 3º MÊS'!C77="Final"),"-",
'PROD. 3º MÊS'!C77)</f>
        <v>0</v>
      </c>
      <c r="AD159" s="241" t="str">
        <f t="shared" si="69"/>
        <v>-</v>
      </c>
      <c r="AE159" s="242" t="str">
        <f t="shared" si="70"/>
        <v>-</v>
      </c>
      <c r="AG159" s="240">
        <f>IF(OR(
'PROD. 2º MÊS'!C77="Administrativo",
'PROD. 2º MÊS'!C77="Intermediário",
'PROD. 2º MÊS'!C77="Externo",
'PROD. 2º MÊS'!C77="Final"),"-",
'PROD. 2º MÊS'!C77)</f>
        <v>0</v>
      </c>
      <c r="AH159" s="241" t="str">
        <f t="shared" si="71"/>
        <v>-</v>
      </c>
      <c r="AI159" s="242" t="str">
        <f t="shared" si="72"/>
        <v>-</v>
      </c>
      <c r="AK159" s="240">
        <f>IF(OR(
'PROD. 1º MÊS'!C77="Administrativo",
'PROD. 1º MÊS'!C77="Intermediário",
'PROD. 1º MÊS'!C77="Externo",
'PROD. 1º MÊS'!C77="Final"),"-",
'PROD. 1º MÊS'!C77)</f>
        <v>0</v>
      </c>
      <c r="AL159" s="241" t="str">
        <f t="shared" si="73"/>
        <v>-</v>
      </c>
      <c r="AM159" s="242" t="str">
        <f t="shared" si="74"/>
        <v>-</v>
      </c>
      <c r="AO159" s="342">
        <f t="shared" si="86"/>
        <v>0</v>
      </c>
      <c r="AP159" s="341" t="str">
        <f t="array" ref="AP159">IFERROR( INDEX( $AO$89:$AO$553, MATCH( 0, COUNTIF( $AP$87:AP158, $AO$89:$AO$553), 0)), "-")</f>
        <v>-</v>
      </c>
      <c r="AQ159" s="257" t="str">
        <f t="shared" si="75"/>
        <v>-</v>
      </c>
      <c r="AR159" s="258" t="str">
        <f t="shared" si="78"/>
        <v>-</v>
      </c>
      <c r="AS159" s="259" t="str">
        <f t="shared" si="79"/>
        <v>-</v>
      </c>
      <c r="AT159" s="259" t="str">
        <f t="shared" si="80"/>
        <v>-</v>
      </c>
      <c r="AU159" s="260" t="str">
        <f t="shared" si="81"/>
        <v>-</v>
      </c>
      <c r="AV159" s="261" t="str">
        <f t="shared" si="82"/>
        <v>-</v>
      </c>
      <c r="AW159" s="262" t="str">
        <f t="shared" si="83"/>
        <v>-</v>
      </c>
      <c r="AX159" s="262" t="str">
        <f t="shared" si="84"/>
        <v>-</v>
      </c>
      <c r="AY159" s="263" t="str">
        <f t="shared" si="85"/>
        <v>-</v>
      </c>
      <c r="AZ159" s="264" t="str">
        <f t="shared" si="76"/>
        <v>-</v>
      </c>
      <c r="BA159" s="96" t="str">
        <f t="shared" si="77"/>
        <v>-</v>
      </c>
    </row>
    <row r="160" spans="1:53" ht="18.2" customHeight="1" x14ac:dyDescent="0.25">
      <c r="A160" s="79"/>
      <c r="B160" s="265"/>
      <c r="C160" s="265"/>
      <c r="D160" s="265"/>
      <c r="E160" s="265"/>
      <c r="F160" s="265"/>
      <c r="G160" s="265"/>
      <c r="H160" s="265"/>
      <c r="I160" s="265"/>
      <c r="J160" s="265"/>
      <c r="K160" s="265"/>
      <c r="L160" s="265"/>
      <c r="M160" s="265"/>
      <c r="N160" s="265"/>
      <c r="O160" s="265"/>
      <c r="P160" s="265"/>
      <c r="Q160" s="265"/>
      <c r="R160" s="79"/>
      <c r="W160" s="240">
        <f>IF(OR(
'PROD. 4º MÊS'!C78="Administrativo",
'PROD. 4º MÊS'!C78="Intermediário",
'PROD. 4º MÊS'!C78="Externo",
'PROD. 4º MÊS'!C78="Final"),"-",
'PROD. 4º MÊS'!C78)</f>
        <v>0</v>
      </c>
      <c r="X160" s="241" t="str">
        <f t="shared" si="67"/>
        <v>-</v>
      </c>
      <c r="Y160" s="242" t="str">
        <f t="shared" si="68"/>
        <v>-</v>
      </c>
      <c r="AC160" s="240">
        <f>IF(OR(
'PROD. 3º MÊS'!C78="Administrativo",
'PROD. 3º MÊS'!C78="Intermediário",
'PROD. 3º MÊS'!C78="Externo",
'PROD. 3º MÊS'!C78="Final"),"-",
'PROD. 3º MÊS'!C78)</f>
        <v>0</v>
      </c>
      <c r="AD160" s="241" t="str">
        <f t="shared" si="69"/>
        <v>-</v>
      </c>
      <c r="AE160" s="242" t="str">
        <f t="shared" si="70"/>
        <v>-</v>
      </c>
      <c r="AG160" s="240">
        <f>IF(OR(
'PROD. 2º MÊS'!C78="Administrativo",
'PROD. 2º MÊS'!C78="Intermediário",
'PROD. 2º MÊS'!C78="Externo",
'PROD. 2º MÊS'!C78="Final"),"-",
'PROD. 2º MÊS'!C78)</f>
        <v>0</v>
      </c>
      <c r="AH160" s="241" t="str">
        <f t="shared" si="71"/>
        <v>-</v>
      </c>
      <c r="AI160" s="242" t="str">
        <f t="shared" si="72"/>
        <v>-</v>
      </c>
      <c r="AK160" s="240">
        <f>IF(OR(
'PROD. 1º MÊS'!C78="Administrativo",
'PROD. 1º MÊS'!C78="Intermediário",
'PROD. 1º MÊS'!C78="Externo",
'PROD. 1º MÊS'!C78="Final"),"-",
'PROD. 1º MÊS'!C78)</f>
        <v>0</v>
      </c>
      <c r="AL160" s="241" t="str">
        <f t="shared" si="73"/>
        <v>-</v>
      </c>
      <c r="AM160" s="242" t="str">
        <f t="shared" si="74"/>
        <v>-</v>
      </c>
      <c r="AO160" s="342">
        <f t="shared" si="86"/>
        <v>0</v>
      </c>
      <c r="AP160" s="341" t="str">
        <f t="array" ref="AP160">IFERROR( INDEX( $AO$89:$AO$553, MATCH( 0, COUNTIF( $AP$87:AP159, $AO$89:$AO$553), 0)), "-")</f>
        <v>-</v>
      </c>
      <c r="AQ160" s="248" t="str">
        <f t="shared" si="75"/>
        <v>-</v>
      </c>
      <c r="AR160" s="249" t="str">
        <f t="shared" si="78"/>
        <v>-</v>
      </c>
      <c r="AS160" s="250" t="str">
        <f t="shared" si="79"/>
        <v>-</v>
      </c>
      <c r="AT160" s="250" t="str">
        <f t="shared" si="80"/>
        <v>-</v>
      </c>
      <c r="AU160" s="251" t="str">
        <f t="shared" si="81"/>
        <v>-</v>
      </c>
      <c r="AV160" s="252" t="str">
        <f t="shared" si="82"/>
        <v>-</v>
      </c>
      <c r="AW160" s="253" t="str">
        <f t="shared" si="83"/>
        <v>-</v>
      </c>
      <c r="AX160" s="253" t="str">
        <f t="shared" si="84"/>
        <v>-</v>
      </c>
      <c r="AY160" s="254" t="str">
        <f t="shared" si="85"/>
        <v>-</v>
      </c>
      <c r="AZ160" s="255" t="str">
        <f t="shared" si="76"/>
        <v>-</v>
      </c>
      <c r="BA160" s="95" t="str">
        <f t="shared" si="77"/>
        <v>-</v>
      </c>
    </row>
    <row r="161" spans="1:53" ht="18.2" customHeight="1" x14ac:dyDescent="0.25">
      <c r="A161" s="79"/>
      <c r="B161" s="265"/>
      <c r="C161" s="269"/>
      <c r="D161" s="266" t="str">
        <f xml:space="preserve"> CONCATENATE( "PRODUÇÃO e CUSTO MÉDIO de:  ", UPPER( $B$170))</f>
        <v>PRODUÇÃO e CUSTO MÉDIO de:  AMBULATÓRIO DE GASTROENTEROLOGIA PEDIÁTRICA</v>
      </c>
      <c r="E161" s="265"/>
      <c r="F161" s="265"/>
      <c r="G161" s="265"/>
      <c r="H161" s="265"/>
      <c r="I161" s="265"/>
      <c r="J161" s="265"/>
      <c r="K161" s="265"/>
      <c r="L161" s="277"/>
      <c r="M161" s="277"/>
      <c r="N161" s="265"/>
      <c r="O161" s="265"/>
      <c r="P161" s="265"/>
      <c r="Q161" s="265"/>
      <c r="R161" s="79"/>
      <c r="W161" s="240">
        <f>IF(OR(
'PROD. 4º MÊS'!C79="Administrativo",
'PROD. 4º MÊS'!C79="Intermediário",
'PROD. 4º MÊS'!C79="Externo",
'PROD. 4º MÊS'!C79="Final"),"-",
'PROD. 4º MÊS'!C79)</f>
        <v>0</v>
      </c>
      <c r="X161" s="241" t="str">
        <f t="shared" si="67"/>
        <v>-</v>
      </c>
      <c r="Y161" s="242" t="str">
        <f t="shared" si="68"/>
        <v>-</v>
      </c>
      <c r="AC161" s="240">
        <f>IF(OR(
'PROD. 3º MÊS'!C79="Administrativo",
'PROD. 3º MÊS'!C79="Intermediário",
'PROD. 3º MÊS'!C79="Externo",
'PROD. 3º MÊS'!C79="Final"),"-",
'PROD. 3º MÊS'!C79)</f>
        <v>0</v>
      </c>
      <c r="AD161" s="241" t="str">
        <f t="shared" si="69"/>
        <v>-</v>
      </c>
      <c r="AE161" s="242" t="str">
        <f t="shared" si="70"/>
        <v>-</v>
      </c>
      <c r="AG161" s="240">
        <f>IF(OR(
'PROD. 2º MÊS'!C79="Administrativo",
'PROD. 2º MÊS'!C79="Intermediário",
'PROD. 2º MÊS'!C79="Externo",
'PROD. 2º MÊS'!C79="Final"),"-",
'PROD. 2º MÊS'!C79)</f>
        <v>0</v>
      </c>
      <c r="AH161" s="241" t="str">
        <f t="shared" si="71"/>
        <v>-</v>
      </c>
      <c r="AI161" s="242" t="str">
        <f t="shared" si="72"/>
        <v>-</v>
      </c>
      <c r="AK161" s="240">
        <f>IF(OR(
'PROD. 1º MÊS'!C79="Administrativo",
'PROD. 1º MÊS'!C79="Intermediário",
'PROD. 1º MÊS'!C79="Externo",
'PROD. 1º MÊS'!C79="Final"),"-",
'PROD. 1º MÊS'!C79)</f>
        <v>0</v>
      </c>
      <c r="AL161" s="241" t="str">
        <f t="shared" si="73"/>
        <v>-</v>
      </c>
      <c r="AM161" s="242" t="str">
        <f t="shared" si="74"/>
        <v>-</v>
      </c>
      <c r="AO161" s="342">
        <f t="shared" si="86"/>
        <v>0</v>
      </c>
      <c r="AP161" s="341" t="str">
        <f t="array" ref="AP161">IFERROR( INDEX( $AO$89:$AO$553, MATCH( 0, COUNTIF( $AP$87:AP160, $AO$89:$AO$553), 0)), "-")</f>
        <v>-</v>
      </c>
      <c r="AQ161" s="257" t="str">
        <f t="shared" si="75"/>
        <v>-</v>
      </c>
      <c r="AR161" s="258" t="str">
        <f t="shared" si="78"/>
        <v>-</v>
      </c>
      <c r="AS161" s="259" t="str">
        <f t="shared" si="79"/>
        <v>-</v>
      </c>
      <c r="AT161" s="259" t="str">
        <f t="shared" si="80"/>
        <v>-</v>
      </c>
      <c r="AU161" s="260" t="str">
        <f t="shared" si="81"/>
        <v>-</v>
      </c>
      <c r="AV161" s="261" t="str">
        <f t="shared" si="82"/>
        <v>-</v>
      </c>
      <c r="AW161" s="262" t="str">
        <f t="shared" si="83"/>
        <v>-</v>
      </c>
      <c r="AX161" s="262" t="str">
        <f t="shared" si="84"/>
        <v>-</v>
      </c>
      <c r="AY161" s="263" t="str">
        <f t="shared" si="85"/>
        <v>-</v>
      </c>
      <c r="AZ161" s="264" t="str">
        <f t="shared" si="76"/>
        <v>-</v>
      </c>
      <c r="BA161" s="96" t="str">
        <f t="shared" si="77"/>
        <v>-</v>
      </c>
    </row>
    <row r="162" spans="1:53" ht="18.2" customHeight="1" x14ac:dyDescent="0.25">
      <c r="A162" s="79"/>
      <c r="B162" s="265"/>
      <c r="C162" s="267" t="s">
        <v>167</v>
      </c>
      <c r="D162" s="265" t="str">
        <f>RELATÓRIO!$B$170</f>
        <v>Ambulatório de Gastroenterologia Pediátrica</v>
      </c>
      <c r="E162" s="268" t="str">
        <f>$AR$88</f>
        <v>JAN-25</v>
      </c>
      <c r="F162" s="268" t="str">
        <f>$AS$88</f>
        <v>FEV-25</v>
      </c>
      <c r="G162" s="268" t="str">
        <f>$AT$88</f>
        <v>MAR-25</v>
      </c>
      <c r="H162" s="268" t="str">
        <f>$AU$88</f>
        <v>ABR-25</v>
      </c>
      <c r="I162" s="265" t="s">
        <v>162</v>
      </c>
      <c r="J162" s="265" t="s">
        <v>163</v>
      </c>
      <c r="K162" s="265" t="s">
        <v>164</v>
      </c>
      <c r="L162" s="277"/>
      <c r="M162" s="277"/>
      <c r="N162" s="265"/>
      <c r="O162" s="265"/>
      <c r="P162" s="265"/>
      <c r="Q162" s="265"/>
      <c r="R162" s="79"/>
      <c r="W162" s="240">
        <f>IF(OR(
'PROD. 4º MÊS'!C80="Administrativo",
'PROD. 4º MÊS'!C80="Intermediário",
'PROD. 4º MÊS'!C80="Externo",
'PROD. 4º MÊS'!C80="Final"),"-",
'PROD. 4º MÊS'!C80)</f>
        <v>0</v>
      </c>
      <c r="X162" s="241" t="str">
        <f t="shared" si="67"/>
        <v>-</v>
      </c>
      <c r="Y162" s="242" t="str">
        <f t="shared" si="68"/>
        <v>-</v>
      </c>
      <c r="AC162" s="240">
        <f>IF(OR(
'PROD. 3º MÊS'!C80="Administrativo",
'PROD. 3º MÊS'!C80="Intermediário",
'PROD. 3º MÊS'!C80="Externo",
'PROD. 3º MÊS'!C80="Final"),"-",
'PROD. 3º MÊS'!C80)</f>
        <v>0</v>
      </c>
      <c r="AD162" s="241" t="str">
        <f t="shared" si="69"/>
        <v>-</v>
      </c>
      <c r="AE162" s="242" t="str">
        <f t="shared" si="70"/>
        <v>-</v>
      </c>
      <c r="AG162" s="240">
        <f>IF(OR(
'PROD. 2º MÊS'!C80="Administrativo",
'PROD. 2º MÊS'!C80="Intermediário",
'PROD. 2º MÊS'!C80="Externo",
'PROD. 2º MÊS'!C80="Final"),"-",
'PROD. 2º MÊS'!C80)</f>
        <v>0</v>
      </c>
      <c r="AH162" s="241" t="str">
        <f t="shared" si="71"/>
        <v>-</v>
      </c>
      <c r="AI162" s="242" t="str">
        <f t="shared" si="72"/>
        <v>-</v>
      </c>
      <c r="AK162" s="240">
        <f>IF(OR(
'PROD. 1º MÊS'!C80="Administrativo",
'PROD. 1º MÊS'!C80="Intermediário",
'PROD. 1º MÊS'!C80="Externo",
'PROD. 1º MÊS'!C80="Final"),"-",
'PROD. 1º MÊS'!C80)</f>
        <v>0</v>
      </c>
      <c r="AL162" s="241" t="str">
        <f t="shared" si="73"/>
        <v>-</v>
      </c>
      <c r="AM162" s="242" t="str">
        <f t="shared" si="74"/>
        <v>-</v>
      </c>
      <c r="AO162" s="342">
        <f t="shared" si="86"/>
        <v>0</v>
      </c>
      <c r="AP162" s="341" t="str">
        <f t="array" ref="AP162">IFERROR( INDEX( $AO$89:$AO$553, MATCH( 0, COUNTIF( $AP$87:AP161, $AO$89:$AO$553), 0)), "-")</f>
        <v>-</v>
      </c>
      <c r="AQ162" s="248" t="str">
        <f t="shared" si="75"/>
        <v>-</v>
      </c>
      <c r="AR162" s="249" t="str">
        <f t="shared" si="78"/>
        <v>-</v>
      </c>
      <c r="AS162" s="250" t="str">
        <f t="shared" si="79"/>
        <v>-</v>
      </c>
      <c r="AT162" s="250" t="str">
        <f t="shared" si="80"/>
        <v>-</v>
      </c>
      <c r="AU162" s="251" t="str">
        <f t="shared" si="81"/>
        <v>-</v>
      </c>
      <c r="AV162" s="252" t="str">
        <f t="shared" si="82"/>
        <v>-</v>
      </c>
      <c r="AW162" s="253" t="str">
        <f t="shared" si="83"/>
        <v>-</v>
      </c>
      <c r="AX162" s="253" t="str">
        <f t="shared" si="84"/>
        <v>-</v>
      </c>
      <c r="AY162" s="254" t="str">
        <f t="shared" si="85"/>
        <v>-</v>
      </c>
      <c r="AZ162" s="255" t="str">
        <f t="shared" si="76"/>
        <v>-</v>
      </c>
      <c r="BA162" s="95" t="str">
        <f t="shared" si="77"/>
        <v>-</v>
      </c>
    </row>
    <row r="163" spans="1:53" ht="18.2" customHeight="1" x14ac:dyDescent="0.25">
      <c r="A163" s="79"/>
      <c r="B163" s="265"/>
      <c r="C163" s="265"/>
      <c r="D163" s="265" t="s">
        <v>100</v>
      </c>
      <c r="E163" s="265">
        <f>VLOOKUP($D$162,$AQ$89:$AY$225,2,FALSE)</f>
        <v>24</v>
      </c>
      <c r="F163" s="265">
        <f>VLOOKUP($D$162,$AQ$89:$AY$225,3,FALSE)</f>
        <v>38</v>
      </c>
      <c r="G163" s="265">
        <f>VLOOKUP($D$162,$AQ$89:$AY$225,4,FALSE)</f>
        <v>29</v>
      </c>
      <c r="H163" s="265">
        <f>VLOOKUP($D$162,$AQ$89:$AY$225,5,FALSE)</f>
        <v>38</v>
      </c>
      <c r="I163" s="265">
        <f>AVERAGE(E163:H163)</f>
        <v>32.25</v>
      </c>
      <c r="J163" s="270">
        <f>_xlfn.STDEV.S(E163:H163)</f>
        <v>6.946221994724902</v>
      </c>
      <c r="K163" s="76">
        <f>IFERROR( J163 / I163, "-")</f>
        <v>0.21538672851860161</v>
      </c>
      <c r="L163" s="277"/>
      <c r="M163" s="277"/>
      <c r="N163" s="265"/>
      <c r="O163" s="265"/>
      <c r="P163" s="265"/>
      <c r="Q163" s="265"/>
      <c r="R163" s="79"/>
      <c r="W163" s="240">
        <f>IF(OR(
'PROD. 4º MÊS'!C81="Administrativo",
'PROD. 4º MÊS'!C81="Intermediário",
'PROD. 4º MÊS'!C81="Externo",
'PROD. 4º MÊS'!C81="Final"),"-",
'PROD. 4º MÊS'!C81)</f>
        <v>0</v>
      </c>
      <c r="X163" s="241" t="str">
        <f t="shared" si="67"/>
        <v>-</v>
      </c>
      <c r="Y163" s="242" t="str">
        <f t="shared" si="68"/>
        <v>-</v>
      </c>
      <c r="AC163" s="240">
        <f>IF(OR(
'PROD. 3º MÊS'!C81="Administrativo",
'PROD. 3º MÊS'!C81="Intermediário",
'PROD. 3º MÊS'!C81="Externo",
'PROD. 3º MÊS'!C81="Final"),"-",
'PROD. 3º MÊS'!C81)</f>
        <v>0</v>
      </c>
      <c r="AD163" s="241" t="str">
        <f t="shared" si="69"/>
        <v>-</v>
      </c>
      <c r="AE163" s="242" t="str">
        <f t="shared" si="70"/>
        <v>-</v>
      </c>
      <c r="AG163" s="240">
        <f>IF(OR(
'PROD. 2º MÊS'!C81="Administrativo",
'PROD. 2º MÊS'!C81="Intermediário",
'PROD. 2º MÊS'!C81="Externo",
'PROD. 2º MÊS'!C81="Final"),"-",
'PROD. 2º MÊS'!C81)</f>
        <v>0</v>
      </c>
      <c r="AH163" s="241" t="str">
        <f t="shared" si="71"/>
        <v>-</v>
      </c>
      <c r="AI163" s="242" t="str">
        <f t="shared" si="72"/>
        <v>-</v>
      </c>
      <c r="AK163" s="240">
        <f>IF(OR(
'PROD. 1º MÊS'!C81="Administrativo",
'PROD. 1º MÊS'!C81="Intermediário",
'PROD. 1º MÊS'!C81="Externo",
'PROD. 1º MÊS'!C81="Final"),"-",
'PROD. 1º MÊS'!C81)</f>
        <v>0</v>
      </c>
      <c r="AL163" s="241" t="str">
        <f t="shared" si="73"/>
        <v>-</v>
      </c>
      <c r="AM163" s="242" t="str">
        <f t="shared" si="74"/>
        <v>-</v>
      </c>
      <c r="AO163" s="342">
        <f t="shared" si="86"/>
        <v>0</v>
      </c>
      <c r="AP163" s="341" t="str">
        <f t="array" ref="AP163">IFERROR( INDEX( $AO$89:$AO$553, MATCH( 0, COUNTIF( $AP$87:AP162, $AO$89:$AO$553), 0)), "-")</f>
        <v>-</v>
      </c>
      <c r="AQ163" s="257" t="str">
        <f t="shared" si="75"/>
        <v>-</v>
      </c>
      <c r="AR163" s="258" t="str">
        <f t="shared" si="78"/>
        <v>-</v>
      </c>
      <c r="AS163" s="259" t="str">
        <f t="shared" si="79"/>
        <v>-</v>
      </c>
      <c r="AT163" s="259" t="str">
        <f t="shared" si="80"/>
        <v>-</v>
      </c>
      <c r="AU163" s="260" t="str">
        <f t="shared" si="81"/>
        <v>-</v>
      </c>
      <c r="AV163" s="261" t="str">
        <f t="shared" si="82"/>
        <v>-</v>
      </c>
      <c r="AW163" s="262" t="str">
        <f t="shared" si="83"/>
        <v>-</v>
      </c>
      <c r="AX163" s="262" t="str">
        <f t="shared" si="84"/>
        <v>-</v>
      </c>
      <c r="AY163" s="263" t="str">
        <f t="shared" si="85"/>
        <v>-</v>
      </c>
      <c r="AZ163" s="264" t="str">
        <f t="shared" si="76"/>
        <v>-</v>
      </c>
      <c r="BA163" s="96" t="str">
        <f t="shared" si="77"/>
        <v>-</v>
      </c>
    </row>
    <row r="164" spans="1:53" ht="18.2" customHeight="1" x14ac:dyDescent="0.25">
      <c r="A164" s="79"/>
      <c r="B164" s="265"/>
      <c r="C164" s="265"/>
      <c r="D164" s="265" t="s">
        <v>99</v>
      </c>
      <c r="E164" s="77">
        <f>VLOOKUP($D$162,$AQ$89:$AY$225,6,FALSE)</f>
        <v>892.55</v>
      </c>
      <c r="F164" s="77">
        <f>VLOOKUP($D$162,$AQ$89:$AY$225,7,FALSE)</f>
        <v>568.04999999999995</v>
      </c>
      <c r="G164" s="77">
        <f>VLOOKUP($D$162,$AQ$89:$AY$225,8,FALSE)</f>
        <v>752.3</v>
      </c>
      <c r="H164" s="77">
        <f>VLOOKUP($D$162,$AQ$89:$AY$225,9,FALSE)</f>
        <v>567.66999999999996</v>
      </c>
      <c r="I164" s="271">
        <f>AVERAGE(E164:H164)</f>
        <v>695.14249999999993</v>
      </c>
      <c r="J164" s="77">
        <f>_xlfn.STDEV.S(E164:H164)</f>
        <v>157.73230769777854</v>
      </c>
      <c r="K164" s="76">
        <f>IFERROR( J164 / I164, "-")</f>
        <v>0.22690643673459551</v>
      </c>
      <c r="L164" s="277"/>
      <c r="M164" s="277"/>
      <c r="N164" s="265"/>
      <c r="O164" s="265"/>
      <c r="P164" s="265"/>
      <c r="Q164" s="265"/>
      <c r="R164" s="79"/>
      <c r="W164" s="240">
        <f>IF(OR(
'PROD. 4º MÊS'!C82="Administrativo",
'PROD. 4º MÊS'!C82="Intermediário",
'PROD. 4º MÊS'!C82="Externo",
'PROD. 4º MÊS'!C82="Final"),"-",
'PROD. 4º MÊS'!C82)</f>
        <v>0</v>
      </c>
      <c r="X164" s="241" t="str">
        <f t="shared" si="67"/>
        <v>-</v>
      </c>
      <c r="Y164" s="242" t="str">
        <f t="shared" si="68"/>
        <v>-</v>
      </c>
      <c r="AC164" s="240">
        <f>IF(OR(
'PROD. 3º MÊS'!C82="Administrativo",
'PROD. 3º MÊS'!C82="Intermediário",
'PROD. 3º MÊS'!C82="Externo",
'PROD. 3º MÊS'!C82="Final"),"-",
'PROD. 3º MÊS'!C82)</f>
        <v>0</v>
      </c>
      <c r="AD164" s="241" t="str">
        <f t="shared" si="69"/>
        <v>-</v>
      </c>
      <c r="AE164" s="242" t="str">
        <f t="shared" si="70"/>
        <v>-</v>
      </c>
      <c r="AG164" s="240">
        <f>IF(OR(
'PROD. 2º MÊS'!C82="Administrativo",
'PROD. 2º MÊS'!C82="Intermediário",
'PROD. 2º MÊS'!C82="Externo",
'PROD. 2º MÊS'!C82="Final"),"-",
'PROD. 2º MÊS'!C82)</f>
        <v>0</v>
      </c>
      <c r="AH164" s="241" t="str">
        <f t="shared" si="71"/>
        <v>-</v>
      </c>
      <c r="AI164" s="242" t="str">
        <f t="shared" si="72"/>
        <v>-</v>
      </c>
      <c r="AK164" s="240">
        <f>IF(OR(
'PROD. 1º MÊS'!C82="Administrativo",
'PROD. 1º MÊS'!C82="Intermediário",
'PROD. 1º MÊS'!C82="Externo",
'PROD. 1º MÊS'!C82="Final"),"-",
'PROD. 1º MÊS'!C82)</f>
        <v>0</v>
      </c>
      <c r="AL164" s="241" t="str">
        <f t="shared" si="73"/>
        <v>-</v>
      </c>
      <c r="AM164" s="242" t="str">
        <f t="shared" si="74"/>
        <v>-</v>
      </c>
      <c r="AO164" s="342">
        <f t="shared" si="86"/>
        <v>0</v>
      </c>
      <c r="AP164" s="341" t="str">
        <f t="array" ref="AP164">IFERROR( INDEX( $AO$89:$AO$553, MATCH( 0, COUNTIF( $AP$87:AP163, $AO$89:$AO$553), 0)), "-")</f>
        <v>-</v>
      </c>
      <c r="AQ164" s="248" t="str">
        <f t="shared" si="75"/>
        <v>-</v>
      </c>
      <c r="AR164" s="249" t="str">
        <f t="shared" si="78"/>
        <v>-</v>
      </c>
      <c r="AS164" s="250" t="str">
        <f t="shared" si="79"/>
        <v>-</v>
      </c>
      <c r="AT164" s="250" t="str">
        <f t="shared" si="80"/>
        <v>-</v>
      </c>
      <c r="AU164" s="251" t="str">
        <f t="shared" si="81"/>
        <v>-</v>
      </c>
      <c r="AV164" s="252" t="str">
        <f t="shared" si="82"/>
        <v>-</v>
      </c>
      <c r="AW164" s="253" t="str">
        <f t="shared" si="83"/>
        <v>-</v>
      </c>
      <c r="AX164" s="253" t="str">
        <f t="shared" si="84"/>
        <v>-</v>
      </c>
      <c r="AY164" s="254" t="str">
        <f t="shared" si="85"/>
        <v>-</v>
      </c>
      <c r="AZ164" s="255" t="str">
        <f t="shared" si="76"/>
        <v>-</v>
      </c>
      <c r="BA164" s="95" t="str">
        <f t="shared" si="77"/>
        <v>-</v>
      </c>
    </row>
    <row r="165" spans="1:53" ht="18.2" customHeight="1" x14ac:dyDescent="0.25">
      <c r="A165" s="79"/>
      <c r="B165" s="265"/>
      <c r="C165" s="265"/>
      <c r="D165" s="265"/>
      <c r="E165" s="265"/>
      <c r="F165" s="265"/>
      <c r="G165" s="265"/>
      <c r="H165" s="265"/>
      <c r="I165" s="265"/>
      <c r="J165" s="265"/>
      <c r="K165" s="265"/>
      <c r="L165" s="265"/>
      <c r="M165" s="265"/>
      <c r="N165" s="265"/>
      <c r="O165" s="265"/>
      <c r="P165" s="265"/>
      <c r="Q165" s="265"/>
      <c r="R165" s="79"/>
      <c r="W165" s="240">
        <f>IF(OR(
'PROD. 4º MÊS'!C83="Administrativo",
'PROD. 4º MÊS'!C83="Intermediário",
'PROD. 4º MÊS'!C83="Externo",
'PROD. 4º MÊS'!C83="Final"),"-",
'PROD. 4º MÊS'!C83)</f>
        <v>0</v>
      </c>
      <c r="X165" s="241" t="str">
        <f t="shared" si="67"/>
        <v>-</v>
      </c>
      <c r="Y165" s="242" t="str">
        <f t="shared" si="68"/>
        <v>-</v>
      </c>
      <c r="AC165" s="240">
        <f>IF(OR(
'PROD. 3º MÊS'!C83="Administrativo",
'PROD. 3º MÊS'!C83="Intermediário",
'PROD. 3º MÊS'!C83="Externo",
'PROD. 3º MÊS'!C83="Final"),"-",
'PROD. 3º MÊS'!C83)</f>
        <v>0</v>
      </c>
      <c r="AD165" s="241" t="str">
        <f t="shared" si="69"/>
        <v>-</v>
      </c>
      <c r="AE165" s="242" t="str">
        <f t="shared" si="70"/>
        <v>-</v>
      </c>
      <c r="AG165" s="240">
        <f>IF(OR(
'PROD. 2º MÊS'!C83="Administrativo",
'PROD. 2º MÊS'!C83="Intermediário",
'PROD. 2º MÊS'!C83="Externo",
'PROD. 2º MÊS'!C83="Final"),"-",
'PROD. 2º MÊS'!C83)</f>
        <v>0</v>
      </c>
      <c r="AH165" s="241" t="str">
        <f t="shared" si="71"/>
        <v>-</v>
      </c>
      <c r="AI165" s="242" t="str">
        <f t="shared" si="72"/>
        <v>-</v>
      </c>
      <c r="AK165" s="240">
        <f>IF(OR(
'PROD. 1º MÊS'!C83="Administrativo",
'PROD. 1º MÊS'!C83="Intermediário",
'PROD. 1º MÊS'!C83="Externo",
'PROD. 1º MÊS'!C83="Final"),"-",
'PROD. 1º MÊS'!C83)</f>
        <v>0</v>
      </c>
      <c r="AL165" s="241" t="str">
        <f t="shared" si="73"/>
        <v>-</v>
      </c>
      <c r="AM165" s="242" t="str">
        <f t="shared" si="74"/>
        <v>-</v>
      </c>
      <c r="AO165" s="342">
        <f t="shared" si="86"/>
        <v>0</v>
      </c>
      <c r="AP165" s="341" t="str">
        <f t="array" ref="AP165">IFERROR( INDEX( $AO$89:$AO$553, MATCH( 0, COUNTIF( $AP$87:AP164, $AO$89:$AO$553), 0)), "-")</f>
        <v>-</v>
      </c>
      <c r="AQ165" s="257" t="str">
        <f t="shared" si="75"/>
        <v>-</v>
      </c>
      <c r="AR165" s="258" t="str">
        <f t="shared" si="78"/>
        <v>-</v>
      </c>
      <c r="AS165" s="259" t="str">
        <f t="shared" si="79"/>
        <v>-</v>
      </c>
      <c r="AT165" s="259" t="str">
        <f t="shared" si="80"/>
        <v>-</v>
      </c>
      <c r="AU165" s="260" t="str">
        <f t="shared" si="81"/>
        <v>-</v>
      </c>
      <c r="AV165" s="261" t="str">
        <f t="shared" si="82"/>
        <v>-</v>
      </c>
      <c r="AW165" s="262" t="str">
        <f t="shared" si="83"/>
        <v>-</v>
      </c>
      <c r="AX165" s="262" t="str">
        <f t="shared" si="84"/>
        <v>-</v>
      </c>
      <c r="AY165" s="263" t="str">
        <f t="shared" si="85"/>
        <v>-</v>
      </c>
      <c r="AZ165" s="264" t="str">
        <f t="shared" si="76"/>
        <v>-</v>
      </c>
      <c r="BA165" s="96" t="str">
        <f t="shared" si="77"/>
        <v>-</v>
      </c>
    </row>
    <row r="166" spans="1:53" ht="18.2" customHeight="1" x14ac:dyDescent="0.25">
      <c r="A166" s="79"/>
      <c r="B166" s="265"/>
      <c r="C166" s="265"/>
      <c r="D166" s="265"/>
      <c r="E166" s="265"/>
      <c r="F166" s="265"/>
      <c r="G166" s="265"/>
      <c r="H166" s="265"/>
      <c r="I166" s="265"/>
      <c r="J166" s="265"/>
      <c r="K166" s="265"/>
      <c r="L166" s="265"/>
      <c r="M166" s="265"/>
      <c r="N166" s="265"/>
      <c r="O166" s="265"/>
      <c r="P166" s="265"/>
      <c r="Q166" s="265"/>
      <c r="R166" s="79"/>
      <c r="W166" s="240">
        <f>IF(OR(
'PROD. 4º MÊS'!C84="Administrativo",
'PROD. 4º MÊS'!C84="Intermediário",
'PROD. 4º MÊS'!C84="Externo",
'PROD. 4º MÊS'!C84="Final"),"-",
'PROD. 4º MÊS'!C84)</f>
        <v>0</v>
      </c>
      <c r="X166" s="241" t="str">
        <f t="shared" si="67"/>
        <v>-</v>
      </c>
      <c r="Y166" s="242" t="str">
        <f t="shared" si="68"/>
        <v>-</v>
      </c>
      <c r="AC166" s="240">
        <f>IF(OR(
'PROD. 3º MÊS'!C84="Administrativo",
'PROD. 3º MÊS'!C84="Intermediário",
'PROD. 3º MÊS'!C84="Externo",
'PROD. 3º MÊS'!C84="Final"),"-",
'PROD. 3º MÊS'!C84)</f>
        <v>0</v>
      </c>
      <c r="AD166" s="241" t="str">
        <f t="shared" si="69"/>
        <v>-</v>
      </c>
      <c r="AE166" s="242" t="str">
        <f t="shared" si="70"/>
        <v>-</v>
      </c>
      <c r="AG166" s="240">
        <f>IF(OR(
'PROD. 2º MÊS'!C84="Administrativo",
'PROD. 2º MÊS'!C84="Intermediário",
'PROD. 2º MÊS'!C84="Externo",
'PROD. 2º MÊS'!C84="Final"),"-",
'PROD. 2º MÊS'!C84)</f>
        <v>0</v>
      </c>
      <c r="AH166" s="241" t="str">
        <f t="shared" si="71"/>
        <v>-</v>
      </c>
      <c r="AI166" s="242" t="str">
        <f t="shared" si="72"/>
        <v>-</v>
      </c>
      <c r="AK166" s="240">
        <f>IF(OR(
'PROD. 1º MÊS'!C84="Administrativo",
'PROD. 1º MÊS'!C84="Intermediário",
'PROD. 1º MÊS'!C84="Externo",
'PROD. 1º MÊS'!C84="Final"),"-",
'PROD. 1º MÊS'!C84)</f>
        <v>0</v>
      </c>
      <c r="AL166" s="241" t="str">
        <f t="shared" si="73"/>
        <v>-</v>
      </c>
      <c r="AM166" s="242" t="str">
        <f t="shared" si="74"/>
        <v>-</v>
      </c>
      <c r="AO166" s="342">
        <f t="shared" si="86"/>
        <v>0</v>
      </c>
      <c r="AP166" s="341" t="str">
        <f t="array" ref="AP166">IFERROR( INDEX( $AO$89:$AO$553, MATCH( 0, COUNTIF( $AP$87:AP165, $AO$89:$AO$553), 0)), "-")</f>
        <v>-</v>
      </c>
      <c r="AQ166" s="248" t="str">
        <f t="shared" si="75"/>
        <v>-</v>
      </c>
      <c r="AR166" s="249" t="str">
        <f t="shared" si="78"/>
        <v>-</v>
      </c>
      <c r="AS166" s="250" t="str">
        <f t="shared" si="79"/>
        <v>-</v>
      </c>
      <c r="AT166" s="250" t="str">
        <f t="shared" si="80"/>
        <v>-</v>
      </c>
      <c r="AU166" s="251" t="str">
        <f t="shared" si="81"/>
        <v>-</v>
      </c>
      <c r="AV166" s="252" t="str">
        <f t="shared" si="82"/>
        <v>-</v>
      </c>
      <c r="AW166" s="253" t="str">
        <f t="shared" si="83"/>
        <v>-</v>
      </c>
      <c r="AX166" s="253" t="str">
        <f t="shared" si="84"/>
        <v>-</v>
      </c>
      <c r="AY166" s="254" t="str">
        <f t="shared" si="85"/>
        <v>-</v>
      </c>
      <c r="AZ166" s="255" t="str">
        <f t="shared" si="76"/>
        <v>-</v>
      </c>
      <c r="BA166" s="95" t="str">
        <f t="shared" si="77"/>
        <v>-</v>
      </c>
    </row>
    <row r="167" spans="1:53" ht="18.2" customHeight="1" x14ac:dyDescent="0.25">
      <c r="A167" s="79"/>
      <c r="B167" s="265"/>
      <c r="C167" s="265"/>
      <c r="D167" s="265"/>
      <c r="E167" s="265"/>
      <c r="F167" s="265"/>
      <c r="G167" s="265"/>
      <c r="H167" s="265"/>
      <c r="I167" s="265"/>
      <c r="J167" s="265"/>
      <c r="K167" s="265"/>
      <c r="L167" s="265"/>
      <c r="M167" s="265"/>
      <c r="N167" s="265"/>
      <c r="O167" s="265"/>
      <c r="P167" s="265"/>
      <c r="Q167" s="265"/>
      <c r="R167" s="79"/>
      <c r="W167" s="240">
        <f>IF(OR(
'PROD. 4º MÊS'!C85="Administrativo",
'PROD. 4º MÊS'!C85="Intermediário",
'PROD. 4º MÊS'!C85="Externo",
'PROD. 4º MÊS'!C85="Final"),"-",
'PROD. 4º MÊS'!C85)</f>
        <v>0</v>
      </c>
      <c r="X167" s="241" t="str">
        <f t="shared" si="67"/>
        <v>-</v>
      </c>
      <c r="Y167" s="242" t="str">
        <f t="shared" si="68"/>
        <v>-</v>
      </c>
      <c r="AC167" s="240">
        <f>IF(OR(
'PROD. 3º MÊS'!C85="Administrativo",
'PROD. 3º MÊS'!C85="Intermediário",
'PROD. 3º MÊS'!C85="Externo",
'PROD. 3º MÊS'!C85="Final"),"-",
'PROD. 3º MÊS'!C85)</f>
        <v>0</v>
      </c>
      <c r="AD167" s="241" t="str">
        <f t="shared" si="69"/>
        <v>-</v>
      </c>
      <c r="AE167" s="242" t="str">
        <f t="shared" si="70"/>
        <v>-</v>
      </c>
      <c r="AG167" s="240">
        <f>IF(OR(
'PROD. 2º MÊS'!C85="Administrativo",
'PROD. 2º MÊS'!C85="Intermediário",
'PROD. 2º MÊS'!C85="Externo",
'PROD. 2º MÊS'!C85="Final"),"-",
'PROD. 2º MÊS'!C85)</f>
        <v>0</v>
      </c>
      <c r="AH167" s="241" t="str">
        <f t="shared" si="71"/>
        <v>-</v>
      </c>
      <c r="AI167" s="242" t="str">
        <f t="shared" si="72"/>
        <v>-</v>
      </c>
      <c r="AK167" s="240">
        <f>IF(OR(
'PROD. 1º MÊS'!C85="Administrativo",
'PROD. 1º MÊS'!C85="Intermediário",
'PROD. 1º MÊS'!C85="Externo",
'PROD. 1º MÊS'!C85="Final"),"-",
'PROD. 1º MÊS'!C85)</f>
        <v>0</v>
      </c>
      <c r="AL167" s="241" t="str">
        <f t="shared" si="73"/>
        <v>-</v>
      </c>
      <c r="AM167" s="242" t="str">
        <f t="shared" si="74"/>
        <v>-</v>
      </c>
      <c r="AO167" s="342">
        <f t="shared" si="86"/>
        <v>0</v>
      </c>
      <c r="AP167" s="341" t="str">
        <f t="array" ref="AP167">IFERROR( INDEX( $AO$89:$AO$553, MATCH( 0, COUNTIF( $AP$87:AP166, $AO$89:$AO$553), 0)), "-")</f>
        <v>-</v>
      </c>
      <c r="AQ167" s="257" t="str">
        <f t="shared" si="75"/>
        <v>-</v>
      </c>
      <c r="AR167" s="258" t="str">
        <f t="shared" si="78"/>
        <v>-</v>
      </c>
      <c r="AS167" s="259" t="str">
        <f t="shared" si="79"/>
        <v>-</v>
      </c>
      <c r="AT167" s="259" t="str">
        <f t="shared" si="80"/>
        <v>-</v>
      </c>
      <c r="AU167" s="260" t="str">
        <f t="shared" si="81"/>
        <v>-</v>
      </c>
      <c r="AV167" s="261" t="str">
        <f t="shared" si="82"/>
        <v>-</v>
      </c>
      <c r="AW167" s="262" t="str">
        <f t="shared" si="83"/>
        <v>-</v>
      </c>
      <c r="AX167" s="262" t="str">
        <f t="shared" si="84"/>
        <v>-</v>
      </c>
      <c r="AY167" s="263" t="str">
        <f t="shared" si="85"/>
        <v>-</v>
      </c>
      <c r="AZ167" s="264" t="str">
        <f t="shared" si="76"/>
        <v>-</v>
      </c>
      <c r="BA167" s="96" t="str">
        <f t="shared" si="77"/>
        <v>-</v>
      </c>
    </row>
    <row r="168" spans="1:53" ht="18.2" customHeight="1" x14ac:dyDescent="0.25">
      <c r="A168" s="79"/>
      <c r="B168" s="265"/>
      <c r="C168" s="265"/>
      <c r="D168" s="265"/>
      <c r="E168" s="265"/>
      <c r="F168" s="265"/>
      <c r="G168" s="265"/>
      <c r="H168" s="265"/>
      <c r="I168" s="265"/>
      <c r="J168" s="265"/>
      <c r="K168" s="265"/>
      <c r="L168" s="265"/>
      <c r="M168" s="265"/>
      <c r="N168" s="265"/>
      <c r="O168" s="265"/>
      <c r="P168" s="265"/>
      <c r="Q168" s="265"/>
      <c r="R168" s="79"/>
      <c r="W168" s="240">
        <f>IF(OR(
'PROD. 4º MÊS'!C86="Administrativo",
'PROD. 4º MÊS'!C86="Intermediário",
'PROD. 4º MÊS'!C86="Externo",
'PROD. 4º MÊS'!C86="Final"),"-",
'PROD. 4º MÊS'!C86)</f>
        <v>0</v>
      </c>
      <c r="X168" s="241" t="str">
        <f t="shared" si="67"/>
        <v>-</v>
      </c>
      <c r="Y168" s="242" t="str">
        <f t="shared" si="68"/>
        <v>-</v>
      </c>
      <c r="AC168" s="240">
        <f>IF(OR(
'PROD. 3º MÊS'!C86="Administrativo",
'PROD. 3º MÊS'!C86="Intermediário",
'PROD. 3º MÊS'!C86="Externo",
'PROD. 3º MÊS'!C86="Final"),"-",
'PROD. 3º MÊS'!C86)</f>
        <v>0</v>
      </c>
      <c r="AD168" s="241" t="str">
        <f t="shared" si="69"/>
        <v>-</v>
      </c>
      <c r="AE168" s="242" t="str">
        <f t="shared" si="70"/>
        <v>-</v>
      </c>
      <c r="AG168" s="240">
        <f>IF(OR(
'PROD. 2º MÊS'!C86="Administrativo",
'PROD. 2º MÊS'!C86="Intermediário",
'PROD. 2º MÊS'!C86="Externo",
'PROD. 2º MÊS'!C86="Final"),"-",
'PROD. 2º MÊS'!C86)</f>
        <v>0</v>
      </c>
      <c r="AH168" s="241" t="str">
        <f t="shared" si="71"/>
        <v>-</v>
      </c>
      <c r="AI168" s="242" t="str">
        <f t="shared" si="72"/>
        <v>-</v>
      </c>
      <c r="AK168" s="240">
        <f>IF(OR(
'PROD. 1º MÊS'!C86="Administrativo",
'PROD. 1º MÊS'!C86="Intermediário",
'PROD. 1º MÊS'!C86="Externo",
'PROD. 1º MÊS'!C86="Final"),"-",
'PROD. 1º MÊS'!C86)</f>
        <v>0</v>
      </c>
      <c r="AL168" s="241" t="str">
        <f t="shared" si="73"/>
        <v>-</v>
      </c>
      <c r="AM168" s="242" t="str">
        <f t="shared" si="74"/>
        <v>-</v>
      </c>
      <c r="AO168" s="342">
        <f t="shared" si="86"/>
        <v>0</v>
      </c>
      <c r="AP168" s="341" t="str">
        <f t="array" ref="AP168">IFERROR( INDEX( $AO$89:$AO$553, MATCH( 0, COUNTIF( $AP$87:AP167, $AO$89:$AO$553), 0)), "-")</f>
        <v>-</v>
      </c>
      <c r="AQ168" s="248" t="str">
        <f t="shared" si="75"/>
        <v>-</v>
      </c>
      <c r="AR168" s="249" t="str">
        <f t="shared" si="78"/>
        <v>-</v>
      </c>
      <c r="AS168" s="250" t="str">
        <f t="shared" si="79"/>
        <v>-</v>
      </c>
      <c r="AT168" s="250" t="str">
        <f t="shared" si="80"/>
        <v>-</v>
      </c>
      <c r="AU168" s="251" t="str">
        <f t="shared" si="81"/>
        <v>-</v>
      </c>
      <c r="AV168" s="252" t="str">
        <f t="shared" si="82"/>
        <v>-</v>
      </c>
      <c r="AW168" s="253" t="str">
        <f t="shared" si="83"/>
        <v>-</v>
      </c>
      <c r="AX168" s="253" t="str">
        <f t="shared" si="84"/>
        <v>-</v>
      </c>
      <c r="AY168" s="254" t="str">
        <f t="shared" si="85"/>
        <v>-</v>
      </c>
      <c r="AZ168" s="255" t="str">
        <f t="shared" si="76"/>
        <v>-</v>
      </c>
      <c r="BA168" s="95" t="str">
        <f t="shared" si="77"/>
        <v>-</v>
      </c>
    </row>
    <row r="169" spans="1:53" ht="18.2" customHeight="1" x14ac:dyDescent="0.25">
      <c r="A169" s="79"/>
      <c r="B169" s="265"/>
      <c r="C169" s="265"/>
      <c r="D169" s="265"/>
      <c r="E169" s="265"/>
      <c r="F169" s="265"/>
      <c r="G169" s="265"/>
      <c r="H169" s="265"/>
      <c r="I169" s="265"/>
      <c r="J169" s="265"/>
      <c r="K169" s="265"/>
      <c r="L169" s="265"/>
      <c r="M169" s="265"/>
      <c r="N169" s="265"/>
      <c r="O169" s="265"/>
      <c r="P169" s="265"/>
      <c r="Q169" s="265"/>
      <c r="R169" s="79"/>
      <c r="W169" s="240">
        <f>IF(OR(
'PROD. 4º MÊS'!C87="Administrativo",
'PROD. 4º MÊS'!C87="Intermediário",
'PROD. 4º MÊS'!C87="Externo",
'PROD. 4º MÊS'!C87="Final"),"-",
'PROD. 4º MÊS'!C87)</f>
        <v>0</v>
      </c>
      <c r="X169" s="241" t="str">
        <f t="shared" si="67"/>
        <v>-</v>
      </c>
      <c r="Y169" s="242" t="str">
        <f t="shared" si="68"/>
        <v>-</v>
      </c>
      <c r="AC169" s="240">
        <f>IF(OR(
'PROD. 3º MÊS'!C87="Administrativo",
'PROD. 3º MÊS'!C87="Intermediário",
'PROD. 3º MÊS'!C87="Externo",
'PROD. 3º MÊS'!C87="Final"),"-",
'PROD. 3º MÊS'!C87)</f>
        <v>0</v>
      </c>
      <c r="AD169" s="241" t="str">
        <f t="shared" si="69"/>
        <v>-</v>
      </c>
      <c r="AE169" s="242" t="str">
        <f t="shared" si="70"/>
        <v>-</v>
      </c>
      <c r="AG169" s="240">
        <f>IF(OR(
'PROD. 2º MÊS'!C87="Administrativo",
'PROD. 2º MÊS'!C87="Intermediário",
'PROD. 2º MÊS'!C87="Externo",
'PROD. 2º MÊS'!C87="Final"),"-",
'PROD. 2º MÊS'!C87)</f>
        <v>0</v>
      </c>
      <c r="AH169" s="241" t="str">
        <f t="shared" si="71"/>
        <v>-</v>
      </c>
      <c r="AI169" s="242" t="str">
        <f t="shared" si="72"/>
        <v>-</v>
      </c>
      <c r="AK169" s="240">
        <f>IF(OR(
'PROD. 1º MÊS'!C87="Administrativo",
'PROD. 1º MÊS'!C87="Intermediário",
'PROD. 1º MÊS'!C87="Externo",
'PROD. 1º MÊS'!C87="Final"),"-",
'PROD. 1º MÊS'!C87)</f>
        <v>0</v>
      </c>
      <c r="AL169" s="241" t="str">
        <f t="shared" si="73"/>
        <v>-</v>
      </c>
      <c r="AM169" s="242" t="str">
        <f t="shared" si="74"/>
        <v>-</v>
      </c>
      <c r="AO169" s="342">
        <f t="shared" si="86"/>
        <v>0</v>
      </c>
      <c r="AP169" s="341" t="str">
        <f t="array" ref="AP169">IFERROR( INDEX( $AO$89:$AO$553, MATCH( 0, COUNTIF( $AP$87:AP168, $AO$89:$AO$553), 0)), "-")</f>
        <v>-</v>
      </c>
      <c r="AQ169" s="257" t="str">
        <f t="shared" si="75"/>
        <v>-</v>
      </c>
      <c r="AR169" s="258" t="str">
        <f t="shared" si="78"/>
        <v>-</v>
      </c>
      <c r="AS169" s="259" t="str">
        <f t="shared" si="79"/>
        <v>-</v>
      </c>
      <c r="AT169" s="259" t="str">
        <f t="shared" si="80"/>
        <v>-</v>
      </c>
      <c r="AU169" s="260" t="str">
        <f t="shared" si="81"/>
        <v>-</v>
      </c>
      <c r="AV169" s="261" t="str">
        <f t="shared" si="82"/>
        <v>-</v>
      </c>
      <c r="AW169" s="262" t="str">
        <f t="shared" si="83"/>
        <v>-</v>
      </c>
      <c r="AX169" s="262" t="str">
        <f t="shared" si="84"/>
        <v>-</v>
      </c>
      <c r="AY169" s="263" t="str">
        <f t="shared" si="85"/>
        <v>-</v>
      </c>
      <c r="AZ169" s="264" t="str">
        <f t="shared" si="76"/>
        <v>-</v>
      </c>
      <c r="BA169" s="96" t="str">
        <f t="shared" si="77"/>
        <v>-</v>
      </c>
    </row>
    <row r="170" spans="1:53" ht="25.5" customHeight="1" x14ac:dyDescent="0.25">
      <c r="A170" s="79"/>
      <c r="B170" s="460" t="s">
        <v>276</v>
      </c>
      <c r="C170" s="461"/>
      <c r="D170" s="461"/>
      <c r="E170" s="461"/>
      <c r="F170" s="461"/>
      <c r="G170" s="461"/>
      <c r="H170" s="461"/>
      <c r="I170" s="461"/>
      <c r="J170" s="462"/>
      <c r="K170" s="534" t="s">
        <v>165</v>
      </c>
      <c r="L170" s="534"/>
      <c r="M170" s="274">
        <f xml:space="preserve"> $Q$87</f>
        <v>0.3</v>
      </c>
      <c r="N170" s="275" t="s">
        <v>179</v>
      </c>
      <c r="O170" s="97">
        <f>K163</f>
        <v>0.21538672851860161</v>
      </c>
      <c r="P170" s="276" t="s">
        <v>180</v>
      </c>
      <c r="Q170" s="98">
        <f>K164</f>
        <v>0.22690643673459551</v>
      </c>
      <c r="R170" s="79"/>
      <c r="W170" s="240">
        <f>IF(OR(
'PROD. 4º MÊS'!C88="Administrativo",
'PROD. 4º MÊS'!C88="Intermediário",
'PROD. 4º MÊS'!C88="Externo",
'PROD. 4º MÊS'!C88="Final"),"-",
'PROD. 4º MÊS'!C88)</f>
        <v>0</v>
      </c>
      <c r="X170" s="241" t="str">
        <f t="shared" si="67"/>
        <v>-</v>
      </c>
      <c r="Y170" s="242" t="str">
        <f t="shared" si="68"/>
        <v>-</v>
      </c>
      <c r="AC170" s="240">
        <f>IF(OR(
'PROD. 3º MÊS'!C88="Administrativo",
'PROD. 3º MÊS'!C88="Intermediário",
'PROD. 3º MÊS'!C88="Externo",
'PROD. 3º MÊS'!C88="Final"),"-",
'PROD. 3º MÊS'!C88)</f>
        <v>0</v>
      </c>
      <c r="AD170" s="241" t="str">
        <f t="shared" si="69"/>
        <v>-</v>
      </c>
      <c r="AE170" s="242" t="str">
        <f t="shared" si="70"/>
        <v>-</v>
      </c>
      <c r="AG170" s="240">
        <f>IF(OR(
'PROD. 2º MÊS'!C88="Administrativo",
'PROD. 2º MÊS'!C88="Intermediário",
'PROD. 2º MÊS'!C88="Externo",
'PROD. 2º MÊS'!C88="Final"),"-",
'PROD. 2º MÊS'!C88)</f>
        <v>0</v>
      </c>
      <c r="AH170" s="241" t="str">
        <f t="shared" si="71"/>
        <v>-</v>
      </c>
      <c r="AI170" s="242" t="str">
        <f t="shared" si="72"/>
        <v>-</v>
      </c>
      <c r="AK170" s="240">
        <f>IF(OR(
'PROD. 1º MÊS'!C88="Administrativo",
'PROD. 1º MÊS'!C88="Intermediário",
'PROD. 1º MÊS'!C88="Externo",
'PROD. 1º MÊS'!C88="Final"),"-",
'PROD. 1º MÊS'!C88)</f>
        <v>0</v>
      </c>
      <c r="AL170" s="241" t="str">
        <f t="shared" si="73"/>
        <v>-</v>
      </c>
      <c r="AM170" s="242" t="str">
        <f t="shared" si="74"/>
        <v>-</v>
      </c>
      <c r="AO170" s="342">
        <f t="shared" si="86"/>
        <v>0</v>
      </c>
      <c r="AP170" s="341" t="str">
        <f t="array" ref="AP170">IFERROR( INDEX( $AO$89:$AO$553, MATCH( 0, COUNTIF( $AP$87:AP169, $AO$89:$AO$553), 0)), "-")</f>
        <v>-</v>
      </c>
      <c r="AQ170" s="248" t="str">
        <f t="shared" si="75"/>
        <v>-</v>
      </c>
      <c r="AR170" s="249" t="str">
        <f t="shared" si="78"/>
        <v>-</v>
      </c>
      <c r="AS170" s="250" t="str">
        <f t="shared" si="79"/>
        <v>-</v>
      </c>
      <c r="AT170" s="250" t="str">
        <f t="shared" si="80"/>
        <v>-</v>
      </c>
      <c r="AU170" s="251" t="str">
        <f t="shared" si="81"/>
        <v>-</v>
      </c>
      <c r="AV170" s="252" t="str">
        <f t="shared" si="82"/>
        <v>-</v>
      </c>
      <c r="AW170" s="253" t="str">
        <f t="shared" si="83"/>
        <v>-</v>
      </c>
      <c r="AX170" s="253" t="str">
        <f t="shared" si="84"/>
        <v>-</v>
      </c>
      <c r="AY170" s="254" t="str">
        <f t="shared" si="85"/>
        <v>-</v>
      </c>
      <c r="AZ170" s="255" t="str">
        <f t="shared" si="76"/>
        <v>-</v>
      </c>
      <c r="BA170" s="95" t="str">
        <f t="shared" si="77"/>
        <v>-</v>
      </c>
    </row>
    <row r="171" spans="1:53" ht="18.2" customHeight="1" x14ac:dyDescent="0.25">
      <c r="A171" s="79"/>
      <c r="B171" s="459"/>
      <c r="C171" s="459"/>
      <c r="D171" s="459"/>
      <c r="E171" s="459"/>
      <c r="F171" s="459"/>
      <c r="G171" s="459"/>
      <c r="H171" s="459"/>
      <c r="I171" s="459"/>
      <c r="J171" s="459"/>
      <c r="K171" s="459"/>
      <c r="L171" s="459"/>
      <c r="M171" s="459"/>
      <c r="N171" s="459"/>
      <c r="O171" s="459"/>
      <c r="P171" s="459"/>
      <c r="Q171" s="459"/>
      <c r="R171" s="79"/>
      <c r="W171" s="240">
        <f>IF(OR(
'PROD. 4º MÊS'!C89="Administrativo",
'PROD. 4º MÊS'!C89="Intermediário",
'PROD. 4º MÊS'!C89="Externo",
'PROD. 4º MÊS'!C89="Final"),"-",
'PROD. 4º MÊS'!C89)</f>
        <v>0</v>
      </c>
      <c r="X171" s="241" t="str">
        <f t="shared" si="67"/>
        <v>-</v>
      </c>
      <c r="Y171" s="242" t="str">
        <f t="shared" si="68"/>
        <v>-</v>
      </c>
      <c r="AC171" s="240">
        <f>IF(OR(
'PROD. 3º MÊS'!C89="Administrativo",
'PROD. 3º MÊS'!C89="Intermediário",
'PROD. 3º MÊS'!C89="Externo",
'PROD. 3º MÊS'!C89="Final"),"-",
'PROD. 3º MÊS'!C89)</f>
        <v>0</v>
      </c>
      <c r="AD171" s="241" t="str">
        <f t="shared" si="69"/>
        <v>-</v>
      </c>
      <c r="AE171" s="242" t="str">
        <f t="shared" si="70"/>
        <v>-</v>
      </c>
      <c r="AG171" s="240">
        <f>IF(OR(
'PROD. 2º MÊS'!C89="Administrativo",
'PROD. 2º MÊS'!C89="Intermediário",
'PROD. 2º MÊS'!C89="Externo",
'PROD. 2º MÊS'!C89="Final"),"-",
'PROD. 2º MÊS'!C89)</f>
        <v>0</v>
      </c>
      <c r="AH171" s="241" t="str">
        <f t="shared" si="71"/>
        <v>-</v>
      </c>
      <c r="AI171" s="242" t="str">
        <f t="shared" si="72"/>
        <v>-</v>
      </c>
      <c r="AK171" s="240">
        <f>IF(OR(
'PROD. 1º MÊS'!C89="Administrativo",
'PROD. 1º MÊS'!C89="Intermediário",
'PROD. 1º MÊS'!C89="Externo",
'PROD. 1º MÊS'!C89="Final"),"-",
'PROD. 1º MÊS'!C89)</f>
        <v>0</v>
      </c>
      <c r="AL171" s="241" t="str">
        <f t="shared" si="73"/>
        <v>-</v>
      </c>
      <c r="AM171" s="242" t="str">
        <f t="shared" si="74"/>
        <v>-</v>
      </c>
      <c r="AO171" s="342">
        <f t="shared" si="86"/>
        <v>0</v>
      </c>
      <c r="AP171" s="341" t="str">
        <f t="array" ref="AP171">IFERROR( INDEX( $AO$89:$AO$553, MATCH( 0, COUNTIF( $AP$87:AP170, $AO$89:$AO$553), 0)), "-")</f>
        <v>-</v>
      </c>
      <c r="AQ171" s="257" t="str">
        <f t="shared" si="75"/>
        <v>-</v>
      </c>
      <c r="AR171" s="258" t="str">
        <f t="shared" si="78"/>
        <v>-</v>
      </c>
      <c r="AS171" s="259" t="str">
        <f t="shared" si="79"/>
        <v>-</v>
      </c>
      <c r="AT171" s="259" t="str">
        <f t="shared" si="80"/>
        <v>-</v>
      </c>
      <c r="AU171" s="260" t="str">
        <f t="shared" si="81"/>
        <v>-</v>
      </c>
      <c r="AV171" s="261" t="str">
        <f t="shared" si="82"/>
        <v>-</v>
      </c>
      <c r="AW171" s="262" t="str">
        <f t="shared" si="83"/>
        <v>-</v>
      </c>
      <c r="AX171" s="262" t="str">
        <f t="shared" si="84"/>
        <v>-</v>
      </c>
      <c r="AY171" s="263" t="str">
        <f t="shared" si="85"/>
        <v>-</v>
      </c>
      <c r="AZ171" s="264" t="str">
        <f t="shared" si="76"/>
        <v>-</v>
      </c>
      <c r="BA171" s="96" t="str">
        <f t="shared" si="77"/>
        <v>-</v>
      </c>
    </row>
    <row r="172" spans="1:53" ht="18.2" customHeight="1" x14ac:dyDescent="0.25">
      <c r="A172" s="79"/>
      <c r="B172" s="429" t="s">
        <v>207</v>
      </c>
      <c r="C172" s="429"/>
      <c r="D172" s="429"/>
      <c r="E172" s="429"/>
      <c r="F172" s="429"/>
      <c r="G172" s="429"/>
      <c r="H172" s="429"/>
      <c r="I172" s="429"/>
      <c r="J172" s="429"/>
      <c r="K172" s="429"/>
      <c r="L172" s="429"/>
      <c r="M172" s="429"/>
      <c r="N172" s="429"/>
      <c r="O172" s="429"/>
      <c r="P172" s="429"/>
      <c r="Q172" s="429"/>
      <c r="R172" s="79"/>
      <c r="W172" s="240">
        <f>IF(OR(
'PROD. 4º MÊS'!C90="Administrativo",
'PROD. 4º MÊS'!C90="Intermediário",
'PROD. 4º MÊS'!C90="Externo",
'PROD. 4º MÊS'!C90="Final"),"-",
'PROD. 4º MÊS'!C90)</f>
        <v>0</v>
      </c>
      <c r="X172" s="241" t="str">
        <f t="shared" si="67"/>
        <v>-</v>
      </c>
      <c r="Y172" s="242" t="str">
        <f t="shared" si="68"/>
        <v>-</v>
      </c>
      <c r="AC172" s="240">
        <f>IF(OR(
'PROD. 3º MÊS'!C90="Administrativo",
'PROD. 3º MÊS'!C90="Intermediário",
'PROD. 3º MÊS'!C90="Externo",
'PROD. 3º MÊS'!C90="Final"),"-",
'PROD. 3º MÊS'!C90)</f>
        <v>0</v>
      </c>
      <c r="AD172" s="241" t="str">
        <f t="shared" si="69"/>
        <v>-</v>
      </c>
      <c r="AE172" s="242" t="str">
        <f t="shared" si="70"/>
        <v>-</v>
      </c>
      <c r="AG172" s="240">
        <f>IF(OR(
'PROD. 2º MÊS'!C90="Administrativo",
'PROD. 2º MÊS'!C90="Intermediário",
'PROD. 2º MÊS'!C90="Externo",
'PROD. 2º MÊS'!C90="Final"),"-",
'PROD. 2º MÊS'!C90)</f>
        <v>0</v>
      </c>
      <c r="AH172" s="241" t="str">
        <f t="shared" si="71"/>
        <v>-</v>
      </c>
      <c r="AI172" s="242" t="str">
        <f t="shared" si="72"/>
        <v>-</v>
      </c>
      <c r="AK172" s="240">
        <f>IF(OR(
'PROD. 1º MÊS'!C90="Administrativo",
'PROD. 1º MÊS'!C90="Intermediário",
'PROD. 1º MÊS'!C90="Externo",
'PROD. 1º MÊS'!C90="Final"),"-",
'PROD. 1º MÊS'!C90)</f>
        <v>0</v>
      </c>
      <c r="AL172" s="241" t="str">
        <f t="shared" si="73"/>
        <v>-</v>
      </c>
      <c r="AM172" s="242" t="str">
        <f t="shared" si="74"/>
        <v>-</v>
      </c>
      <c r="AO172" s="342">
        <f t="shared" si="86"/>
        <v>0</v>
      </c>
      <c r="AP172" s="341" t="str">
        <f t="array" ref="AP172">IFERROR( INDEX( $AO$89:$AO$553, MATCH( 0, COUNTIF( $AP$87:AP171, $AO$89:$AO$553), 0)), "-")</f>
        <v>-</v>
      </c>
      <c r="AQ172" s="248" t="str">
        <f t="shared" si="75"/>
        <v>-</v>
      </c>
      <c r="AR172" s="249" t="str">
        <f t="shared" si="78"/>
        <v>-</v>
      </c>
      <c r="AS172" s="250" t="str">
        <f t="shared" si="79"/>
        <v>-</v>
      </c>
      <c r="AT172" s="250" t="str">
        <f t="shared" si="80"/>
        <v>-</v>
      </c>
      <c r="AU172" s="251" t="str">
        <f t="shared" si="81"/>
        <v>-</v>
      </c>
      <c r="AV172" s="252" t="str">
        <f t="shared" si="82"/>
        <v>-</v>
      </c>
      <c r="AW172" s="253" t="str">
        <f t="shared" si="83"/>
        <v>-</v>
      </c>
      <c r="AX172" s="253" t="str">
        <f t="shared" si="84"/>
        <v>-</v>
      </c>
      <c r="AY172" s="254" t="str">
        <f t="shared" si="85"/>
        <v>-</v>
      </c>
      <c r="AZ172" s="255" t="str">
        <f t="shared" si="76"/>
        <v>-</v>
      </c>
      <c r="BA172" s="95" t="str">
        <f t="shared" si="77"/>
        <v>-</v>
      </c>
    </row>
    <row r="173" spans="1:53" ht="18.2" customHeight="1" x14ac:dyDescent="0.25">
      <c r="A173" s="79"/>
      <c r="B173" s="698" t="s">
        <v>364</v>
      </c>
      <c r="C173" s="699"/>
      <c r="D173" s="699"/>
      <c r="E173" s="699"/>
      <c r="F173" s="699"/>
      <c r="G173" s="699"/>
      <c r="H173" s="699"/>
      <c r="I173" s="699"/>
      <c r="J173" s="699"/>
      <c r="K173" s="699"/>
      <c r="L173" s="699"/>
      <c r="M173" s="699"/>
      <c r="N173" s="699"/>
      <c r="O173" s="699"/>
      <c r="P173" s="699"/>
      <c r="Q173" s="699"/>
      <c r="R173" s="79"/>
      <c r="W173" s="240">
        <f>IF(OR(
'PROD. 4º MÊS'!C91="Administrativo",
'PROD. 4º MÊS'!C91="Intermediário",
'PROD. 4º MÊS'!C91="Externo",
'PROD. 4º MÊS'!C91="Final"),"-",
'PROD. 4º MÊS'!C91)</f>
        <v>0</v>
      </c>
      <c r="X173" s="241" t="str">
        <f t="shared" si="67"/>
        <v>-</v>
      </c>
      <c r="Y173" s="242" t="str">
        <f t="shared" si="68"/>
        <v>-</v>
      </c>
      <c r="AC173" s="240">
        <f>IF(OR(
'PROD. 3º MÊS'!C91="Administrativo",
'PROD. 3º MÊS'!C91="Intermediário",
'PROD. 3º MÊS'!C91="Externo",
'PROD. 3º MÊS'!C91="Final"),"-",
'PROD. 3º MÊS'!C91)</f>
        <v>0</v>
      </c>
      <c r="AD173" s="241" t="str">
        <f t="shared" si="69"/>
        <v>-</v>
      </c>
      <c r="AE173" s="242" t="str">
        <f t="shared" si="70"/>
        <v>-</v>
      </c>
      <c r="AG173" s="240">
        <f>IF(OR(
'PROD. 2º MÊS'!C91="Administrativo",
'PROD. 2º MÊS'!C91="Intermediário",
'PROD. 2º MÊS'!C91="Externo",
'PROD. 2º MÊS'!C91="Final"),"-",
'PROD. 2º MÊS'!C91)</f>
        <v>0</v>
      </c>
      <c r="AH173" s="241" t="str">
        <f t="shared" si="71"/>
        <v>-</v>
      </c>
      <c r="AI173" s="242" t="str">
        <f t="shared" si="72"/>
        <v>-</v>
      </c>
      <c r="AK173" s="240">
        <f>IF(OR(
'PROD. 1º MÊS'!C91="Administrativo",
'PROD. 1º MÊS'!C91="Intermediário",
'PROD. 1º MÊS'!C91="Externo",
'PROD. 1º MÊS'!C91="Final"),"-",
'PROD. 1º MÊS'!C91)</f>
        <v>0</v>
      </c>
      <c r="AL173" s="241" t="str">
        <f t="shared" si="73"/>
        <v>-</v>
      </c>
      <c r="AM173" s="242" t="str">
        <f t="shared" si="74"/>
        <v>-</v>
      </c>
      <c r="AO173" s="342">
        <f t="shared" si="86"/>
        <v>0</v>
      </c>
      <c r="AP173" s="341" t="str">
        <f t="array" ref="AP173">IFERROR( INDEX( $AO$89:$AO$553, MATCH( 0, COUNTIF( $AP$87:AP172, $AO$89:$AO$553), 0)), "-")</f>
        <v>-</v>
      </c>
      <c r="AQ173" s="257" t="str">
        <f t="shared" si="75"/>
        <v>-</v>
      </c>
      <c r="AR173" s="258" t="str">
        <f t="shared" si="78"/>
        <v>-</v>
      </c>
      <c r="AS173" s="259" t="str">
        <f t="shared" si="79"/>
        <v>-</v>
      </c>
      <c r="AT173" s="259" t="str">
        <f t="shared" si="80"/>
        <v>-</v>
      </c>
      <c r="AU173" s="260" t="str">
        <f t="shared" si="81"/>
        <v>-</v>
      </c>
      <c r="AV173" s="261" t="str">
        <f t="shared" si="82"/>
        <v>-</v>
      </c>
      <c r="AW173" s="262" t="str">
        <f t="shared" si="83"/>
        <v>-</v>
      </c>
      <c r="AX173" s="262" t="str">
        <f t="shared" si="84"/>
        <v>-</v>
      </c>
      <c r="AY173" s="263" t="str">
        <f t="shared" si="85"/>
        <v>-</v>
      </c>
      <c r="AZ173" s="264" t="str">
        <f t="shared" si="76"/>
        <v>-</v>
      </c>
      <c r="BA173" s="96" t="str">
        <f t="shared" si="77"/>
        <v>-</v>
      </c>
    </row>
    <row r="174" spans="1:53" ht="18.2" customHeight="1" x14ac:dyDescent="0.25">
      <c r="A174" s="79"/>
      <c r="B174" s="699"/>
      <c r="C174" s="699"/>
      <c r="D174" s="699"/>
      <c r="E174" s="699"/>
      <c r="F174" s="699"/>
      <c r="G174" s="699"/>
      <c r="H174" s="699"/>
      <c r="I174" s="699"/>
      <c r="J174" s="699"/>
      <c r="K174" s="699"/>
      <c r="L174" s="699"/>
      <c r="M174" s="699"/>
      <c r="N174" s="699"/>
      <c r="O174" s="699"/>
      <c r="P174" s="699"/>
      <c r="Q174" s="699"/>
      <c r="R174" s="79"/>
      <c r="W174" s="240">
        <f>IF(OR(
'PROD. 4º MÊS'!C92="Administrativo",
'PROD. 4º MÊS'!C92="Intermediário",
'PROD. 4º MÊS'!C92="Externo",
'PROD. 4º MÊS'!C92="Final"),"-",
'PROD. 4º MÊS'!C92)</f>
        <v>0</v>
      </c>
      <c r="X174" s="241" t="str">
        <f t="shared" si="67"/>
        <v>-</v>
      </c>
      <c r="Y174" s="242" t="str">
        <f t="shared" si="68"/>
        <v>-</v>
      </c>
      <c r="AC174" s="240">
        <f>IF(OR(
'PROD. 3º MÊS'!C92="Administrativo",
'PROD. 3º MÊS'!C92="Intermediário",
'PROD. 3º MÊS'!C92="Externo",
'PROD. 3º MÊS'!C92="Final"),"-",
'PROD. 3º MÊS'!C92)</f>
        <v>0</v>
      </c>
      <c r="AD174" s="241" t="str">
        <f t="shared" si="69"/>
        <v>-</v>
      </c>
      <c r="AE174" s="242" t="str">
        <f t="shared" si="70"/>
        <v>-</v>
      </c>
      <c r="AG174" s="240">
        <f>IF(OR(
'PROD. 2º MÊS'!C92="Administrativo",
'PROD. 2º MÊS'!C92="Intermediário",
'PROD. 2º MÊS'!C92="Externo",
'PROD. 2º MÊS'!C92="Final"),"-",
'PROD. 2º MÊS'!C92)</f>
        <v>0</v>
      </c>
      <c r="AH174" s="241" t="str">
        <f t="shared" si="71"/>
        <v>-</v>
      </c>
      <c r="AI174" s="242" t="str">
        <f t="shared" si="72"/>
        <v>-</v>
      </c>
      <c r="AK174" s="240">
        <f>IF(OR(
'PROD. 1º MÊS'!C92="Administrativo",
'PROD. 1º MÊS'!C92="Intermediário",
'PROD. 1º MÊS'!C92="Externo",
'PROD. 1º MÊS'!C92="Final"),"-",
'PROD. 1º MÊS'!C92)</f>
        <v>0</v>
      </c>
      <c r="AL174" s="241" t="str">
        <f t="shared" si="73"/>
        <v>-</v>
      </c>
      <c r="AM174" s="242" t="str">
        <f t="shared" si="74"/>
        <v>-</v>
      </c>
      <c r="AO174" s="342">
        <f t="shared" si="86"/>
        <v>0</v>
      </c>
      <c r="AP174" s="341" t="str">
        <f t="array" ref="AP174">IFERROR( INDEX( $AO$89:$AO$553, MATCH( 0, COUNTIF( $AP$87:AP173, $AO$89:$AO$553), 0)), "-")</f>
        <v>-</v>
      </c>
      <c r="AQ174" s="248" t="str">
        <f t="shared" si="75"/>
        <v>-</v>
      </c>
      <c r="AR174" s="249" t="str">
        <f t="shared" si="78"/>
        <v>-</v>
      </c>
      <c r="AS174" s="250" t="str">
        <f t="shared" si="79"/>
        <v>-</v>
      </c>
      <c r="AT174" s="250" t="str">
        <f t="shared" si="80"/>
        <v>-</v>
      </c>
      <c r="AU174" s="251" t="str">
        <f t="shared" si="81"/>
        <v>-</v>
      </c>
      <c r="AV174" s="252" t="str">
        <f t="shared" si="82"/>
        <v>-</v>
      </c>
      <c r="AW174" s="253" t="str">
        <f t="shared" si="83"/>
        <v>-</v>
      </c>
      <c r="AX174" s="253" t="str">
        <f t="shared" si="84"/>
        <v>-</v>
      </c>
      <c r="AY174" s="254" t="str">
        <f t="shared" si="85"/>
        <v>-</v>
      </c>
      <c r="AZ174" s="255" t="str">
        <f t="shared" si="76"/>
        <v>-</v>
      </c>
      <c r="BA174" s="95" t="str">
        <f t="shared" si="77"/>
        <v>-</v>
      </c>
    </row>
    <row r="175" spans="1:53" ht="18.2" customHeight="1" x14ac:dyDescent="0.25">
      <c r="A175" s="79"/>
      <c r="B175" s="699"/>
      <c r="C175" s="699"/>
      <c r="D175" s="699"/>
      <c r="E175" s="699"/>
      <c r="F175" s="699"/>
      <c r="G175" s="699"/>
      <c r="H175" s="699"/>
      <c r="I175" s="699"/>
      <c r="J175" s="699"/>
      <c r="K175" s="699"/>
      <c r="L175" s="699"/>
      <c r="M175" s="699"/>
      <c r="N175" s="699"/>
      <c r="O175" s="699"/>
      <c r="P175" s="699"/>
      <c r="Q175" s="699"/>
      <c r="R175" s="79"/>
      <c r="W175" s="240">
        <f>IF(OR(
'PROD. 4º MÊS'!C93="Administrativo",
'PROD. 4º MÊS'!C93="Intermediário",
'PROD. 4º MÊS'!C93="Externo",
'PROD. 4º MÊS'!C93="Final"),"-",
'PROD. 4º MÊS'!C93)</f>
        <v>0</v>
      </c>
      <c r="X175" s="241" t="str">
        <f t="shared" si="67"/>
        <v>-</v>
      </c>
      <c r="Y175" s="242" t="str">
        <f t="shared" si="68"/>
        <v>-</v>
      </c>
      <c r="AC175" s="240">
        <f>IF(OR(
'PROD. 3º MÊS'!C93="Administrativo",
'PROD. 3º MÊS'!C93="Intermediário",
'PROD. 3º MÊS'!C93="Externo",
'PROD. 3º MÊS'!C93="Final"),"-",
'PROD. 3º MÊS'!C93)</f>
        <v>0</v>
      </c>
      <c r="AD175" s="241" t="str">
        <f t="shared" si="69"/>
        <v>-</v>
      </c>
      <c r="AE175" s="242" t="str">
        <f t="shared" si="70"/>
        <v>-</v>
      </c>
      <c r="AG175" s="240">
        <f>IF(OR(
'PROD. 2º MÊS'!C93="Administrativo",
'PROD. 2º MÊS'!C93="Intermediário",
'PROD. 2º MÊS'!C93="Externo",
'PROD. 2º MÊS'!C93="Final"),"-",
'PROD. 2º MÊS'!C93)</f>
        <v>0</v>
      </c>
      <c r="AH175" s="241" t="str">
        <f t="shared" si="71"/>
        <v>-</v>
      </c>
      <c r="AI175" s="242" t="str">
        <f t="shared" si="72"/>
        <v>-</v>
      </c>
      <c r="AK175" s="240">
        <f>IF(OR(
'PROD. 1º MÊS'!C93="Administrativo",
'PROD. 1º MÊS'!C93="Intermediário",
'PROD. 1º MÊS'!C93="Externo",
'PROD. 1º MÊS'!C93="Final"),"-",
'PROD. 1º MÊS'!C93)</f>
        <v>0</v>
      </c>
      <c r="AL175" s="241" t="str">
        <f t="shared" si="73"/>
        <v>-</v>
      </c>
      <c r="AM175" s="242" t="str">
        <f t="shared" si="74"/>
        <v>-</v>
      </c>
      <c r="AO175" s="342">
        <f t="shared" si="86"/>
        <v>0</v>
      </c>
      <c r="AP175" s="341" t="str">
        <f t="array" ref="AP175">IFERROR( INDEX( $AO$89:$AO$553, MATCH( 0, COUNTIF( $AP$87:AP174, $AO$89:$AO$553), 0)), "-")</f>
        <v>-</v>
      </c>
      <c r="AQ175" s="257" t="str">
        <f t="shared" si="75"/>
        <v>-</v>
      </c>
      <c r="AR175" s="258" t="str">
        <f t="shared" si="78"/>
        <v>-</v>
      </c>
      <c r="AS175" s="259" t="str">
        <f t="shared" si="79"/>
        <v>-</v>
      </c>
      <c r="AT175" s="259" t="str">
        <f t="shared" si="80"/>
        <v>-</v>
      </c>
      <c r="AU175" s="260" t="str">
        <f t="shared" si="81"/>
        <v>-</v>
      </c>
      <c r="AV175" s="261" t="str">
        <f t="shared" si="82"/>
        <v>-</v>
      </c>
      <c r="AW175" s="262" t="str">
        <f t="shared" si="83"/>
        <v>-</v>
      </c>
      <c r="AX175" s="262" t="str">
        <f t="shared" si="84"/>
        <v>-</v>
      </c>
      <c r="AY175" s="263" t="str">
        <f t="shared" si="85"/>
        <v>-</v>
      </c>
      <c r="AZ175" s="264" t="str">
        <f t="shared" si="76"/>
        <v>-</v>
      </c>
      <c r="BA175" s="96" t="str">
        <f t="shared" si="77"/>
        <v>-</v>
      </c>
    </row>
    <row r="176" spans="1:53" ht="18.2" customHeight="1" x14ac:dyDescent="0.25">
      <c r="A176" s="79"/>
      <c r="B176" s="699"/>
      <c r="C176" s="699"/>
      <c r="D176" s="699"/>
      <c r="E176" s="699"/>
      <c r="F176" s="699"/>
      <c r="G176" s="699"/>
      <c r="H176" s="699"/>
      <c r="I176" s="699"/>
      <c r="J176" s="699"/>
      <c r="K176" s="699"/>
      <c r="L176" s="699"/>
      <c r="M176" s="699"/>
      <c r="N176" s="699"/>
      <c r="O176" s="699"/>
      <c r="P176" s="699"/>
      <c r="Q176" s="699"/>
      <c r="R176" s="79"/>
      <c r="W176" s="240">
        <f>IF(OR(
'PROD. 4º MÊS'!C94="Administrativo",
'PROD. 4º MÊS'!C94="Intermediário",
'PROD. 4º MÊS'!C94="Externo",
'PROD. 4º MÊS'!C94="Final"),"-",
'PROD. 4º MÊS'!C94)</f>
        <v>0</v>
      </c>
      <c r="X176" s="241" t="str">
        <f t="shared" si="67"/>
        <v>-</v>
      </c>
      <c r="Y176" s="242" t="str">
        <f t="shared" si="68"/>
        <v>-</v>
      </c>
      <c r="AC176" s="240">
        <f>IF(OR(
'PROD. 3º MÊS'!C94="Administrativo",
'PROD. 3º MÊS'!C94="Intermediário",
'PROD. 3º MÊS'!C94="Externo",
'PROD. 3º MÊS'!C94="Final"),"-",
'PROD. 3º MÊS'!C94)</f>
        <v>0</v>
      </c>
      <c r="AD176" s="241" t="str">
        <f t="shared" si="69"/>
        <v>-</v>
      </c>
      <c r="AE176" s="242" t="str">
        <f t="shared" si="70"/>
        <v>-</v>
      </c>
      <c r="AG176" s="240">
        <f>IF(OR(
'PROD. 2º MÊS'!C94="Administrativo",
'PROD. 2º MÊS'!C94="Intermediário",
'PROD. 2º MÊS'!C94="Externo",
'PROD. 2º MÊS'!C94="Final"),"-",
'PROD. 2º MÊS'!C94)</f>
        <v>0</v>
      </c>
      <c r="AH176" s="241" t="str">
        <f t="shared" si="71"/>
        <v>-</v>
      </c>
      <c r="AI176" s="242" t="str">
        <f t="shared" si="72"/>
        <v>-</v>
      </c>
      <c r="AK176" s="240">
        <f>IF(OR(
'PROD. 1º MÊS'!C94="Administrativo",
'PROD. 1º MÊS'!C94="Intermediário",
'PROD. 1º MÊS'!C94="Externo",
'PROD. 1º MÊS'!C94="Final"),"-",
'PROD. 1º MÊS'!C94)</f>
        <v>0</v>
      </c>
      <c r="AL176" s="241" t="str">
        <f t="shared" si="73"/>
        <v>-</v>
      </c>
      <c r="AM176" s="242" t="str">
        <f t="shared" si="74"/>
        <v>-</v>
      </c>
      <c r="AO176" s="342">
        <f t="shared" si="86"/>
        <v>0</v>
      </c>
      <c r="AP176" s="341" t="str">
        <f t="array" ref="AP176">IFERROR( INDEX( $AO$89:$AO$553, MATCH( 0, COUNTIF( $AP$87:AP175, $AO$89:$AO$553), 0)), "-")</f>
        <v>-</v>
      </c>
      <c r="AQ176" s="248" t="str">
        <f t="shared" si="75"/>
        <v>-</v>
      </c>
      <c r="AR176" s="249" t="str">
        <f t="shared" si="78"/>
        <v>-</v>
      </c>
      <c r="AS176" s="250" t="str">
        <f t="shared" si="79"/>
        <v>-</v>
      </c>
      <c r="AT176" s="250" t="str">
        <f t="shared" si="80"/>
        <v>-</v>
      </c>
      <c r="AU176" s="251" t="str">
        <f t="shared" si="81"/>
        <v>-</v>
      </c>
      <c r="AV176" s="252" t="str">
        <f t="shared" si="82"/>
        <v>-</v>
      </c>
      <c r="AW176" s="253" t="str">
        <f t="shared" si="83"/>
        <v>-</v>
      </c>
      <c r="AX176" s="253" t="str">
        <f t="shared" si="84"/>
        <v>-</v>
      </c>
      <c r="AY176" s="254" t="str">
        <f t="shared" si="85"/>
        <v>-</v>
      </c>
      <c r="AZ176" s="255" t="str">
        <f t="shared" si="76"/>
        <v>-</v>
      </c>
      <c r="BA176" s="95" t="str">
        <f t="shared" si="77"/>
        <v>-</v>
      </c>
    </row>
    <row r="177" spans="1:53" ht="18.2" customHeight="1" x14ac:dyDescent="0.25">
      <c r="A177" s="79"/>
      <c r="B177" s="699"/>
      <c r="C177" s="699"/>
      <c r="D177" s="699"/>
      <c r="E177" s="699"/>
      <c r="F177" s="699"/>
      <c r="G177" s="699"/>
      <c r="H177" s="699"/>
      <c r="I177" s="699"/>
      <c r="J177" s="699"/>
      <c r="K177" s="699"/>
      <c r="L177" s="699"/>
      <c r="M177" s="699"/>
      <c r="N177" s="699"/>
      <c r="O177" s="699"/>
      <c r="P177" s="699"/>
      <c r="Q177" s="699"/>
      <c r="R177" s="79"/>
      <c r="W177" s="240">
        <f>IF(OR(
'PROD. 4º MÊS'!C95="Administrativo",
'PROD. 4º MÊS'!C95="Intermediário",
'PROD. 4º MÊS'!C95="Externo",
'PROD. 4º MÊS'!C95="Final"),"-",
'PROD. 4º MÊS'!C95)</f>
        <v>0</v>
      </c>
      <c r="X177" s="241" t="str">
        <f t="shared" si="67"/>
        <v>-</v>
      </c>
      <c r="Y177" s="242" t="str">
        <f t="shared" si="68"/>
        <v>-</v>
      </c>
      <c r="AC177" s="240">
        <f>IF(OR(
'PROD. 3º MÊS'!C95="Administrativo",
'PROD. 3º MÊS'!C95="Intermediário",
'PROD. 3º MÊS'!C95="Externo",
'PROD. 3º MÊS'!C95="Final"),"-",
'PROD. 3º MÊS'!C95)</f>
        <v>0</v>
      </c>
      <c r="AD177" s="241" t="str">
        <f t="shared" si="69"/>
        <v>-</v>
      </c>
      <c r="AE177" s="242" t="str">
        <f t="shared" si="70"/>
        <v>-</v>
      </c>
      <c r="AG177" s="240">
        <f>IF(OR(
'PROD. 2º MÊS'!C95="Administrativo",
'PROD. 2º MÊS'!C95="Intermediário",
'PROD. 2º MÊS'!C95="Externo",
'PROD. 2º MÊS'!C95="Final"),"-",
'PROD. 2º MÊS'!C95)</f>
        <v>0</v>
      </c>
      <c r="AH177" s="241" t="str">
        <f t="shared" si="71"/>
        <v>-</v>
      </c>
      <c r="AI177" s="242" t="str">
        <f t="shared" si="72"/>
        <v>-</v>
      </c>
      <c r="AK177" s="240">
        <f>IF(OR(
'PROD. 1º MÊS'!C95="Administrativo",
'PROD. 1º MÊS'!C95="Intermediário",
'PROD. 1º MÊS'!C95="Externo",
'PROD. 1º MÊS'!C95="Final"),"-",
'PROD. 1º MÊS'!C95)</f>
        <v>0</v>
      </c>
      <c r="AL177" s="241" t="str">
        <f t="shared" si="73"/>
        <v>-</v>
      </c>
      <c r="AM177" s="242" t="str">
        <f t="shared" si="74"/>
        <v>-</v>
      </c>
      <c r="AO177" s="342">
        <f t="shared" si="86"/>
        <v>0</v>
      </c>
      <c r="AP177" s="341" t="str">
        <f t="array" ref="AP177">IFERROR( INDEX( $AO$89:$AO$553, MATCH( 0, COUNTIF( $AP$87:AP176, $AO$89:$AO$553), 0)), "-")</f>
        <v>-</v>
      </c>
      <c r="AQ177" s="257" t="str">
        <f t="shared" si="75"/>
        <v>-</v>
      </c>
      <c r="AR177" s="258" t="str">
        <f t="shared" si="78"/>
        <v>-</v>
      </c>
      <c r="AS177" s="259" t="str">
        <f t="shared" si="79"/>
        <v>-</v>
      </c>
      <c r="AT177" s="259" t="str">
        <f t="shared" si="80"/>
        <v>-</v>
      </c>
      <c r="AU177" s="260" t="str">
        <f t="shared" si="81"/>
        <v>-</v>
      </c>
      <c r="AV177" s="261" t="str">
        <f t="shared" si="82"/>
        <v>-</v>
      </c>
      <c r="AW177" s="262" t="str">
        <f t="shared" si="83"/>
        <v>-</v>
      </c>
      <c r="AX177" s="262" t="str">
        <f t="shared" si="84"/>
        <v>-</v>
      </c>
      <c r="AY177" s="263" t="str">
        <f t="shared" si="85"/>
        <v>-</v>
      </c>
      <c r="AZ177" s="264" t="str">
        <f t="shared" si="76"/>
        <v>-</v>
      </c>
      <c r="BA177" s="96" t="str">
        <f t="shared" si="77"/>
        <v>-</v>
      </c>
    </row>
    <row r="178" spans="1:53" ht="18.2" customHeight="1" x14ac:dyDescent="0.25">
      <c r="A178" s="79"/>
      <c r="B178" s="699"/>
      <c r="C178" s="699"/>
      <c r="D178" s="699"/>
      <c r="E178" s="699"/>
      <c r="F178" s="699"/>
      <c r="G178" s="699"/>
      <c r="H178" s="699"/>
      <c r="I178" s="699"/>
      <c r="J178" s="699"/>
      <c r="K178" s="699"/>
      <c r="L178" s="699"/>
      <c r="M178" s="699"/>
      <c r="N178" s="699"/>
      <c r="O178" s="699"/>
      <c r="P178" s="699"/>
      <c r="Q178" s="699"/>
      <c r="R178" s="79"/>
      <c r="W178" s="240">
        <f>IF(OR(
'PROD. 4º MÊS'!C96="Administrativo",
'PROD. 4º MÊS'!C96="Intermediário",
'PROD. 4º MÊS'!C96="Externo",
'PROD. 4º MÊS'!C96="Final"),"-",
'PROD. 4º MÊS'!C96)</f>
        <v>0</v>
      </c>
      <c r="X178" s="241" t="str">
        <f t="shared" si="67"/>
        <v>-</v>
      </c>
      <c r="Y178" s="242" t="str">
        <f t="shared" si="68"/>
        <v>-</v>
      </c>
      <c r="AC178" s="240">
        <f>IF(OR(
'PROD. 3º MÊS'!C96="Administrativo",
'PROD. 3º MÊS'!C96="Intermediário",
'PROD. 3º MÊS'!C96="Externo",
'PROD. 3º MÊS'!C96="Final"),"-",
'PROD. 3º MÊS'!C96)</f>
        <v>0</v>
      </c>
      <c r="AD178" s="241" t="str">
        <f t="shared" si="69"/>
        <v>-</v>
      </c>
      <c r="AE178" s="242" t="str">
        <f t="shared" si="70"/>
        <v>-</v>
      </c>
      <c r="AG178" s="240">
        <f>IF(OR(
'PROD. 2º MÊS'!C96="Administrativo",
'PROD. 2º MÊS'!C96="Intermediário",
'PROD. 2º MÊS'!C96="Externo",
'PROD. 2º MÊS'!C96="Final"),"-",
'PROD. 2º MÊS'!C96)</f>
        <v>0</v>
      </c>
      <c r="AH178" s="241" t="str">
        <f t="shared" si="71"/>
        <v>-</v>
      </c>
      <c r="AI178" s="242" t="str">
        <f t="shared" si="72"/>
        <v>-</v>
      </c>
      <c r="AK178" s="240">
        <f>IF(OR(
'PROD. 1º MÊS'!C96="Administrativo",
'PROD. 1º MÊS'!C96="Intermediário",
'PROD. 1º MÊS'!C96="Externo",
'PROD. 1º MÊS'!C96="Final"),"-",
'PROD. 1º MÊS'!C96)</f>
        <v>0</v>
      </c>
      <c r="AL178" s="241" t="str">
        <f t="shared" si="73"/>
        <v>-</v>
      </c>
      <c r="AM178" s="242" t="str">
        <f t="shared" si="74"/>
        <v>-</v>
      </c>
      <c r="AO178" s="342">
        <f t="shared" si="86"/>
        <v>0</v>
      </c>
      <c r="AP178" s="341" t="str">
        <f t="array" ref="AP178">IFERROR( INDEX( $AO$89:$AO$553, MATCH( 0, COUNTIF( $AP$87:AP177, $AO$89:$AO$553), 0)), "-")</f>
        <v>-</v>
      </c>
      <c r="AQ178" s="248" t="str">
        <f t="shared" si="75"/>
        <v>-</v>
      </c>
      <c r="AR178" s="249" t="str">
        <f t="shared" si="78"/>
        <v>-</v>
      </c>
      <c r="AS178" s="250" t="str">
        <f t="shared" si="79"/>
        <v>-</v>
      </c>
      <c r="AT178" s="250" t="str">
        <f t="shared" si="80"/>
        <v>-</v>
      </c>
      <c r="AU178" s="251" t="str">
        <f t="shared" si="81"/>
        <v>-</v>
      </c>
      <c r="AV178" s="252" t="str">
        <f t="shared" si="82"/>
        <v>-</v>
      </c>
      <c r="AW178" s="253" t="str">
        <f t="shared" si="83"/>
        <v>-</v>
      </c>
      <c r="AX178" s="253" t="str">
        <f t="shared" si="84"/>
        <v>-</v>
      </c>
      <c r="AY178" s="254" t="str">
        <f t="shared" si="85"/>
        <v>-</v>
      </c>
      <c r="AZ178" s="255" t="str">
        <f t="shared" si="76"/>
        <v>-</v>
      </c>
      <c r="BA178" s="95" t="str">
        <f t="shared" si="77"/>
        <v>-</v>
      </c>
    </row>
    <row r="179" spans="1:53" ht="18.2" customHeight="1" x14ac:dyDescent="0.25">
      <c r="A179" s="79"/>
      <c r="B179" s="699"/>
      <c r="C179" s="699"/>
      <c r="D179" s="699"/>
      <c r="E179" s="699"/>
      <c r="F179" s="699"/>
      <c r="G179" s="699"/>
      <c r="H179" s="699"/>
      <c r="I179" s="699"/>
      <c r="J179" s="699"/>
      <c r="K179" s="699"/>
      <c r="L179" s="699"/>
      <c r="M179" s="699"/>
      <c r="N179" s="699"/>
      <c r="O179" s="699"/>
      <c r="P179" s="699"/>
      <c r="Q179" s="699"/>
      <c r="R179" s="79"/>
      <c r="W179" s="240">
        <f>IF(OR(
'PROD. 4º MÊS'!C97="Administrativo",
'PROD. 4º MÊS'!C97="Intermediário",
'PROD. 4º MÊS'!C97="Externo",
'PROD. 4º MÊS'!C97="Final"),"-",
'PROD. 4º MÊS'!C97)</f>
        <v>0</v>
      </c>
      <c r="X179" s="241" t="str">
        <f t="shared" si="67"/>
        <v>-</v>
      </c>
      <c r="Y179" s="242" t="str">
        <f t="shared" si="68"/>
        <v>-</v>
      </c>
      <c r="AC179" s="240">
        <f>IF(OR(
'PROD. 3º MÊS'!C97="Administrativo",
'PROD. 3º MÊS'!C97="Intermediário",
'PROD. 3º MÊS'!C97="Externo",
'PROD. 3º MÊS'!C97="Final"),"-",
'PROD. 3º MÊS'!C97)</f>
        <v>0</v>
      </c>
      <c r="AD179" s="241" t="str">
        <f t="shared" si="69"/>
        <v>-</v>
      </c>
      <c r="AE179" s="242" t="str">
        <f t="shared" si="70"/>
        <v>-</v>
      </c>
      <c r="AG179" s="240">
        <f>IF(OR(
'PROD. 2º MÊS'!C97="Administrativo",
'PROD. 2º MÊS'!C97="Intermediário",
'PROD. 2º MÊS'!C97="Externo",
'PROD. 2º MÊS'!C97="Final"),"-",
'PROD. 2º MÊS'!C97)</f>
        <v>0</v>
      </c>
      <c r="AH179" s="241" t="str">
        <f t="shared" si="71"/>
        <v>-</v>
      </c>
      <c r="AI179" s="242" t="str">
        <f t="shared" si="72"/>
        <v>-</v>
      </c>
      <c r="AK179" s="240">
        <f>IF(OR(
'PROD. 1º MÊS'!C97="Administrativo",
'PROD. 1º MÊS'!C97="Intermediário",
'PROD. 1º MÊS'!C97="Externo",
'PROD. 1º MÊS'!C97="Final"),"-",
'PROD. 1º MÊS'!C97)</f>
        <v>0</v>
      </c>
      <c r="AL179" s="241" t="str">
        <f t="shared" si="73"/>
        <v>-</v>
      </c>
      <c r="AM179" s="242" t="str">
        <f t="shared" si="74"/>
        <v>-</v>
      </c>
      <c r="AO179" s="342">
        <f t="shared" si="86"/>
        <v>0</v>
      </c>
      <c r="AP179" s="341" t="str">
        <f t="array" ref="AP179">IFERROR( INDEX( $AO$89:$AO$553, MATCH( 0, COUNTIF( $AP$87:AP178, $AO$89:$AO$553), 0)), "-")</f>
        <v>-</v>
      </c>
      <c r="AQ179" s="257" t="str">
        <f t="shared" si="75"/>
        <v>-</v>
      </c>
      <c r="AR179" s="258" t="str">
        <f t="shared" si="78"/>
        <v>-</v>
      </c>
      <c r="AS179" s="259" t="str">
        <f t="shared" si="79"/>
        <v>-</v>
      </c>
      <c r="AT179" s="259" t="str">
        <f t="shared" si="80"/>
        <v>-</v>
      </c>
      <c r="AU179" s="260" t="str">
        <f t="shared" si="81"/>
        <v>-</v>
      </c>
      <c r="AV179" s="261" t="str">
        <f t="shared" si="82"/>
        <v>-</v>
      </c>
      <c r="AW179" s="262" t="str">
        <f t="shared" si="83"/>
        <v>-</v>
      </c>
      <c r="AX179" s="262" t="str">
        <f t="shared" si="84"/>
        <v>-</v>
      </c>
      <c r="AY179" s="263" t="str">
        <f t="shared" si="85"/>
        <v>-</v>
      </c>
      <c r="AZ179" s="264" t="str">
        <f t="shared" si="76"/>
        <v>-</v>
      </c>
      <c r="BA179" s="96" t="str">
        <f t="shared" si="77"/>
        <v>-</v>
      </c>
    </row>
    <row r="180" spans="1:53" ht="18.2" customHeight="1" x14ac:dyDescent="0.25">
      <c r="A180" s="79"/>
      <c r="B180" s="699"/>
      <c r="C180" s="699"/>
      <c r="D180" s="699"/>
      <c r="E180" s="699"/>
      <c r="F180" s="699"/>
      <c r="G180" s="699"/>
      <c r="H180" s="699"/>
      <c r="I180" s="699"/>
      <c r="J180" s="699"/>
      <c r="K180" s="699"/>
      <c r="L180" s="699"/>
      <c r="M180" s="699"/>
      <c r="N180" s="699"/>
      <c r="O180" s="699"/>
      <c r="P180" s="699"/>
      <c r="Q180" s="699"/>
      <c r="R180" s="79"/>
      <c r="W180" s="240">
        <f>IF(OR(
'PROD. 4º MÊS'!C98="Administrativo",
'PROD. 4º MÊS'!C98="Intermediário",
'PROD. 4º MÊS'!C98="Externo",
'PROD. 4º MÊS'!C98="Final"),"-",
'PROD. 4º MÊS'!C98)</f>
        <v>0</v>
      </c>
      <c r="X180" s="241" t="str">
        <f t="shared" si="67"/>
        <v>-</v>
      </c>
      <c r="Y180" s="242" t="str">
        <f t="shared" si="68"/>
        <v>-</v>
      </c>
      <c r="AC180" s="240">
        <f>IF(OR(
'PROD. 3º MÊS'!C98="Administrativo",
'PROD. 3º MÊS'!C98="Intermediário",
'PROD. 3º MÊS'!C98="Externo",
'PROD. 3º MÊS'!C98="Final"),"-",
'PROD. 3º MÊS'!C98)</f>
        <v>0</v>
      </c>
      <c r="AD180" s="241" t="str">
        <f t="shared" si="69"/>
        <v>-</v>
      </c>
      <c r="AE180" s="242" t="str">
        <f t="shared" si="70"/>
        <v>-</v>
      </c>
      <c r="AG180" s="240">
        <f>IF(OR(
'PROD. 2º MÊS'!C98="Administrativo",
'PROD. 2º MÊS'!C98="Intermediário",
'PROD. 2º MÊS'!C98="Externo",
'PROD. 2º MÊS'!C98="Final"),"-",
'PROD. 2º MÊS'!C98)</f>
        <v>0</v>
      </c>
      <c r="AH180" s="241" t="str">
        <f t="shared" si="71"/>
        <v>-</v>
      </c>
      <c r="AI180" s="242" t="str">
        <f t="shared" si="72"/>
        <v>-</v>
      </c>
      <c r="AK180" s="240">
        <f>IF(OR(
'PROD. 1º MÊS'!C98="Administrativo",
'PROD. 1º MÊS'!C98="Intermediário",
'PROD. 1º MÊS'!C98="Externo",
'PROD. 1º MÊS'!C98="Final"),"-",
'PROD. 1º MÊS'!C98)</f>
        <v>0</v>
      </c>
      <c r="AL180" s="241" t="str">
        <f t="shared" si="73"/>
        <v>-</v>
      </c>
      <c r="AM180" s="242" t="str">
        <f t="shared" si="74"/>
        <v>-</v>
      </c>
      <c r="AO180" s="342">
        <f t="shared" si="86"/>
        <v>0</v>
      </c>
      <c r="AP180" s="341" t="str">
        <f t="array" ref="AP180">IFERROR( INDEX( $AO$89:$AO$553, MATCH( 0, COUNTIF( $AP$87:AP179, $AO$89:$AO$553), 0)), "-")</f>
        <v>-</v>
      </c>
      <c r="AQ180" s="248" t="str">
        <f t="shared" si="75"/>
        <v>-</v>
      </c>
      <c r="AR180" s="249" t="str">
        <f t="shared" si="78"/>
        <v>-</v>
      </c>
      <c r="AS180" s="250" t="str">
        <f t="shared" si="79"/>
        <v>-</v>
      </c>
      <c r="AT180" s="250" t="str">
        <f t="shared" si="80"/>
        <v>-</v>
      </c>
      <c r="AU180" s="251" t="str">
        <f t="shared" si="81"/>
        <v>-</v>
      </c>
      <c r="AV180" s="252" t="str">
        <f t="shared" si="82"/>
        <v>-</v>
      </c>
      <c r="AW180" s="253" t="str">
        <f t="shared" si="83"/>
        <v>-</v>
      </c>
      <c r="AX180" s="253" t="str">
        <f t="shared" si="84"/>
        <v>-</v>
      </c>
      <c r="AY180" s="254" t="str">
        <f t="shared" si="85"/>
        <v>-</v>
      </c>
      <c r="AZ180" s="255" t="str">
        <f t="shared" si="76"/>
        <v>-</v>
      </c>
      <c r="BA180" s="95" t="str">
        <f t="shared" si="77"/>
        <v>-</v>
      </c>
    </row>
    <row r="181" spans="1:53" ht="18.2" customHeight="1" x14ac:dyDescent="0.25">
      <c r="A181" s="79"/>
      <c r="B181" s="699"/>
      <c r="C181" s="699"/>
      <c r="D181" s="699"/>
      <c r="E181" s="699"/>
      <c r="F181" s="699"/>
      <c r="G181" s="699"/>
      <c r="H181" s="699"/>
      <c r="I181" s="699"/>
      <c r="J181" s="699"/>
      <c r="K181" s="699"/>
      <c r="L181" s="699"/>
      <c r="M181" s="699"/>
      <c r="N181" s="699"/>
      <c r="O181" s="699"/>
      <c r="P181" s="699"/>
      <c r="Q181" s="699"/>
      <c r="R181" s="79"/>
      <c r="W181" s="240">
        <f>IF(OR(
'PROD. 4º MÊS'!C99="Administrativo",
'PROD. 4º MÊS'!C99="Intermediário",
'PROD. 4º MÊS'!C99="Externo",
'PROD. 4º MÊS'!C99="Final"),"-",
'PROD. 4º MÊS'!C99)</f>
        <v>0</v>
      </c>
      <c r="X181" s="241" t="str">
        <f t="shared" si="67"/>
        <v>-</v>
      </c>
      <c r="Y181" s="242" t="str">
        <f t="shared" si="68"/>
        <v>-</v>
      </c>
      <c r="AC181" s="240">
        <f>IF(OR(
'PROD. 3º MÊS'!C99="Administrativo",
'PROD. 3º MÊS'!C99="Intermediário",
'PROD. 3º MÊS'!C99="Externo",
'PROD. 3º MÊS'!C99="Final"),"-",
'PROD. 3º MÊS'!C99)</f>
        <v>0</v>
      </c>
      <c r="AD181" s="241" t="str">
        <f t="shared" si="69"/>
        <v>-</v>
      </c>
      <c r="AE181" s="242" t="str">
        <f t="shared" si="70"/>
        <v>-</v>
      </c>
      <c r="AG181" s="240">
        <f>IF(OR(
'PROD. 2º MÊS'!C99="Administrativo",
'PROD. 2º MÊS'!C99="Intermediário",
'PROD. 2º MÊS'!C99="Externo",
'PROD. 2º MÊS'!C99="Final"),"-",
'PROD. 2º MÊS'!C99)</f>
        <v>0</v>
      </c>
      <c r="AH181" s="241" t="str">
        <f t="shared" si="71"/>
        <v>-</v>
      </c>
      <c r="AI181" s="242" t="str">
        <f t="shared" si="72"/>
        <v>-</v>
      </c>
      <c r="AK181" s="240">
        <f>IF(OR(
'PROD. 1º MÊS'!C99="Administrativo",
'PROD. 1º MÊS'!C99="Intermediário",
'PROD. 1º MÊS'!C99="Externo",
'PROD. 1º MÊS'!C99="Final"),"-",
'PROD. 1º MÊS'!C99)</f>
        <v>0</v>
      </c>
      <c r="AL181" s="241" t="str">
        <f t="shared" si="73"/>
        <v>-</v>
      </c>
      <c r="AM181" s="242" t="str">
        <f t="shared" si="74"/>
        <v>-</v>
      </c>
      <c r="AO181" s="342">
        <f t="shared" si="86"/>
        <v>0</v>
      </c>
      <c r="AP181" s="341" t="str">
        <f t="array" ref="AP181">IFERROR( INDEX( $AO$89:$AO$553, MATCH( 0, COUNTIF( $AP$87:AP180, $AO$89:$AO$553), 0)), "-")</f>
        <v>-</v>
      </c>
      <c r="AQ181" s="257" t="str">
        <f t="shared" si="75"/>
        <v>-</v>
      </c>
      <c r="AR181" s="258" t="str">
        <f t="shared" si="78"/>
        <v>-</v>
      </c>
      <c r="AS181" s="259" t="str">
        <f t="shared" si="79"/>
        <v>-</v>
      </c>
      <c r="AT181" s="259" t="str">
        <f t="shared" si="80"/>
        <v>-</v>
      </c>
      <c r="AU181" s="260" t="str">
        <f t="shared" si="81"/>
        <v>-</v>
      </c>
      <c r="AV181" s="261" t="str">
        <f t="shared" si="82"/>
        <v>-</v>
      </c>
      <c r="AW181" s="262" t="str">
        <f t="shared" si="83"/>
        <v>-</v>
      </c>
      <c r="AX181" s="262" t="str">
        <f t="shared" si="84"/>
        <v>-</v>
      </c>
      <c r="AY181" s="263" t="str">
        <f t="shared" si="85"/>
        <v>-</v>
      </c>
      <c r="AZ181" s="264" t="str">
        <f t="shared" si="76"/>
        <v>-</v>
      </c>
      <c r="BA181" s="96" t="str">
        <f t="shared" si="77"/>
        <v>-</v>
      </c>
    </row>
    <row r="182" spans="1:53" ht="18.2" customHeight="1" x14ac:dyDescent="0.25">
      <c r="A182" s="79"/>
      <c r="B182" s="699"/>
      <c r="C182" s="699"/>
      <c r="D182" s="699"/>
      <c r="E182" s="699"/>
      <c r="F182" s="699"/>
      <c r="G182" s="699"/>
      <c r="H182" s="699"/>
      <c r="I182" s="699"/>
      <c r="J182" s="699"/>
      <c r="K182" s="699"/>
      <c r="L182" s="699"/>
      <c r="M182" s="699"/>
      <c r="N182" s="699"/>
      <c r="O182" s="699"/>
      <c r="P182" s="699"/>
      <c r="Q182" s="699"/>
      <c r="R182" s="79"/>
      <c r="W182" s="240">
        <f>IF(OR(
'PROD. 4º MÊS'!C100="Administrativo",
'PROD. 4º MÊS'!C100="Intermediário",
'PROD. 4º MÊS'!C100="Externo",
'PROD. 4º MÊS'!C100="Final"),"-",
'PROD. 4º MÊS'!C100)</f>
        <v>0</v>
      </c>
      <c r="X182" s="241" t="str">
        <f t="shared" si="67"/>
        <v>-</v>
      </c>
      <c r="Y182" s="242" t="str">
        <f t="shared" si="68"/>
        <v>-</v>
      </c>
      <c r="AC182" s="240">
        <f>IF(OR(
'PROD. 3º MÊS'!C100="Administrativo",
'PROD. 3º MÊS'!C100="Intermediário",
'PROD. 3º MÊS'!C100="Externo",
'PROD. 3º MÊS'!C100="Final"),"-",
'PROD. 3º MÊS'!C100)</f>
        <v>0</v>
      </c>
      <c r="AD182" s="241" t="str">
        <f t="shared" si="69"/>
        <v>-</v>
      </c>
      <c r="AE182" s="242" t="str">
        <f t="shared" si="70"/>
        <v>-</v>
      </c>
      <c r="AG182" s="240">
        <f>IF(OR(
'PROD. 2º MÊS'!C100="Administrativo",
'PROD. 2º MÊS'!C100="Intermediário",
'PROD. 2º MÊS'!C100="Externo",
'PROD. 2º MÊS'!C100="Final"),"-",
'PROD. 2º MÊS'!C100)</f>
        <v>0</v>
      </c>
      <c r="AH182" s="241" t="str">
        <f t="shared" si="71"/>
        <v>-</v>
      </c>
      <c r="AI182" s="242" t="str">
        <f t="shared" si="72"/>
        <v>-</v>
      </c>
      <c r="AK182" s="240">
        <f>IF(OR(
'PROD. 1º MÊS'!C100="Administrativo",
'PROD. 1º MÊS'!C100="Intermediário",
'PROD. 1º MÊS'!C100="Externo",
'PROD. 1º MÊS'!C100="Final"),"-",
'PROD. 1º MÊS'!C100)</f>
        <v>0</v>
      </c>
      <c r="AL182" s="241" t="str">
        <f t="shared" si="73"/>
        <v>-</v>
      </c>
      <c r="AM182" s="242" t="str">
        <f t="shared" si="74"/>
        <v>-</v>
      </c>
      <c r="AO182" s="342">
        <f t="shared" si="86"/>
        <v>0</v>
      </c>
      <c r="AP182" s="341" t="str">
        <f t="array" ref="AP182">IFERROR( INDEX( $AO$89:$AO$553, MATCH( 0, COUNTIF( $AP$87:AP181, $AO$89:$AO$553), 0)), "-")</f>
        <v>-</v>
      </c>
      <c r="AQ182" s="248" t="str">
        <f t="shared" si="75"/>
        <v>-</v>
      </c>
      <c r="AR182" s="249" t="str">
        <f t="shared" si="78"/>
        <v>-</v>
      </c>
      <c r="AS182" s="250" t="str">
        <f t="shared" si="79"/>
        <v>-</v>
      </c>
      <c r="AT182" s="250" t="str">
        <f t="shared" si="80"/>
        <v>-</v>
      </c>
      <c r="AU182" s="251" t="str">
        <f t="shared" si="81"/>
        <v>-</v>
      </c>
      <c r="AV182" s="252" t="str">
        <f t="shared" si="82"/>
        <v>-</v>
      </c>
      <c r="AW182" s="253" t="str">
        <f t="shared" si="83"/>
        <v>-</v>
      </c>
      <c r="AX182" s="253" t="str">
        <f t="shared" si="84"/>
        <v>-</v>
      </c>
      <c r="AY182" s="254" t="str">
        <f t="shared" si="85"/>
        <v>-</v>
      </c>
      <c r="AZ182" s="255" t="str">
        <f t="shared" si="76"/>
        <v>-</v>
      </c>
      <c r="BA182" s="95" t="str">
        <f t="shared" si="77"/>
        <v>-</v>
      </c>
    </row>
    <row r="183" spans="1:53" ht="18.2" customHeight="1" x14ac:dyDescent="0.25">
      <c r="A183" s="79"/>
      <c r="B183" s="699"/>
      <c r="C183" s="699"/>
      <c r="D183" s="699"/>
      <c r="E183" s="699"/>
      <c r="F183" s="699"/>
      <c r="G183" s="699"/>
      <c r="H183" s="699"/>
      <c r="I183" s="699"/>
      <c r="J183" s="699"/>
      <c r="K183" s="699"/>
      <c r="L183" s="699"/>
      <c r="M183" s="699"/>
      <c r="N183" s="699"/>
      <c r="O183" s="699"/>
      <c r="P183" s="699"/>
      <c r="Q183" s="699"/>
      <c r="R183" s="79"/>
      <c r="W183" s="240">
        <f>IF(OR(
'PROD. 4º MÊS'!C101="Administrativo",
'PROD. 4º MÊS'!C101="Intermediário",
'PROD. 4º MÊS'!C101="Externo",
'PROD. 4º MÊS'!C101="Final"),"-",
'PROD. 4º MÊS'!C101)</f>
        <v>0</v>
      </c>
      <c r="X183" s="241" t="str">
        <f t="shared" si="67"/>
        <v>-</v>
      </c>
      <c r="Y183" s="242" t="str">
        <f t="shared" si="68"/>
        <v>-</v>
      </c>
      <c r="AC183" s="240">
        <f>IF(OR(
'PROD. 3º MÊS'!C101="Administrativo",
'PROD. 3º MÊS'!C101="Intermediário",
'PROD. 3º MÊS'!C101="Externo",
'PROD. 3º MÊS'!C101="Final"),"-",
'PROD. 3º MÊS'!C101)</f>
        <v>0</v>
      </c>
      <c r="AD183" s="241" t="str">
        <f t="shared" si="69"/>
        <v>-</v>
      </c>
      <c r="AE183" s="242" t="str">
        <f t="shared" si="70"/>
        <v>-</v>
      </c>
      <c r="AG183" s="240">
        <f>IF(OR(
'PROD. 2º MÊS'!C101="Administrativo",
'PROD. 2º MÊS'!C101="Intermediário",
'PROD. 2º MÊS'!C101="Externo",
'PROD. 2º MÊS'!C101="Final"),"-",
'PROD. 2º MÊS'!C101)</f>
        <v>0</v>
      </c>
      <c r="AH183" s="241" t="str">
        <f t="shared" si="71"/>
        <v>-</v>
      </c>
      <c r="AI183" s="242" t="str">
        <f t="shared" si="72"/>
        <v>-</v>
      </c>
      <c r="AK183" s="240">
        <f>IF(OR(
'PROD. 1º MÊS'!C101="Administrativo",
'PROD. 1º MÊS'!C101="Intermediário",
'PROD. 1º MÊS'!C101="Externo",
'PROD. 1º MÊS'!C101="Final"),"-",
'PROD. 1º MÊS'!C101)</f>
        <v>0</v>
      </c>
      <c r="AL183" s="241" t="str">
        <f t="shared" si="73"/>
        <v>-</v>
      </c>
      <c r="AM183" s="242" t="str">
        <f t="shared" si="74"/>
        <v>-</v>
      </c>
      <c r="AO183" s="342">
        <f t="shared" si="86"/>
        <v>0</v>
      </c>
      <c r="AP183" s="341" t="str">
        <f t="array" ref="AP183">IFERROR( INDEX( $AO$89:$AO$553, MATCH( 0, COUNTIF( $AP$87:AP182, $AO$89:$AO$553), 0)), "-")</f>
        <v>-</v>
      </c>
      <c r="AQ183" s="257" t="str">
        <f t="shared" si="75"/>
        <v>-</v>
      </c>
      <c r="AR183" s="258" t="str">
        <f t="shared" si="78"/>
        <v>-</v>
      </c>
      <c r="AS183" s="259" t="str">
        <f t="shared" si="79"/>
        <v>-</v>
      </c>
      <c r="AT183" s="259" t="str">
        <f t="shared" si="80"/>
        <v>-</v>
      </c>
      <c r="AU183" s="260" t="str">
        <f t="shared" si="81"/>
        <v>-</v>
      </c>
      <c r="AV183" s="261" t="str">
        <f t="shared" si="82"/>
        <v>-</v>
      </c>
      <c r="AW183" s="262" t="str">
        <f t="shared" si="83"/>
        <v>-</v>
      </c>
      <c r="AX183" s="262" t="str">
        <f t="shared" si="84"/>
        <v>-</v>
      </c>
      <c r="AY183" s="263" t="str">
        <f t="shared" si="85"/>
        <v>-</v>
      </c>
      <c r="AZ183" s="264" t="str">
        <f t="shared" si="76"/>
        <v>-</v>
      </c>
      <c r="BA183" s="96" t="str">
        <f t="shared" si="77"/>
        <v>-</v>
      </c>
    </row>
    <row r="184" spans="1:53" ht="18.2" customHeight="1" x14ac:dyDescent="0.25">
      <c r="A184" s="79"/>
      <c r="B184" s="699"/>
      <c r="C184" s="699"/>
      <c r="D184" s="699"/>
      <c r="E184" s="699"/>
      <c r="F184" s="699"/>
      <c r="G184" s="699"/>
      <c r="H184" s="699"/>
      <c r="I184" s="699"/>
      <c r="J184" s="699"/>
      <c r="K184" s="699"/>
      <c r="L184" s="699"/>
      <c r="M184" s="699"/>
      <c r="N184" s="699"/>
      <c r="O184" s="699"/>
      <c r="P184" s="699"/>
      <c r="Q184" s="699"/>
      <c r="R184" s="79"/>
      <c r="W184" s="240">
        <f>IF(OR(
'PROD. 4º MÊS'!C102="Administrativo",
'PROD. 4º MÊS'!C102="Intermediário",
'PROD. 4º MÊS'!C102="Externo",
'PROD. 4º MÊS'!C102="Final"),"-",
'PROD. 4º MÊS'!C102)</f>
        <v>0</v>
      </c>
      <c r="X184" s="241" t="str">
        <f t="shared" si="67"/>
        <v>-</v>
      </c>
      <c r="Y184" s="242" t="str">
        <f t="shared" si="68"/>
        <v>-</v>
      </c>
      <c r="AC184" s="240">
        <f>IF(OR(
'PROD. 3º MÊS'!C102="Administrativo",
'PROD. 3º MÊS'!C102="Intermediário",
'PROD. 3º MÊS'!C102="Externo",
'PROD. 3º MÊS'!C102="Final"),"-",
'PROD. 3º MÊS'!C102)</f>
        <v>0</v>
      </c>
      <c r="AD184" s="241" t="str">
        <f t="shared" si="69"/>
        <v>-</v>
      </c>
      <c r="AE184" s="242" t="str">
        <f t="shared" si="70"/>
        <v>-</v>
      </c>
      <c r="AG184" s="240">
        <f>IF(OR(
'PROD. 2º MÊS'!C102="Administrativo",
'PROD. 2º MÊS'!C102="Intermediário",
'PROD. 2º MÊS'!C102="Externo",
'PROD. 2º MÊS'!C102="Final"),"-",
'PROD. 2º MÊS'!C102)</f>
        <v>0</v>
      </c>
      <c r="AH184" s="241" t="str">
        <f t="shared" si="71"/>
        <v>-</v>
      </c>
      <c r="AI184" s="242" t="str">
        <f t="shared" si="72"/>
        <v>-</v>
      </c>
      <c r="AK184" s="240">
        <f>IF(OR(
'PROD. 1º MÊS'!C102="Administrativo",
'PROD. 1º MÊS'!C102="Intermediário",
'PROD. 1º MÊS'!C102="Externo",
'PROD. 1º MÊS'!C102="Final"),"-",
'PROD. 1º MÊS'!C102)</f>
        <v>0</v>
      </c>
      <c r="AL184" s="241" t="str">
        <f t="shared" si="73"/>
        <v>-</v>
      </c>
      <c r="AM184" s="242" t="str">
        <f t="shared" si="74"/>
        <v>-</v>
      </c>
      <c r="AO184" s="342">
        <f t="shared" si="86"/>
        <v>0</v>
      </c>
      <c r="AP184" s="341" t="str">
        <f t="array" ref="AP184">IFERROR( INDEX( $AO$89:$AO$553, MATCH( 0, COUNTIF( $AP$87:AP183, $AO$89:$AO$553), 0)), "-")</f>
        <v>-</v>
      </c>
      <c r="AQ184" s="248" t="str">
        <f t="shared" si="75"/>
        <v>-</v>
      </c>
      <c r="AR184" s="249" t="str">
        <f t="shared" si="78"/>
        <v>-</v>
      </c>
      <c r="AS184" s="250" t="str">
        <f t="shared" si="79"/>
        <v>-</v>
      </c>
      <c r="AT184" s="250" t="str">
        <f t="shared" si="80"/>
        <v>-</v>
      </c>
      <c r="AU184" s="251" t="str">
        <f t="shared" si="81"/>
        <v>-</v>
      </c>
      <c r="AV184" s="252" t="str">
        <f t="shared" si="82"/>
        <v>-</v>
      </c>
      <c r="AW184" s="253" t="str">
        <f t="shared" si="83"/>
        <v>-</v>
      </c>
      <c r="AX184" s="253" t="str">
        <f t="shared" si="84"/>
        <v>-</v>
      </c>
      <c r="AY184" s="254" t="str">
        <f t="shared" si="85"/>
        <v>-</v>
      </c>
      <c r="AZ184" s="255" t="str">
        <f t="shared" si="76"/>
        <v>-</v>
      </c>
      <c r="BA184" s="95" t="str">
        <f t="shared" si="77"/>
        <v>-</v>
      </c>
    </row>
    <row r="185" spans="1:53" ht="18.2" customHeight="1" x14ac:dyDescent="0.25">
      <c r="A185" s="79"/>
      <c r="B185" s="699"/>
      <c r="C185" s="699"/>
      <c r="D185" s="699"/>
      <c r="E185" s="699"/>
      <c r="F185" s="699"/>
      <c r="G185" s="699"/>
      <c r="H185" s="699"/>
      <c r="I185" s="699"/>
      <c r="J185" s="699"/>
      <c r="K185" s="699"/>
      <c r="L185" s="699"/>
      <c r="M185" s="699"/>
      <c r="N185" s="699"/>
      <c r="O185" s="699"/>
      <c r="P185" s="699"/>
      <c r="Q185" s="699"/>
      <c r="R185" s="79"/>
      <c r="W185" s="240">
        <f>IF(OR(
'PROD. 4º MÊS'!C103="Administrativo",
'PROD. 4º MÊS'!C103="Intermediário",
'PROD. 4º MÊS'!C103="Externo",
'PROD. 4º MÊS'!C103="Final"),"-",
'PROD. 4º MÊS'!C103)</f>
        <v>0</v>
      </c>
      <c r="X185" s="241" t="str">
        <f t="shared" ref="X185:X204" si="87" xml:space="preserve"> IFERROR( IF( W185="", "-", VLOOKUP( W185,_1_PROD_ATUAL, 3, 0)),"-")</f>
        <v>-</v>
      </c>
      <c r="Y185" s="242" t="str">
        <f t="shared" ref="Y185:Y204" si="88" xml:space="preserve"> IFERROR( IF( W185="","-", VLOOKUP( W185,_1_PROD_ATUAL, 4, 0)),"-")</f>
        <v>-</v>
      </c>
      <c r="AC185" s="240">
        <f>IF(OR(
'PROD. 3º MÊS'!C103="Administrativo",
'PROD. 3º MÊS'!C103="Intermediário",
'PROD. 3º MÊS'!C103="Externo",
'PROD. 3º MÊS'!C103="Final"),"-",
'PROD. 3º MÊS'!C103)</f>
        <v>0</v>
      </c>
      <c r="AD185" s="241" t="str">
        <f t="shared" ref="AD185:AD204" si="89" xml:space="preserve"> IFERROR( IF( AC185="", "-", VLOOKUP( AC185, _2_PROD_ANTER_, 3, 0)),"-")</f>
        <v>-</v>
      </c>
      <c r="AE185" s="242" t="str">
        <f t="shared" ref="AE185:AE204" si="90" xml:space="preserve"> IFERROR( IF( AC185="","-", VLOOKUP( AC185, _2_PROD_ANTER_, 4, 0)),"-")</f>
        <v>-</v>
      </c>
      <c r="AG185" s="240">
        <f>IF(OR(
'PROD. 2º MÊS'!C103="Administrativo",
'PROD. 2º MÊS'!C103="Intermediário",
'PROD. 2º MÊS'!C103="Externo",
'PROD. 2º MÊS'!C103="Final"),"-",
'PROD. 2º MÊS'!C103)</f>
        <v>0</v>
      </c>
      <c r="AH185" s="241" t="str">
        <f t="shared" ref="AH185:AH204" si="91" xml:space="preserve"> IFERROR( IF( AG185="","-", VLOOKUP( AG185, _3_PROD_2m_, 3, 0)),"-")</f>
        <v>-</v>
      </c>
      <c r="AI185" s="242" t="str">
        <f t="shared" ref="AI185:AI204" si="92" xml:space="preserve"> IFERROR( IF( AG185="","-", VLOOKUP( AG185, _3_PROD_2m_, 4, 0)), "-")</f>
        <v>-</v>
      </c>
      <c r="AK185" s="240">
        <f>IF(OR(
'PROD. 1º MÊS'!C103="Administrativo",
'PROD. 1º MÊS'!C103="Intermediário",
'PROD. 1º MÊS'!C103="Externo",
'PROD. 1º MÊS'!C103="Final"),"-",
'PROD. 1º MÊS'!C103)</f>
        <v>0</v>
      </c>
      <c r="AL185" s="241" t="str">
        <f t="shared" ref="AL185:AL204" si="93" xml:space="preserve"> IFERROR( IF( AK185="","-", VLOOKUP( AK185, _4_PROD_3m_, 3, 0)), "-")</f>
        <v>-</v>
      </c>
      <c r="AM185" s="242" t="str">
        <f t="shared" ref="AM185:AM204" si="94" xml:space="preserve"> IFERROR( IF( AK185="","-", VLOOKUP( AK185, _4_PROD_3m_, 4, 0)), "-")</f>
        <v>-</v>
      </c>
      <c r="AO185" s="342">
        <f t="shared" si="86"/>
        <v>0</v>
      </c>
      <c r="AP185" s="341" t="str">
        <f t="array" ref="AP185">IFERROR( INDEX( $AO$89:$AO$553, MATCH( 0, COUNTIF( $AP$87:AP184, $AO$89:$AO$553), 0)), "-")</f>
        <v>-</v>
      </c>
      <c r="AQ185" s="257" t="str">
        <f t="shared" ref="AQ185:AQ200" si="95" xml:space="preserve"> IFERROR( IF( AP185="","-", MID( AP185, 1, SEARCH( " - ", AP185) -1)), "-")</f>
        <v>-</v>
      </c>
      <c r="AR185" s="258" t="str">
        <f t="shared" si="78"/>
        <v>-</v>
      </c>
      <c r="AS185" s="259" t="str">
        <f t="shared" si="79"/>
        <v>-</v>
      </c>
      <c r="AT185" s="259" t="str">
        <f t="shared" si="80"/>
        <v>-</v>
      </c>
      <c r="AU185" s="260" t="str">
        <f t="shared" si="81"/>
        <v>-</v>
      </c>
      <c r="AV185" s="261" t="str">
        <f t="shared" si="82"/>
        <v>-</v>
      </c>
      <c r="AW185" s="262" t="str">
        <f t="shared" si="83"/>
        <v>-</v>
      </c>
      <c r="AX185" s="262" t="str">
        <f t="shared" si="84"/>
        <v>-</v>
      </c>
      <c r="AY185" s="263" t="str">
        <f t="shared" si="85"/>
        <v>-</v>
      </c>
      <c r="AZ185" s="264" t="str">
        <f t="shared" ref="AZ185:AZ217" si="96" xml:space="preserve"> IFERROR( IF( AQ185="-", "-", AVERAGE( AR185:AU185)), "-")</f>
        <v>-</v>
      </c>
      <c r="BA185" s="96" t="str">
        <f t="shared" ref="BA185:BA217" si="97" xml:space="preserve"> IFERROR( IF( AQ185="-", "-", AVERAGE( AV185:AY185)), "-")</f>
        <v>-</v>
      </c>
    </row>
    <row r="186" spans="1:53" ht="18.2" customHeight="1" x14ac:dyDescent="0.25">
      <c r="A186" s="79"/>
      <c r="B186" s="699"/>
      <c r="C186" s="699"/>
      <c r="D186" s="699"/>
      <c r="E186" s="699"/>
      <c r="F186" s="699"/>
      <c r="G186" s="699"/>
      <c r="H186" s="699"/>
      <c r="I186" s="699"/>
      <c r="J186" s="699"/>
      <c r="K186" s="699"/>
      <c r="L186" s="699"/>
      <c r="M186" s="699"/>
      <c r="N186" s="699"/>
      <c r="O186" s="699"/>
      <c r="P186" s="699"/>
      <c r="Q186" s="699"/>
      <c r="R186" s="79"/>
      <c r="W186" s="240">
        <f>IF(OR(
'PROD. 4º MÊS'!C104="Administrativo",
'PROD. 4º MÊS'!C104="Intermediário",
'PROD. 4º MÊS'!C104="Externo",
'PROD. 4º MÊS'!C104="Final"),"-",
'PROD. 4º MÊS'!C104)</f>
        <v>0</v>
      </c>
      <c r="X186" s="241" t="str">
        <f t="shared" si="87"/>
        <v>-</v>
      </c>
      <c r="Y186" s="242" t="str">
        <f t="shared" si="88"/>
        <v>-</v>
      </c>
      <c r="AC186" s="240">
        <f>IF(OR(
'PROD. 3º MÊS'!C104="Administrativo",
'PROD. 3º MÊS'!C104="Intermediário",
'PROD. 3º MÊS'!C104="Externo",
'PROD. 3º MÊS'!C104="Final"),"-",
'PROD. 3º MÊS'!C104)</f>
        <v>0</v>
      </c>
      <c r="AD186" s="241" t="str">
        <f t="shared" si="89"/>
        <v>-</v>
      </c>
      <c r="AE186" s="242" t="str">
        <f t="shared" si="90"/>
        <v>-</v>
      </c>
      <c r="AG186" s="240">
        <f>IF(OR(
'PROD. 2º MÊS'!C104="Administrativo",
'PROD. 2º MÊS'!C104="Intermediário",
'PROD. 2º MÊS'!C104="Externo",
'PROD. 2º MÊS'!C104="Final"),"-",
'PROD. 2º MÊS'!C104)</f>
        <v>0</v>
      </c>
      <c r="AH186" s="241" t="str">
        <f t="shared" si="91"/>
        <v>-</v>
      </c>
      <c r="AI186" s="242" t="str">
        <f t="shared" si="92"/>
        <v>-</v>
      </c>
      <c r="AK186" s="240">
        <f>IF(OR(
'PROD. 1º MÊS'!C104="Administrativo",
'PROD. 1º MÊS'!C104="Intermediário",
'PROD. 1º MÊS'!C104="Externo",
'PROD. 1º MÊS'!C104="Final"),"-",
'PROD. 1º MÊS'!C104)</f>
        <v>0</v>
      </c>
      <c r="AL186" s="241" t="str">
        <f t="shared" si="93"/>
        <v>-</v>
      </c>
      <c r="AM186" s="242" t="str">
        <f t="shared" si="94"/>
        <v>-</v>
      </c>
      <c r="AO186" s="342">
        <f t="shared" si="86"/>
        <v>0</v>
      </c>
      <c r="AP186" s="341" t="str">
        <f t="array" ref="AP186">IFERROR( INDEX( $AO$89:$AO$553, MATCH( 0, COUNTIF( $AP$87:AP185, $AO$89:$AO$553), 0)), "-")</f>
        <v>-</v>
      </c>
      <c r="AQ186" s="248" t="str">
        <f t="shared" si="95"/>
        <v>-</v>
      </c>
      <c r="AR186" s="249" t="str">
        <f t="shared" ref="AR186:AR218" si="98">IFERROR( IF( $B$8="-", "-", IF(AP186="", "-", VLOOKUP(AP186, $AK$89:$AM$204, 2, 0))), "-")</f>
        <v>-</v>
      </c>
      <c r="AS186" s="250" t="str">
        <f t="shared" ref="AS186:AS218" si="99">IFERROR( IF( $B$8="-", "-", IF(AP186="", "-", VLOOKUP(AP186, $AG$89:$AI$204, 2, 0))), "-")</f>
        <v>-</v>
      </c>
      <c r="AT186" s="250" t="str">
        <f t="shared" ref="AT186:AT218" si="100">IFERROR( IF( $B$8="-", "-", IF(AP186="", "-", VLOOKUP(AP186, $AC$89:$AE$204, 2, 0))), "-")</f>
        <v>-</v>
      </c>
      <c r="AU186" s="251" t="str">
        <f t="shared" ref="AU186:AU218" si="101">IFERROR( IF( $B$8="-", "-", IF(AP186="", "-", VLOOKUP(AP186, $W$89:$Y$204, 2, 0))), "-")</f>
        <v>-</v>
      </c>
      <c r="AV186" s="252" t="str">
        <f t="shared" ref="AV186:AV218" si="102">IFERROR(IF( $B$8="-", "-", IF(AP186="", "-", VLOOKUP(AP186, $AK$89:$AM$204, 3, 0))), "-")</f>
        <v>-</v>
      </c>
      <c r="AW186" s="253" t="str">
        <f t="shared" ref="AW186:AW218" si="103">IFERROR(IF( $B$8="-", "-", IF(AP186="", "-", VLOOKUP(AP186, $AG$89:$AI$204, 3, 0))), "-")</f>
        <v>-</v>
      </c>
      <c r="AX186" s="253" t="str">
        <f t="shared" ref="AX186:AX218" si="104">IFERROR(IF( $B$8="-", "-", IF(AP186="", "-", VLOOKUP(AP186, $AC$89:$AE$204, 3, 0))), "-")</f>
        <v>-</v>
      </c>
      <c r="AY186" s="254" t="str">
        <f t="shared" ref="AY186:AY218" si="105">IFERROR( IF( $B$8="-", "-", IF(AP186="", "-", VLOOKUP(AP186, $W$89:$Y$204, 3, 0))), "-")</f>
        <v>-</v>
      </c>
      <c r="AZ186" s="255" t="str">
        <f t="shared" si="96"/>
        <v>-</v>
      </c>
      <c r="BA186" s="95" t="str">
        <f t="shared" si="97"/>
        <v>-</v>
      </c>
    </row>
    <row r="187" spans="1:53" ht="18.2" customHeight="1" x14ac:dyDescent="0.25">
      <c r="A187" s="79"/>
      <c r="B187" s="699"/>
      <c r="C187" s="699"/>
      <c r="D187" s="699"/>
      <c r="E187" s="699"/>
      <c r="F187" s="699"/>
      <c r="G187" s="699"/>
      <c r="H187" s="699"/>
      <c r="I187" s="699"/>
      <c r="J187" s="699"/>
      <c r="K187" s="699"/>
      <c r="L187" s="699"/>
      <c r="M187" s="699"/>
      <c r="N187" s="699"/>
      <c r="O187" s="699"/>
      <c r="P187" s="699"/>
      <c r="Q187" s="699"/>
      <c r="R187" s="79"/>
      <c r="W187" s="240">
        <f>IF(OR(
'PROD. 4º MÊS'!C105="Administrativo",
'PROD. 4º MÊS'!C105="Intermediário",
'PROD. 4º MÊS'!C105="Externo",
'PROD. 4º MÊS'!C105="Final"),"-",
'PROD. 4º MÊS'!C105)</f>
        <v>0</v>
      </c>
      <c r="X187" s="241" t="str">
        <f t="shared" si="87"/>
        <v>-</v>
      </c>
      <c r="Y187" s="242" t="str">
        <f t="shared" si="88"/>
        <v>-</v>
      </c>
      <c r="AC187" s="240">
        <f>IF(OR(
'PROD. 3º MÊS'!C105="Administrativo",
'PROD. 3º MÊS'!C105="Intermediário",
'PROD. 3º MÊS'!C105="Externo",
'PROD. 3º MÊS'!C105="Final"),"-",
'PROD. 3º MÊS'!C105)</f>
        <v>0</v>
      </c>
      <c r="AD187" s="241" t="str">
        <f t="shared" si="89"/>
        <v>-</v>
      </c>
      <c r="AE187" s="242" t="str">
        <f t="shared" si="90"/>
        <v>-</v>
      </c>
      <c r="AG187" s="240">
        <f>IF(OR(
'PROD. 2º MÊS'!C105="Administrativo",
'PROD. 2º MÊS'!C105="Intermediário",
'PROD. 2º MÊS'!C105="Externo",
'PROD. 2º MÊS'!C105="Final"),"-",
'PROD. 2º MÊS'!C105)</f>
        <v>0</v>
      </c>
      <c r="AH187" s="241" t="str">
        <f t="shared" si="91"/>
        <v>-</v>
      </c>
      <c r="AI187" s="242" t="str">
        <f t="shared" si="92"/>
        <v>-</v>
      </c>
      <c r="AK187" s="240">
        <f>IF(OR(
'PROD. 1º MÊS'!C105="Administrativo",
'PROD. 1º MÊS'!C105="Intermediário",
'PROD. 1º MÊS'!C105="Externo",
'PROD. 1º MÊS'!C105="Final"),"-",
'PROD. 1º MÊS'!C105)</f>
        <v>0</v>
      </c>
      <c r="AL187" s="241" t="str">
        <f t="shared" si="93"/>
        <v>-</v>
      </c>
      <c r="AM187" s="242" t="str">
        <f t="shared" si="94"/>
        <v>-</v>
      </c>
      <c r="AO187" s="342">
        <f t="shared" si="86"/>
        <v>0</v>
      </c>
      <c r="AP187" s="341" t="str">
        <f t="array" ref="AP187">IFERROR( INDEX( $AO$89:$AO$553, MATCH( 0, COUNTIF( $AP$87:AP186, $AO$89:$AO$553), 0)), "-")</f>
        <v>-</v>
      </c>
      <c r="AQ187" s="257" t="str">
        <f t="shared" si="95"/>
        <v>-</v>
      </c>
      <c r="AR187" s="258" t="str">
        <f t="shared" si="98"/>
        <v>-</v>
      </c>
      <c r="AS187" s="259" t="str">
        <f t="shared" si="99"/>
        <v>-</v>
      </c>
      <c r="AT187" s="259" t="str">
        <f t="shared" si="100"/>
        <v>-</v>
      </c>
      <c r="AU187" s="260" t="str">
        <f t="shared" si="101"/>
        <v>-</v>
      </c>
      <c r="AV187" s="261" t="str">
        <f t="shared" si="102"/>
        <v>-</v>
      </c>
      <c r="AW187" s="262" t="str">
        <f t="shared" si="103"/>
        <v>-</v>
      </c>
      <c r="AX187" s="262" t="str">
        <f t="shared" si="104"/>
        <v>-</v>
      </c>
      <c r="AY187" s="263" t="str">
        <f t="shared" si="105"/>
        <v>-</v>
      </c>
      <c r="AZ187" s="264" t="str">
        <f t="shared" si="96"/>
        <v>-</v>
      </c>
      <c r="BA187" s="96" t="str">
        <f t="shared" si="97"/>
        <v>-</v>
      </c>
    </row>
    <row r="188" spans="1:53" ht="18.2" customHeight="1" x14ac:dyDescent="0.25">
      <c r="A188" s="79"/>
      <c r="B188" s="699"/>
      <c r="C188" s="699"/>
      <c r="D188" s="699"/>
      <c r="E188" s="699"/>
      <c r="F188" s="699"/>
      <c r="G188" s="699"/>
      <c r="H188" s="699"/>
      <c r="I188" s="699"/>
      <c r="J188" s="699"/>
      <c r="K188" s="699"/>
      <c r="L188" s="699"/>
      <c r="M188" s="699"/>
      <c r="N188" s="699"/>
      <c r="O188" s="699"/>
      <c r="P188" s="699"/>
      <c r="Q188" s="699"/>
      <c r="R188" s="79"/>
      <c r="W188" s="240">
        <f>IF(OR(
'PROD. 4º MÊS'!C106="Administrativo",
'PROD. 4º MÊS'!C106="Intermediário",
'PROD. 4º MÊS'!C106="Externo",
'PROD. 4º MÊS'!C106="Final"),"-",
'PROD. 4º MÊS'!C106)</f>
        <v>0</v>
      </c>
      <c r="X188" s="241" t="str">
        <f t="shared" si="87"/>
        <v>-</v>
      </c>
      <c r="Y188" s="242" t="str">
        <f t="shared" si="88"/>
        <v>-</v>
      </c>
      <c r="AC188" s="240">
        <f>IF(OR(
'PROD. 3º MÊS'!C106="Administrativo",
'PROD. 3º MÊS'!C106="Intermediário",
'PROD. 3º MÊS'!C106="Externo",
'PROD. 3º MÊS'!C106="Final"),"-",
'PROD. 3º MÊS'!C106)</f>
        <v>0</v>
      </c>
      <c r="AD188" s="241" t="str">
        <f t="shared" si="89"/>
        <v>-</v>
      </c>
      <c r="AE188" s="242" t="str">
        <f t="shared" si="90"/>
        <v>-</v>
      </c>
      <c r="AG188" s="240">
        <f>IF(OR(
'PROD. 2º MÊS'!C106="Administrativo",
'PROD. 2º MÊS'!C106="Intermediário",
'PROD. 2º MÊS'!C106="Externo",
'PROD. 2º MÊS'!C106="Final"),"-",
'PROD. 2º MÊS'!C106)</f>
        <v>0</v>
      </c>
      <c r="AH188" s="241" t="str">
        <f t="shared" si="91"/>
        <v>-</v>
      </c>
      <c r="AI188" s="242" t="str">
        <f t="shared" si="92"/>
        <v>-</v>
      </c>
      <c r="AK188" s="240">
        <f>IF(OR(
'PROD. 1º MÊS'!C106="Administrativo",
'PROD. 1º MÊS'!C106="Intermediário",
'PROD. 1º MÊS'!C106="Externo",
'PROD. 1º MÊS'!C106="Final"),"-",
'PROD. 1º MÊS'!C106)</f>
        <v>0</v>
      </c>
      <c r="AL188" s="241" t="str">
        <f t="shared" si="93"/>
        <v>-</v>
      </c>
      <c r="AM188" s="242" t="str">
        <f t="shared" si="94"/>
        <v>-</v>
      </c>
      <c r="AO188" s="342">
        <f t="shared" si="86"/>
        <v>0</v>
      </c>
      <c r="AP188" s="341" t="str">
        <f t="array" ref="AP188">IFERROR( INDEX( $AO$89:$AO$553, MATCH( 0, COUNTIF( $AP$87:AP187, $AO$89:$AO$553), 0)), "-")</f>
        <v>-</v>
      </c>
      <c r="AQ188" s="248" t="str">
        <f t="shared" si="95"/>
        <v>-</v>
      </c>
      <c r="AR188" s="249" t="str">
        <f t="shared" si="98"/>
        <v>-</v>
      </c>
      <c r="AS188" s="250" t="str">
        <f t="shared" si="99"/>
        <v>-</v>
      </c>
      <c r="AT188" s="250" t="str">
        <f t="shared" si="100"/>
        <v>-</v>
      </c>
      <c r="AU188" s="251" t="str">
        <f t="shared" si="101"/>
        <v>-</v>
      </c>
      <c r="AV188" s="252" t="str">
        <f t="shared" si="102"/>
        <v>-</v>
      </c>
      <c r="AW188" s="253" t="str">
        <f t="shared" si="103"/>
        <v>-</v>
      </c>
      <c r="AX188" s="253" t="str">
        <f t="shared" si="104"/>
        <v>-</v>
      </c>
      <c r="AY188" s="254" t="str">
        <f t="shared" si="105"/>
        <v>-</v>
      </c>
      <c r="AZ188" s="255" t="str">
        <f t="shared" si="96"/>
        <v>-</v>
      </c>
      <c r="BA188" s="95" t="str">
        <f t="shared" si="97"/>
        <v>-</v>
      </c>
    </row>
    <row r="189" spans="1:53" ht="18.2" customHeight="1" x14ac:dyDescent="0.25">
      <c r="A189" s="79"/>
      <c r="B189" s="699"/>
      <c r="C189" s="699"/>
      <c r="D189" s="699"/>
      <c r="E189" s="699"/>
      <c r="F189" s="699"/>
      <c r="G189" s="699"/>
      <c r="H189" s="699"/>
      <c r="I189" s="699"/>
      <c r="J189" s="699"/>
      <c r="K189" s="699"/>
      <c r="L189" s="699"/>
      <c r="M189" s="699"/>
      <c r="N189" s="699"/>
      <c r="O189" s="699"/>
      <c r="P189" s="699"/>
      <c r="Q189" s="699"/>
      <c r="R189" s="79"/>
      <c r="W189" s="240">
        <f>IF(OR(
'PROD. 4º MÊS'!C107="Administrativo",
'PROD. 4º MÊS'!C107="Intermediário",
'PROD. 4º MÊS'!C107="Externo",
'PROD. 4º MÊS'!C107="Final"),"-",
'PROD. 4º MÊS'!C107)</f>
        <v>0</v>
      </c>
      <c r="X189" s="241" t="str">
        <f t="shared" si="87"/>
        <v>-</v>
      </c>
      <c r="Y189" s="242" t="str">
        <f t="shared" si="88"/>
        <v>-</v>
      </c>
      <c r="AC189" s="240">
        <f>IF(OR(
'PROD. 3º MÊS'!C107="Administrativo",
'PROD. 3º MÊS'!C107="Intermediário",
'PROD. 3º MÊS'!C107="Externo",
'PROD. 3º MÊS'!C107="Final"),"-",
'PROD. 3º MÊS'!C107)</f>
        <v>0</v>
      </c>
      <c r="AD189" s="241" t="str">
        <f t="shared" si="89"/>
        <v>-</v>
      </c>
      <c r="AE189" s="242" t="str">
        <f t="shared" si="90"/>
        <v>-</v>
      </c>
      <c r="AG189" s="240">
        <f>IF(OR(
'PROD. 2º MÊS'!C107="Administrativo",
'PROD. 2º MÊS'!C107="Intermediário",
'PROD. 2º MÊS'!C107="Externo",
'PROD. 2º MÊS'!C107="Final"),"-",
'PROD. 2º MÊS'!C107)</f>
        <v>0</v>
      </c>
      <c r="AH189" s="241" t="str">
        <f t="shared" si="91"/>
        <v>-</v>
      </c>
      <c r="AI189" s="242" t="str">
        <f t="shared" si="92"/>
        <v>-</v>
      </c>
      <c r="AK189" s="240">
        <f>IF(OR(
'PROD. 1º MÊS'!C107="Administrativo",
'PROD. 1º MÊS'!C107="Intermediário",
'PROD. 1º MÊS'!C107="Externo",
'PROD. 1º MÊS'!C107="Final"),"-",
'PROD. 1º MÊS'!C107)</f>
        <v>0</v>
      </c>
      <c r="AL189" s="241" t="str">
        <f t="shared" si="93"/>
        <v>-</v>
      </c>
      <c r="AM189" s="242" t="str">
        <f t="shared" si="94"/>
        <v>-</v>
      </c>
      <c r="AO189" s="342">
        <f t="shared" si="86"/>
        <v>0</v>
      </c>
      <c r="AP189" s="341" t="str">
        <f t="array" ref="AP189">IFERROR( INDEX( $AO$89:$AO$553, MATCH( 0, COUNTIF( $AP$87:AP188, $AO$89:$AO$553), 0)), "-")</f>
        <v>-</v>
      </c>
      <c r="AQ189" s="257" t="str">
        <f t="shared" si="95"/>
        <v>-</v>
      </c>
      <c r="AR189" s="258" t="str">
        <f t="shared" si="98"/>
        <v>-</v>
      </c>
      <c r="AS189" s="259" t="str">
        <f t="shared" si="99"/>
        <v>-</v>
      </c>
      <c r="AT189" s="259" t="str">
        <f t="shared" si="100"/>
        <v>-</v>
      </c>
      <c r="AU189" s="260" t="str">
        <f t="shared" si="101"/>
        <v>-</v>
      </c>
      <c r="AV189" s="261" t="str">
        <f t="shared" si="102"/>
        <v>-</v>
      </c>
      <c r="AW189" s="262" t="str">
        <f t="shared" si="103"/>
        <v>-</v>
      </c>
      <c r="AX189" s="262" t="str">
        <f t="shared" si="104"/>
        <v>-</v>
      </c>
      <c r="AY189" s="263" t="str">
        <f t="shared" si="105"/>
        <v>-</v>
      </c>
      <c r="AZ189" s="264" t="str">
        <f t="shared" si="96"/>
        <v>-</v>
      </c>
      <c r="BA189" s="96" t="str">
        <f t="shared" si="97"/>
        <v>-</v>
      </c>
    </row>
    <row r="190" spans="1:53" ht="18.2" customHeight="1" x14ac:dyDescent="0.25">
      <c r="A190" s="79"/>
      <c r="B190" s="699"/>
      <c r="C190" s="699"/>
      <c r="D190" s="699"/>
      <c r="E190" s="699"/>
      <c r="F190" s="699"/>
      <c r="G190" s="699"/>
      <c r="H190" s="699"/>
      <c r="I190" s="699"/>
      <c r="J190" s="699"/>
      <c r="K190" s="699"/>
      <c r="L190" s="699"/>
      <c r="M190" s="699"/>
      <c r="N190" s="699"/>
      <c r="O190" s="699"/>
      <c r="P190" s="699"/>
      <c r="Q190" s="699"/>
      <c r="R190" s="79"/>
      <c r="W190" s="240">
        <f>IF(OR(
'PROD. 4º MÊS'!C108="Administrativo",
'PROD. 4º MÊS'!C108="Intermediário",
'PROD. 4º MÊS'!C108="Externo",
'PROD. 4º MÊS'!C108="Final"),"-",
'PROD. 4º MÊS'!C108)</f>
        <v>0</v>
      </c>
      <c r="X190" s="241" t="str">
        <f t="shared" si="87"/>
        <v>-</v>
      </c>
      <c r="Y190" s="242" t="str">
        <f t="shared" si="88"/>
        <v>-</v>
      </c>
      <c r="AC190" s="240">
        <f>IF(OR(
'PROD. 3º MÊS'!C108="Administrativo",
'PROD. 3º MÊS'!C108="Intermediário",
'PROD. 3º MÊS'!C108="Externo",
'PROD. 3º MÊS'!C108="Final"),"-",
'PROD. 3º MÊS'!C108)</f>
        <v>0</v>
      </c>
      <c r="AD190" s="241" t="str">
        <f t="shared" si="89"/>
        <v>-</v>
      </c>
      <c r="AE190" s="242" t="str">
        <f t="shared" si="90"/>
        <v>-</v>
      </c>
      <c r="AG190" s="240">
        <f>IF(OR(
'PROD. 2º MÊS'!C108="Administrativo",
'PROD. 2º MÊS'!C108="Intermediário",
'PROD. 2º MÊS'!C108="Externo",
'PROD. 2º MÊS'!C108="Final"),"-",
'PROD. 2º MÊS'!C108)</f>
        <v>0</v>
      </c>
      <c r="AH190" s="241" t="str">
        <f t="shared" si="91"/>
        <v>-</v>
      </c>
      <c r="AI190" s="242" t="str">
        <f t="shared" si="92"/>
        <v>-</v>
      </c>
      <c r="AK190" s="240">
        <f>IF(OR(
'PROD. 1º MÊS'!C108="Administrativo",
'PROD. 1º MÊS'!C108="Intermediário",
'PROD. 1º MÊS'!C108="Externo",
'PROD. 1º MÊS'!C108="Final"),"-",
'PROD. 1º MÊS'!C108)</f>
        <v>0</v>
      </c>
      <c r="AL190" s="241" t="str">
        <f t="shared" si="93"/>
        <v>-</v>
      </c>
      <c r="AM190" s="242" t="str">
        <f t="shared" si="94"/>
        <v>-</v>
      </c>
      <c r="AO190" s="342">
        <f t="shared" si="86"/>
        <v>0</v>
      </c>
      <c r="AP190" s="341" t="str">
        <f t="array" ref="AP190">IFERROR( INDEX( $AO$89:$AO$553, MATCH( 0, COUNTIF( $AP$87:AP189, $AO$89:$AO$553), 0)), "-")</f>
        <v>-</v>
      </c>
      <c r="AQ190" s="248" t="str">
        <f t="shared" si="95"/>
        <v>-</v>
      </c>
      <c r="AR190" s="249" t="str">
        <f t="shared" si="98"/>
        <v>-</v>
      </c>
      <c r="AS190" s="250" t="str">
        <f t="shared" si="99"/>
        <v>-</v>
      </c>
      <c r="AT190" s="250" t="str">
        <f t="shared" si="100"/>
        <v>-</v>
      </c>
      <c r="AU190" s="251" t="str">
        <f t="shared" si="101"/>
        <v>-</v>
      </c>
      <c r="AV190" s="252" t="str">
        <f t="shared" si="102"/>
        <v>-</v>
      </c>
      <c r="AW190" s="253" t="str">
        <f t="shared" si="103"/>
        <v>-</v>
      </c>
      <c r="AX190" s="253" t="str">
        <f t="shared" si="104"/>
        <v>-</v>
      </c>
      <c r="AY190" s="254" t="str">
        <f t="shared" si="105"/>
        <v>-</v>
      </c>
      <c r="AZ190" s="255" t="str">
        <f t="shared" si="96"/>
        <v>-</v>
      </c>
      <c r="BA190" s="95" t="str">
        <f t="shared" si="97"/>
        <v>-</v>
      </c>
    </row>
    <row r="191" spans="1:53" ht="18.2" customHeight="1" x14ac:dyDescent="0.25">
      <c r="A191" s="79"/>
      <c r="B191" s="699"/>
      <c r="C191" s="699"/>
      <c r="D191" s="699"/>
      <c r="E191" s="699"/>
      <c r="F191" s="699"/>
      <c r="G191" s="699"/>
      <c r="H191" s="699"/>
      <c r="I191" s="699"/>
      <c r="J191" s="699"/>
      <c r="K191" s="699"/>
      <c r="L191" s="699"/>
      <c r="M191" s="699"/>
      <c r="N191" s="699"/>
      <c r="O191" s="699"/>
      <c r="P191" s="699"/>
      <c r="Q191" s="699"/>
      <c r="R191" s="79"/>
      <c r="W191" s="240">
        <f>IF(OR(
'PROD. 4º MÊS'!C109="Administrativo",
'PROD. 4º MÊS'!C109="Intermediário",
'PROD. 4º MÊS'!C109="Externo",
'PROD. 4º MÊS'!C109="Final"),"-",
'PROD. 4º MÊS'!C109)</f>
        <v>0</v>
      </c>
      <c r="X191" s="241" t="str">
        <f t="shared" si="87"/>
        <v>-</v>
      </c>
      <c r="Y191" s="242" t="str">
        <f t="shared" si="88"/>
        <v>-</v>
      </c>
      <c r="AC191" s="240">
        <f>IF(OR(
'PROD. 3º MÊS'!C109="Administrativo",
'PROD. 3º MÊS'!C109="Intermediário",
'PROD. 3º MÊS'!C109="Externo",
'PROD. 3º MÊS'!C109="Final"),"-",
'PROD. 3º MÊS'!C109)</f>
        <v>0</v>
      </c>
      <c r="AD191" s="241" t="str">
        <f t="shared" si="89"/>
        <v>-</v>
      </c>
      <c r="AE191" s="242" t="str">
        <f t="shared" si="90"/>
        <v>-</v>
      </c>
      <c r="AG191" s="240">
        <f>IF(OR(
'PROD. 2º MÊS'!C109="Administrativo",
'PROD. 2º MÊS'!C109="Intermediário",
'PROD. 2º MÊS'!C109="Externo",
'PROD. 2º MÊS'!C109="Final"),"-",
'PROD. 2º MÊS'!C109)</f>
        <v>0</v>
      </c>
      <c r="AH191" s="241" t="str">
        <f t="shared" si="91"/>
        <v>-</v>
      </c>
      <c r="AI191" s="242" t="str">
        <f t="shared" si="92"/>
        <v>-</v>
      </c>
      <c r="AK191" s="240">
        <f>IF(OR(
'PROD. 1º MÊS'!C109="Administrativo",
'PROD. 1º MÊS'!C109="Intermediário",
'PROD. 1º MÊS'!C109="Externo",
'PROD. 1º MÊS'!C109="Final"),"-",
'PROD. 1º MÊS'!C109)</f>
        <v>0</v>
      </c>
      <c r="AL191" s="241" t="str">
        <f t="shared" si="93"/>
        <v>-</v>
      </c>
      <c r="AM191" s="242" t="str">
        <f t="shared" si="94"/>
        <v>-</v>
      </c>
      <c r="AO191" s="342">
        <f t="shared" si="86"/>
        <v>0</v>
      </c>
      <c r="AP191" s="341" t="str">
        <f t="array" ref="AP191">IFERROR( INDEX( $AO$89:$AO$553, MATCH( 0, COUNTIF( $AP$87:AP190, $AO$89:$AO$553), 0)), "-")</f>
        <v>-</v>
      </c>
      <c r="AQ191" s="257" t="str">
        <f t="shared" si="95"/>
        <v>-</v>
      </c>
      <c r="AR191" s="258" t="str">
        <f t="shared" si="98"/>
        <v>-</v>
      </c>
      <c r="AS191" s="259" t="str">
        <f t="shared" si="99"/>
        <v>-</v>
      </c>
      <c r="AT191" s="259" t="str">
        <f t="shared" si="100"/>
        <v>-</v>
      </c>
      <c r="AU191" s="260" t="str">
        <f t="shared" si="101"/>
        <v>-</v>
      </c>
      <c r="AV191" s="261" t="str">
        <f t="shared" si="102"/>
        <v>-</v>
      </c>
      <c r="AW191" s="262" t="str">
        <f t="shared" si="103"/>
        <v>-</v>
      </c>
      <c r="AX191" s="262" t="str">
        <f t="shared" si="104"/>
        <v>-</v>
      </c>
      <c r="AY191" s="263" t="str">
        <f t="shared" si="105"/>
        <v>-</v>
      </c>
      <c r="AZ191" s="264" t="str">
        <f t="shared" si="96"/>
        <v>-</v>
      </c>
      <c r="BA191" s="96" t="str">
        <f t="shared" si="97"/>
        <v>-</v>
      </c>
    </row>
    <row r="192" spans="1:53" ht="18.2" customHeight="1" x14ac:dyDescent="0.25">
      <c r="A192" s="79"/>
      <c r="B192" s="699"/>
      <c r="C192" s="699"/>
      <c r="D192" s="699"/>
      <c r="E192" s="699"/>
      <c r="F192" s="699"/>
      <c r="G192" s="699"/>
      <c r="H192" s="699"/>
      <c r="I192" s="699"/>
      <c r="J192" s="699"/>
      <c r="K192" s="699"/>
      <c r="L192" s="699"/>
      <c r="M192" s="699"/>
      <c r="N192" s="699"/>
      <c r="O192" s="699"/>
      <c r="P192" s="699"/>
      <c r="Q192" s="699"/>
      <c r="R192" s="79"/>
      <c r="W192" s="240">
        <f>IF(OR(
'PROD. 4º MÊS'!C110="Administrativo",
'PROD. 4º MÊS'!C110="Intermediário",
'PROD. 4º MÊS'!C110="Externo",
'PROD. 4º MÊS'!C110="Final"),"-",
'PROD. 4º MÊS'!C110)</f>
        <v>0</v>
      </c>
      <c r="X192" s="241" t="str">
        <f t="shared" si="87"/>
        <v>-</v>
      </c>
      <c r="Y192" s="242" t="str">
        <f t="shared" si="88"/>
        <v>-</v>
      </c>
      <c r="AC192" s="240">
        <f>IF(OR(
'PROD. 3º MÊS'!C110="Administrativo",
'PROD. 3º MÊS'!C110="Intermediário",
'PROD. 3º MÊS'!C110="Externo",
'PROD. 3º MÊS'!C110="Final"),"-",
'PROD. 3º MÊS'!C110)</f>
        <v>0</v>
      </c>
      <c r="AD192" s="241" t="str">
        <f t="shared" si="89"/>
        <v>-</v>
      </c>
      <c r="AE192" s="242" t="str">
        <f t="shared" si="90"/>
        <v>-</v>
      </c>
      <c r="AG192" s="240">
        <f>IF(OR(
'PROD. 2º MÊS'!C110="Administrativo",
'PROD. 2º MÊS'!C110="Intermediário",
'PROD. 2º MÊS'!C110="Externo",
'PROD. 2º MÊS'!C110="Final"),"-",
'PROD. 2º MÊS'!C110)</f>
        <v>0</v>
      </c>
      <c r="AH192" s="241" t="str">
        <f t="shared" si="91"/>
        <v>-</v>
      </c>
      <c r="AI192" s="242" t="str">
        <f t="shared" si="92"/>
        <v>-</v>
      </c>
      <c r="AK192" s="240">
        <f>IF(OR(
'PROD. 1º MÊS'!C110="Administrativo",
'PROD. 1º MÊS'!C110="Intermediário",
'PROD. 1º MÊS'!C110="Externo",
'PROD. 1º MÊS'!C110="Final"),"-",
'PROD. 1º MÊS'!C110)</f>
        <v>0</v>
      </c>
      <c r="AL192" s="241" t="str">
        <f t="shared" si="93"/>
        <v>-</v>
      </c>
      <c r="AM192" s="242" t="str">
        <f t="shared" si="94"/>
        <v>-</v>
      </c>
      <c r="AO192" s="342">
        <f t="shared" si="86"/>
        <v>0</v>
      </c>
      <c r="AP192" s="341" t="str">
        <f t="array" ref="AP192">IFERROR( INDEX( $AO$89:$AO$553, MATCH( 0, COUNTIF( $AP$87:AP191, $AO$89:$AO$553), 0)), "-")</f>
        <v>-</v>
      </c>
      <c r="AQ192" s="248" t="str">
        <f t="shared" si="95"/>
        <v>-</v>
      </c>
      <c r="AR192" s="249" t="str">
        <f t="shared" si="98"/>
        <v>-</v>
      </c>
      <c r="AS192" s="250" t="str">
        <f t="shared" si="99"/>
        <v>-</v>
      </c>
      <c r="AT192" s="250" t="str">
        <f t="shared" si="100"/>
        <v>-</v>
      </c>
      <c r="AU192" s="251" t="str">
        <f t="shared" si="101"/>
        <v>-</v>
      </c>
      <c r="AV192" s="252" t="str">
        <f t="shared" si="102"/>
        <v>-</v>
      </c>
      <c r="AW192" s="253" t="str">
        <f t="shared" si="103"/>
        <v>-</v>
      </c>
      <c r="AX192" s="253" t="str">
        <f t="shared" si="104"/>
        <v>-</v>
      </c>
      <c r="AY192" s="254" t="str">
        <f t="shared" si="105"/>
        <v>-</v>
      </c>
      <c r="AZ192" s="255" t="str">
        <f t="shared" si="96"/>
        <v>-</v>
      </c>
      <c r="BA192" s="95" t="str">
        <f t="shared" si="97"/>
        <v>-</v>
      </c>
    </row>
    <row r="193" spans="1:53" ht="18.2" customHeight="1" x14ac:dyDescent="0.25">
      <c r="A193" s="79"/>
      <c r="B193" s="699"/>
      <c r="C193" s="699"/>
      <c r="D193" s="699"/>
      <c r="E193" s="699"/>
      <c r="F193" s="699"/>
      <c r="G193" s="699"/>
      <c r="H193" s="699"/>
      <c r="I193" s="699"/>
      <c r="J193" s="699"/>
      <c r="K193" s="699"/>
      <c r="L193" s="699"/>
      <c r="M193" s="699"/>
      <c r="N193" s="699"/>
      <c r="O193" s="699"/>
      <c r="P193" s="699"/>
      <c r="Q193" s="699"/>
      <c r="R193" s="79"/>
      <c r="W193" s="240">
        <f>IF(OR(
'PROD. 4º MÊS'!C111="Administrativo",
'PROD. 4º MÊS'!C111="Intermediário",
'PROD. 4º MÊS'!C111="Externo",
'PROD. 4º MÊS'!C111="Final"),"-",
'PROD. 4º MÊS'!C111)</f>
        <v>0</v>
      </c>
      <c r="X193" s="241" t="str">
        <f t="shared" si="87"/>
        <v>-</v>
      </c>
      <c r="Y193" s="242" t="str">
        <f t="shared" si="88"/>
        <v>-</v>
      </c>
      <c r="AC193" s="240">
        <f>IF(OR(
'PROD. 3º MÊS'!C111="Administrativo",
'PROD. 3º MÊS'!C111="Intermediário",
'PROD. 3º MÊS'!C111="Externo",
'PROD. 3º MÊS'!C111="Final"),"-",
'PROD. 3º MÊS'!C111)</f>
        <v>0</v>
      </c>
      <c r="AD193" s="241" t="str">
        <f t="shared" si="89"/>
        <v>-</v>
      </c>
      <c r="AE193" s="242" t="str">
        <f t="shared" si="90"/>
        <v>-</v>
      </c>
      <c r="AG193" s="240">
        <f>IF(OR(
'PROD. 2º MÊS'!C111="Administrativo",
'PROD. 2º MÊS'!C111="Intermediário",
'PROD. 2º MÊS'!C111="Externo",
'PROD. 2º MÊS'!C111="Final"),"-",
'PROD. 2º MÊS'!C111)</f>
        <v>0</v>
      </c>
      <c r="AH193" s="241" t="str">
        <f t="shared" si="91"/>
        <v>-</v>
      </c>
      <c r="AI193" s="242" t="str">
        <f t="shared" si="92"/>
        <v>-</v>
      </c>
      <c r="AK193" s="240">
        <f>IF(OR(
'PROD. 1º MÊS'!C111="Administrativo",
'PROD. 1º MÊS'!C111="Intermediário",
'PROD. 1º MÊS'!C111="Externo",
'PROD. 1º MÊS'!C111="Final"),"-",
'PROD. 1º MÊS'!C111)</f>
        <v>0</v>
      </c>
      <c r="AL193" s="241" t="str">
        <f t="shared" si="93"/>
        <v>-</v>
      </c>
      <c r="AM193" s="242" t="str">
        <f t="shared" si="94"/>
        <v>-</v>
      </c>
      <c r="AO193" s="342">
        <f t="shared" si="86"/>
        <v>0</v>
      </c>
      <c r="AP193" s="341" t="str">
        <f t="array" ref="AP193">IFERROR( INDEX( $AO$89:$AO$553, MATCH( 0, COUNTIF( $AP$87:AP192, $AO$89:$AO$553), 0)), "-")</f>
        <v>-</v>
      </c>
      <c r="AQ193" s="257" t="str">
        <f t="shared" si="95"/>
        <v>-</v>
      </c>
      <c r="AR193" s="258" t="str">
        <f t="shared" si="98"/>
        <v>-</v>
      </c>
      <c r="AS193" s="259" t="str">
        <f t="shared" si="99"/>
        <v>-</v>
      </c>
      <c r="AT193" s="259" t="str">
        <f t="shared" si="100"/>
        <v>-</v>
      </c>
      <c r="AU193" s="260" t="str">
        <f t="shared" si="101"/>
        <v>-</v>
      </c>
      <c r="AV193" s="261" t="str">
        <f t="shared" si="102"/>
        <v>-</v>
      </c>
      <c r="AW193" s="262" t="str">
        <f t="shared" si="103"/>
        <v>-</v>
      </c>
      <c r="AX193" s="262" t="str">
        <f t="shared" si="104"/>
        <v>-</v>
      </c>
      <c r="AY193" s="263" t="str">
        <f t="shared" si="105"/>
        <v>-</v>
      </c>
      <c r="AZ193" s="264" t="str">
        <f t="shared" si="96"/>
        <v>-</v>
      </c>
      <c r="BA193" s="96" t="str">
        <f t="shared" si="97"/>
        <v>-</v>
      </c>
    </row>
    <row r="194" spans="1:53" ht="18.2" customHeight="1" x14ac:dyDescent="0.25">
      <c r="A194" s="79"/>
      <c r="B194" s="699"/>
      <c r="C194" s="699"/>
      <c r="D194" s="699"/>
      <c r="E194" s="699"/>
      <c r="F194" s="699"/>
      <c r="G194" s="699"/>
      <c r="H194" s="699"/>
      <c r="I194" s="699"/>
      <c r="J194" s="699"/>
      <c r="K194" s="699"/>
      <c r="L194" s="699"/>
      <c r="M194" s="699"/>
      <c r="N194" s="699"/>
      <c r="O194" s="699"/>
      <c r="P194" s="699"/>
      <c r="Q194" s="699"/>
      <c r="R194" s="79"/>
      <c r="W194" s="240">
        <f>IF(OR(
'PROD. 4º MÊS'!C112="Administrativo",
'PROD. 4º MÊS'!C112="Intermediário",
'PROD. 4º MÊS'!C112="Externo",
'PROD. 4º MÊS'!C112="Final"),"-",
'PROD. 4º MÊS'!C112)</f>
        <v>0</v>
      </c>
      <c r="X194" s="241" t="str">
        <f t="shared" si="87"/>
        <v>-</v>
      </c>
      <c r="Y194" s="242" t="str">
        <f t="shared" si="88"/>
        <v>-</v>
      </c>
      <c r="AC194" s="240">
        <f>IF(OR(
'PROD. 3º MÊS'!C112="Administrativo",
'PROD. 3º MÊS'!C112="Intermediário",
'PROD. 3º MÊS'!C112="Externo",
'PROD. 3º MÊS'!C112="Final"),"-",
'PROD. 3º MÊS'!C112)</f>
        <v>0</v>
      </c>
      <c r="AD194" s="241" t="str">
        <f t="shared" si="89"/>
        <v>-</v>
      </c>
      <c r="AE194" s="242" t="str">
        <f t="shared" si="90"/>
        <v>-</v>
      </c>
      <c r="AG194" s="240">
        <f>IF(OR(
'PROD. 2º MÊS'!C112="Administrativo",
'PROD. 2º MÊS'!C112="Intermediário",
'PROD. 2º MÊS'!C112="Externo",
'PROD. 2º MÊS'!C112="Final"),"-",
'PROD. 2º MÊS'!C112)</f>
        <v>0</v>
      </c>
      <c r="AH194" s="241" t="str">
        <f t="shared" si="91"/>
        <v>-</v>
      </c>
      <c r="AI194" s="242" t="str">
        <f t="shared" si="92"/>
        <v>-</v>
      </c>
      <c r="AK194" s="240">
        <f>IF(OR(
'PROD. 1º MÊS'!C112="Administrativo",
'PROD. 1º MÊS'!C112="Intermediário",
'PROD. 1º MÊS'!C112="Externo",
'PROD. 1º MÊS'!C112="Final"),"-",
'PROD. 1º MÊS'!C112)</f>
        <v>0</v>
      </c>
      <c r="AL194" s="241" t="str">
        <f t="shared" si="93"/>
        <v>-</v>
      </c>
      <c r="AM194" s="242" t="str">
        <f t="shared" si="94"/>
        <v>-</v>
      </c>
      <c r="AO194" s="342">
        <f t="shared" si="86"/>
        <v>0</v>
      </c>
      <c r="AP194" s="341" t="str">
        <f t="array" ref="AP194">IFERROR( INDEX( $AO$89:$AO$553, MATCH( 0, COUNTIF( $AP$87:AP193, $AO$89:$AO$553), 0)), "-")</f>
        <v>-</v>
      </c>
      <c r="AQ194" s="248" t="str">
        <f t="shared" si="95"/>
        <v>-</v>
      </c>
      <c r="AR194" s="249" t="str">
        <f t="shared" si="98"/>
        <v>-</v>
      </c>
      <c r="AS194" s="250" t="str">
        <f t="shared" si="99"/>
        <v>-</v>
      </c>
      <c r="AT194" s="250" t="str">
        <f t="shared" si="100"/>
        <v>-</v>
      </c>
      <c r="AU194" s="251" t="str">
        <f t="shared" si="101"/>
        <v>-</v>
      </c>
      <c r="AV194" s="252" t="str">
        <f t="shared" si="102"/>
        <v>-</v>
      </c>
      <c r="AW194" s="253" t="str">
        <f t="shared" si="103"/>
        <v>-</v>
      </c>
      <c r="AX194" s="253" t="str">
        <f t="shared" si="104"/>
        <v>-</v>
      </c>
      <c r="AY194" s="254" t="str">
        <f t="shared" si="105"/>
        <v>-</v>
      </c>
      <c r="AZ194" s="255" t="str">
        <f t="shared" si="96"/>
        <v>-</v>
      </c>
      <c r="BA194" s="95" t="str">
        <f t="shared" si="97"/>
        <v>-</v>
      </c>
    </row>
    <row r="195" spans="1:53" ht="18.2" customHeight="1" x14ac:dyDescent="0.25">
      <c r="A195" s="79"/>
      <c r="B195" s="699"/>
      <c r="C195" s="699"/>
      <c r="D195" s="699"/>
      <c r="E195" s="699"/>
      <c r="F195" s="699"/>
      <c r="G195" s="699"/>
      <c r="H195" s="699"/>
      <c r="I195" s="699"/>
      <c r="J195" s="699"/>
      <c r="K195" s="699"/>
      <c r="L195" s="699"/>
      <c r="M195" s="699"/>
      <c r="N195" s="699"/>
      <c r="O195" s="699"/>
      <c r="P195" s="699"/>
      <c r="Q195" s="699"/>
      <c r="R195" s="79"/>
      <c r="W195" s="240">
        <f>IF(OR(
'PROD. 4º MÊS'!C113="Administrativo",
'PROD. 4º MÊS'!C113="Intermediário",
'PROD. 4º MÊS'!C113="Externo",
'PROD. 4º MÊS'!C113="Final"),"-",
'PROD. 4º MÊS'!C113)</f>
        <v>0</v>
      </c>
      <c r="X195" s="241" t="str">
        <f t="shared" si="87"/>
        <v>-</v>
      </c>
      <c r="Y195" s="242" t="str">
        <f t="shared" si="88"/>
        <v>-</v>
      </c>
      <c r="AC195" s="240">
        <f>IF(OR(
'PROD. 3º MÊS'!C113="Administrativo",
'PROD. 3º MÊS'!C113="Intermediário",
'PROD. 3º MÊS'!C113="Externo",
'PROD. 3º MÊS'!C113="Final"),"-",
'PROD. 3º MÊS'!C113)</f>
        <v>0</v>
      </c>
      <c r="AD195" s="241" t="str">
        <f t="shared" si="89"/>
        <v>-</v>
      </c>
      <c r="AE195" s="242" t="str">
        <f t="shared" si="90"/>
        <v>-</v>
      </c>
      <c r="AG195" s="240">
        <f>IF(OR(
'PROD. 2º MÊS'!C113="Administrativo",
'PROD. 2º MÊS'!C113="Intermediário",
'PROD. 2º MÊS'!C113="Externo",
'PROD. 2º MÊS'!C113="Final"),"-",
'PROD. 2º MÊS'!C113)</f>
        <v>0</v>
      </c>
      <c r="AH195" s="241" t="str">
        <f t="shared" si="91"/>
        <v>-</v>
      </c>
      <c r="AI195" s="242" t="str">
        <f t="shared" si="92"/>
        <v>-</v>
      </c>
      <c r="AK195" s="240">
        <f>IF(OR(
'PROD. 1º MÊS'!C113="Administrativo",
'PROD. 1º MÊS'!C113="Intermediário",
'PROD. 1º MÊS'!C113="Externo",
'PROD. 1º MÊS'!C113="Final"),"-",
'PROD. 1º MÊS'!C113)</f>
        <v>0</v>
      </c>
      <c r="AL195" s="241" t="str">
        <f t="shared" si="93"/>
        <v>-</v>
      </c>
      <c r="AM195" s="242" t="str">
        <f t="shared" si="94"/>
        <v>-</v>
      </c>
      <c r="AO195" s="342">
        <f t="shared" si="86"/>
        <v>0</v>
      </c>
      <c r="AP195" s="341" t="str">
        <f t="array" ref="AP195">IFERROR( INDEX( $AO$89:$AO$553, MATCH( 0, COUNTIF( $AP$87:AP194, $AO$89:$AO$553), 0)), "-")</f>
        <v>-</v>
      </c>
      <c r="AQ195" s="257" t="str">
        <f t="shared" si="95"/>
        <v>-</v>
      </c>
      <c r="AR195" s="258" t="str">
        <f t="shared" si="98"/>
        <v>-</v>
      </c>
      <c r="AS195" s="259" t="str">
        <f t="shared" si="99"/>
        <v>-</v>
      </c>
      <c r="AT195" s="259" t="str">
        <f t="shared" si="100"/>
        <v>-</v>
      </c>
      <c r="AU195" s="260" t="str">
        <f t="shared" si="101"/>
        <v>-</v>
      </c>
      <c r="AV195" s="261" t="str">
        <f t="shared" si="102"/>
        <v>-</v>
      </c>
      <c r="AW195" s="262" t="str">
        <f t="shared" si="103"/>
        <v>-</v>
      </c>
      <c r="AX195" s="262" t="str">
        <f t="shared" si="104"/>
        <v>-</v>
      </c>
      <c r="AY195" s="263" t="str">
        <f t="shared" si="105"/>
        <v>-</v>
      </c>
      <c r="AZ195" s="264" t="str">
        <f t="shared" si="96"/>
        <v>-</v>
      </c>
      <c r="BA195" s="96" t="str">
        <f t="shared" si="97"/>
        <v>-</v>
      </c>
    </row>
    <row r="196" spans="1:53" ht="18.2" customHeight="1" x14ac:dyDescent="0.25">
      <c r="A196" s="79"/>
      <c r="B196" s="699"/>
      <c r="C196" s="699"/>
      <c r="D196" s="699"/>
      <c r="E196" s="699"/>
      <c r="F196" s="699"/>
      <c r="G196" s="699"/>
      <c r="H196" s="699"/>
      <c r="I196" s="699"/>
      <c r="J196" s="699"/>
      <c r="K196" s="699"/>
      <c r="L196" s="699"/>
      <c r="M196" s="699"/>
      <c r="N196" s="699"/>
      <c r="O196" s="699"/>
      <c r="P196" s="699"/>
      <c r="Q196" s="699"/>
      <c r="R196" s="79"/>
      <c r="W196" s="240">
        <f>IF(OR(
'PROD. 4º MÊS'!C114="Administrativo",
'PROD. 4º MÊS'!C114="Intermediário",
'PROD. 4º MÊS'!C114="Externo",
'PROD. 4º MÊS'!C114="Final"),"-",
'PROD. 4º MÊS'!C114)</f>
        <v>0</v>
      </c>
      <c r="X196" s="241" t="str">
        <f t="shared" si="87"/>
        <v>-</v>
      </c>
      <c r="Y196" s="242" t="str">
        <f t="shared" si="88"/>
        <v>-</v>
      </c>
      <c r="AC196" s="240">
        <f>IF(OR(
'PROD. 3º MÊS'!C114="Administrativo",
'PROD. 3º MÊS'!C114="Intermediário",
'PROD. 3º MÊS'!C114="Externo",
'PROD. 3º MÊS'!C114="Final"),"-",
'PROD. 3º MÊS'!C114)</f>
        <v>0</v>
      </c>
      <c r="AD196" s="241" t="str">
        <f t="shared" si="89"/>
        <v>-</v>
      </c>
      <c r="AE196" s="242" t="str">
        <f t="shared" si="90"/>
        <v>-</v>
      </c>
      <c r="AG196" s="240">
        <f>IF(OR(
'PROD. 2º MÊS'!C114="Administrativo",
'PROD. 2º MÊS'!C114="Intermediário",
'PROD. 2º MÊS'!C114="Externo",
'PROD. 2º MÊS'!C114="Final"),"-",
'PROD. 2º MÊS'!C114)</f>
        <v>0</v>
      </c>
      <c r="AH196" s="241" t="str">
        <f t="shared" si="91"/>
        <v>-</v>
      </c>
      <c r="AI196" s="242" t="str">
        <f t="shared" si="92"/>
        <v>-</v>
      </c>
      <c r="AK196" s="240">
        <f>IF(OR(
'PROD. 1º MÊS'!C114="Administrativo",
'PROD. 1º MÊS'!C114="Intermediário",
'PROD. 1º MÊS'!C114="Externo",
'PROD. 1º MÊS'!C114="Final"),"-",
'PROD. 1º MÊS'!C114)</f>
        <v>0</v>
      </c>
      <c r="AL196" s="241" t="str">
        <f t="shared" si="93"/>
        <v>-</v>
      </c>
      <c r="AM196" s="242" t="str">
        <f t="shared" si="94"/>
        <v>-</v>
      </c>
      <c r="AO196" s="342">
        <f t="shared" si="86"/>
        <v>0</v>
      </c>
      <c r="AP196" s="341" t="str">
        <f t="array" ref="AP196">IFERROR( INDEX( $AO$89:$AO$553, MATCH( 0, COUNTIF( $AP$87:AP195, $AO$89:$AO$553), 0)), "-")</f>
        <v>-</v>
      </c>
      <c r="AQ196" s="248" t="str">
        <f t="shared" si="95"/>
        <v>-</v>
      </c>
      <c r="AR196" s="249" t="str">
        <f t="shared" si="98"/>
        <v>-</v>
      </c>
      <c r="AS196" s="250" t="str">
        <f t="shared" si="99"/>
        <v>-</v>
      </c>
      <c r="AT196" s="250" t="str">
        <f t="shared" si="100"/>
        <v>-</v>
      </c>
      <c r="AU196" s="251" t="str">
        <f t="shared" si="101"/>
        <v>-</v>
      </c>
      <c r="AV196" s="252" t="str">
        <f t="shared" si="102"/>
        <v>-</v>
      </c>
      <c r="AW196" s="253" t="str">
        <f t="shared" si="103"/>
        <v>-</v>
      </c>
      <c r="AX196" s="253" t="str">
        <f t="shared" si="104"/>
        <v>-</v>
      </c>
      <c r="AY196" s="254" t="str">
        <f t="shared" si="105"/>
        <v>-</v>
      </c>
      <c r="AZ196" s="255" t="str">
        <f t="shared" si="96"/>
        <v>-</v>
      </c>
      <c r="BA196" s="95" t="str">
        <f t="shared" si="97"/>
        <v>-</v>
      </c>
    </row>
    <row r="197" spans="1:53" ht="18.2" customHeight="1" x14ac:dyDescent="0.25">
      <c r="A197" s="79"/>
      <c r="B197" s="699"/>
      <c r="C197" s="699"/>
      <c r="D197" s="699"/>
      <c r="E197" s="699"/>
      <c r="F197" s="699"/>
      <c r="G197" s="699"/>
      <c r="H197" s="699"/>
      <c r="I197" s="699"/>
      <c r="J197" s="699"/>
      <c r="K197" s="699"/>
      <c r="L197" s="699"/>
      <c r="M197" s="699"/>
      <c r="N197" s="699"/>
      <c r="O197" s="699"/>
      <c r="P197" s="699"/>
      <c r="Q197" s="699"/>
      <c r="R197" s="79"/>
      <c r="W197" s="240">
        <f>IF(OR(
'PROD. 4º MÊS'!C115="Administrativo",
'PROD. 4º MÊS'!C115="Intermediário",
'PROD. 4º MÊS'!C115="Externo",
'PROD. 4º MÊS'!C115="Final"),"-",
'PROD. 4º MÊS'!C115)</f>
        <v>0</v>
      </c>
      <c r="X197" s="241" t="str">
        <f t="shared" si="87"/>
        <v>-</v>
      </c>
      <c r="Y197" s="242" t="str">
        <f t="shared" si="88"/>
        <v>-</v>
      </c>
      <c r="AC197" s="240">
        <f>IF(OR(
'PROD. 3º MÊS'!C115="Administrativo",
'PROD. 3º MÊS'!C115="Intermediário",
'PROD. 3º MÊS'!C115="Externo",
'PROD. 3º MÊS'!C115="Final"),"-",
'PROD. 3º MÊS'!C115)</f>
        <v>0</v>
      </c>
      <c r="AD197" s="241" t="str">
        <f t="shared" si="89"/>
        <v>-</v>
      </c>
      <c r="AE197" s="242" t="str">
        <f t="shared" si="90"/>
        <v>-</v>
      </c>
      <c r="AG197" s="240">
        <f>IF(OR(
'PROD. 2º MÊS'!C115="Administrativo",
'PROD. 2º MÊS'!C115="Intermediário",
'PROD. 2º MÊS'!C115="Externo",
'PROD. 2º MÊS'!C115="Final"),"-",
'PROD. 2º MÊS'!C115)</f>
        <v>0</v>
      </c>
      <c r="AH197" s="241" t="str">
        <f t="shared" si="91"/>
        <v>-</v>
      </c>
      <c r="AI197" s="242" t="str">
        <f t="shared" si="92"/>
        <v>-</v>
      </c>
      <c r="AK197" s="240">
        <f>IF(OR(
'PROD. 1º MÊS'!C115="Administrativo",
'PROD. 1º MÊS'!C115="Intermediário",
'PROD. 1º MÊS'!C115="Externo",
'PROD. 1º MÊS'!C115="Final"),"-",
'PROD. 1º MÊS'!C115)</f>
        <v>0</v>
      </c>
      <c r="AL197" s="241" t="str">
        <f t="shared" si="93"/>
        <v>-</v>
      </c>
      <c r="AM197" s="242" t="str">
        <f t="shared" si="94"/>
        <v>-</v>
      </c>
      <c r="AO197" s="342">
        <f t="shared" si="86"/>
        <v>0</v>
      </c>
      <c r="AP197" s="341" t="str">
        <f t="array" ref="AP197">IFERROR( INDEX( $AO$89:$AO$553, MATCH( 0, COUNTIF( $AP$87:AP196, $AO$89:$AO$553), 0)), "-")</f>
        <v>-</v>
      </c>
      <c r="AQ197" s="257" t="str">
        <f t="shared" si="95"/>
        <v>-</v>
      </c>
      <c r="AR197" s="258" t="str">
        <f t="shared" si="98"/>
        <v>-</v>
      </c>
      <c r="AS197" s="259" t="str">
        <f t="shared" si="99"/>
        <v>-</v>
      </c>
      <c r="AT197" s="259" t="str">
        <f t="shared" si="100"/>
        <v>-</v>
      </c>
      <c r="AU197" s="260" t="str">
        <f t="shared" si="101"/>
        <v>-</v>
      </c>
      <c r="AV197" s="261" t="str">
        <f t="shared" si="102"/>
        <v>-</v>
      </c>
      <c r="AW197" s="262" t="str">
        <f t="shared" si="103"/>
        <v>-</v>
      </c>
      <c r="AX197" s="262" t="str">
        <f t="shared" si="104"/>
        <v>-</v>
      </c>
      <c r="AY197" s="263" t="str">
        <f t="shared" si="105"/>
        <v>-</v>
      </c>
      <c r="AZ197" s="264" t="str">
        <f t="shared" si="96"/>
        <v>-</v>
      </c>
      <c r="BA197" s="96" t="str">
        <f t="shared" si="97"/>
        <v>-</v>
      </c>
    </row>
    <row r="198" spans="1:53" ht="18.2" customHeight="1" x14ac:dyDescent="0.25">
      <c r="A198" s="79"/>
      <c r="B198" s="699"/>
      <c r="C198" s="699"/>
      <c r="D198" s="699"/>
      <c r="E198" s="699"/>
      <c r="F198" s="699"/>
      <c r="G198" s="699"/>
      <c r="H198" s="699"/>
      <c r="I198" s="699"/>
      <c r="J198" s="699"/>
      <c r="K198" s="699"/>
      <c r="L198" s="699"/>
      <c r="M198" s="699"/>
      <c r="N198" s="699"/>
      <c r="O198" s="699"/>
      <c r="P198" s="699"/>
      <c r="Q198" s="699"/>
      <c r="R198" s="79"/>
      <c r="W198" s="240">
        <f>IF(OR(
'PROD. 4º MÊS'!C116="Administrativo",
'PROD. 4º MÊS'!C116="Intermediário",
'PROD. 4º MÊS'!C116="Externo",
'PROD. 4º MÊS'!C116="Final"),"-",
'PROD. 4º MÊS'!C116)</f>
        <v>0</v>
      </c>
      <c r="X198" s="241" t="str">
        <f t="shared" si="87"/>
        <v>-</v>
      </c>
      <c r="Y198" s="242" t="str">
        <f t="shared" si="88"/>
        <v>-</v>
      </c>
      <c r="AC198" s="240">
        <f>IF(OR(
'PROD. 3º MÊS'!C116="Administrativo",
'PROD. 3º MÊS'!C116="Intermediário",
'PROD. 3º MÊS'!C116="Externo",
'PROD. 3º MÊS'!C116="Final"),"-",
'PROD. 3º MÊS'!C116)</f>
        <v>0</v>
      </c>
      <c r="AD198" s="241" t="str">
        <f t="shared" si="89"/>
        <v>-</v>
      </c>
      <c r="AE198" s="242" t="str">
        <f t="shared" si="90"/>
        <v>-</v>
      </c>
      <c r="AG198" s="240">
        <f>IF(OR(
'PROD. 2º MÊS'!C116="Administrativo",
'PROD. 2º MÊS'!C116="Intermediário",
'PROD. 2º MÊS'!C116="Externo",
'PROD. 2º MÊS'!C116="Final"),"-",
'PROD. 2º MÊS'!C116)</f>
        <v>0</v>
      </c>
      <c r="AH198" s="241" t="str">
        <f t="shared" si="91"/>
        <v>-</v>
      </c>
      <c r="AI198" s="242" t="str">
        <f t="shared" si="92"/>
        <v>-</v>
      </c>
      <c r="AK198" s="240">
        <f>IF(OR(
'PROD. 1º MÊS'!C116="Administrativo",
'PROD. 1º MÊS'!C116="Intermediário",
'PROD. 1º MÊS'!C116="Externo",
'PROD. 1º MÊS'!C116="Final"),"-",
'PROD. 1º MÊS'!C116)</f>
        <v>0</v>
      </c>
      <c r="AL198" s="241" t="str">
        <f t="shared" si="93"/>
        <v>-</v>
      </c>
      <c r="AM198" s="242" t="str">
        <f t="shared" si="94"/>
        <v>-</v>
      </c>
      <c r="AO198" s="342">
        <f t="shared" si="86"/>
        <v>0</v>
      </c>
      <c r="AP198" s="341" t="str">
        <f t="array" ref="AP198">IFERROR( INDEX( $AO$89:$AO$553, MATCH( 0, COUNTIF( $AP$87:AP197, $AO$89:$AO$553), 0)), "-")</f>
        <v>-</v>
      </c>
      <c r="AQ198" s="248" t="str">
        <f t="shared" si="95"/>
        <v>-</v>
      </c>
      <c r="AR198" s="249" t="str">
        <f t="shared" si="98"/>
        <v>-</v>
      </c>
      <c r="AS198" s="250" t="str">
        <f t="shared" si="99"/>
        <v>-</v>
      </c>
      <c r="AT198" s="250" t="str">
        <f t="shared" si="100"/>
        <v>-</v>
      </c>
      <c r="AU198" s="251" t="str">
        <f t="shared" si="101"/>
        <v>-</v>
      </c>
      <c r="AV198" s="252" t="str">
        <f t="shared" si="102"/>
        <v>-</v>
      </c>
      <c r="AW198" s="253" t="str">
        <f t="shared" si="103"/>
        <v>-</v>
      </c>
      <c r="AX198" s="253" t="str">
        <f t="shared" si="104"/>
        <v>-</v>
      </c>
      <c r="AY198" s="254" t="str">
        <f t="shared" si="105"/>
        <v>-</v>
      </c>
      <c r="AZ198" s="255" t="str">
        <f t="shared" si="96"/>
        <v>-</v>
      </c>
      <c r="BA198" s="95" t="str">
        <f t="shared" si="97"/>
        <v>-</v>
      </c>
    </row>
    <row r="199" spans="1:53" ht="18.2" customHeight="1" x14ac:dyDescent="0.25">
      <c r="A199" s="79"/>
      <c r="B199" s="699"/>
      <c r="C199" s="699"/>
      <c r="D199" s="699"/>
      <c r="E199" s="699"/>
      <c r="F199" s="699"/>
      <c r="G199" s="699"/>
      <c r="H199" s="699"/>
      <c r="I199" s="699"/>
      <c r="J199" s="699"/>
      <c r="K199" s="699"/>
      <c r="L199" s="699"/>
      <c r="M199" s="699"/>
      <c r="N199" s="699"/>
      <c r="O199" s="699"/>
      <c r="P199" s="699"/>
      <c r="Q199" s="699"/>
      <c r="R199" s="79"/>
      <c r="W199" s="240">
        <f>IF(OR(
'PROD. 4º MÊS'!C117="Administrativo",
'PROD. 4º MÊS'!C117="Intermediário",
'PROD. 4º MÊS'!C117="Externo",
'PROD. 4º MÊS'!C117="Final"),"-",
'PROD. 4º MÊS'!C117)</f>
        <v>0</v>
      </c>
      <c r="X199" s="241" t="str">
        <f t="shared" si="87"/>
        <v>-</v>
      </c>
      <c r="Y199" s="242" t="str">
        <f t="shared" si="88"/>
        <v>-</v>
      </c>
      <c r="AC199" s="240">
        <f>IF(OR(
'PROD. 3º MÊS'!C117="Administrativo",
'PROD. 3º MÊS'!C117="Intermediário",
'PROD. 3º MÊS'!C117="Externo",
'PROD. 3º MÊS'!C117="Final"),"-",
'PROD. 3º MÊS'!C117)</f>
        <v>0</v>
      </c>
      <c r="AD199" s="241" t="str">
        <f t="shared" si="89"/>
        <v>-</v>
      </c>
      <c r="AE199" s="242" t="str">
        <f t="shared" si="90"/>
        <v>-</v>
      </c>
      <c r="AG199" s="240">
        <f>IF(OR(
'PROD. 2º MÊS'!C117="Administrativo",
'PROD. 2º MÊS'!C117="Intermediário",
'PROD. 2º MÊS'!C117="Externo",
'PROD. 2º MÊS'!C117="Final"),"-",
'PROD. 2º MÊS'!C117)</f>
        <v>0</v>
      </c>
      <c r="AH199" s="241" t="str">
        <f t="shared" si="91"/>
        <v>-</v>
      </c>
      <c r="AI199" s="242" t="str">
        <f t="shared" si="92"/>
        <v>-</v>
      </c>
      <c r="AK199" s="240">
        <f>IF(OR(
'PROD. 1º MÊS'!C117="Administrativo",
'PROD. 1º MÊS'!C117="Intermediário",
'PROD. 1º MÊS'!C117="Externo",
'PROD. 1º MÊS'!C117="Final"),"-",
'PROD. 1º MÊS'!C117)</f>
        <v>0</v>
      </c>
      <c r="AL199" s="241" t="str">
        <f t="shared" si="93"/>
        <v>-</v>
      </c>
      <c r="AM199" s="242" t="str">
        <f t="shared" si="94"/>
        <v>-</v>
      </c>
      <c r="AO199" s="342">
        <f t="shared" si="86"/>
        <v>0</v>
      </c>
      <c r="AP199" s="341" t="str">
        <f t="array" ref="AP199">IFERROR( INDEX( $AO$89:$AO$553, MATCH( 0, COUNTIF( $AP$87:AP198, $AO$89:$AO$553), 0)), "-")</f>
        <v>-</v>
      </c>
      <c r="AQ199" s="257" t="str">
        <f t="shared" si="95"/>
        <v>-</v>
      </c>
      <c r="AR199" s="258" t="str">
        <f t="shared" si="98"/>
        <v>-</v>
      </c>
      <c r="AS199" s="259" t="str">
        <f t="shared" si="99"/>
        <v>-</v>
      </c>
      <c r="AT199" s="259" t="str">
        <f t="shared" si="100"/>
        <v>-</v>
      </c>
      <c r="AU199" s="260" t="str">
        <f t="shared" si="101"/>
        <v>-</v>
      </c>
      <c r="AV199" s="261" t="str">
        <f t="shared" si="102"/>
        <v>-</v>
      </c>
      <c r="AW199" s="262" t="str">
        <f t="shared" si="103"/>
        <v>-</v>
      </c>
      <c r="AX199" s="262" t="str">
        <f t="shared" si="104"/>
        <v>-</v>
      </c>
      <c r="AY199" s="263" t="str">
        <f t="shared" si="105"/>
        <v>-</v>
      </c>
      <c r="AZ199" s="264" t="str">
        <f t="shared" si="96"/>
        <v>-</v>
      </c>
      <c r="BA199" s="96" t="str">
        <f t="shared" si="97"/>
        <v>-</v>
      </c>
    </row>
    <row r="200" spans="1:53" ht="18.2" customHeight="1" x14ac:dyDescent="0.25">
      <c r="A200" s="79"/>
      <c r="B200" s="699"/>
      <c r="C200" s="699"/>
      <c r="D200" s="699"/>
      <c r="E200" s="699"/>
      <c r="F200" s="699"/>
      <c r="G200" s="699"/>
      <c r="H200" s="699"/>
      <c r="I200" s="699"/>
      <c r="J200" s="699"/>
      <c r="K200" s="699"/>
      <c r="L200" s="699"/>
      <c r="M200" s="699"/>
      <c r="N200" s="699"/>
      <c r="O200" s="699"/>
      <c r="P200" s="699"/>
      <c r="Q200" s="699"/>
      <c r="R200" s="79"/>
      <c r="W200" s="240">
        <f>IF(OR(
'PROD. 4º MÊS'!C118="Administrativo",
'PROD. 4º MÊS'!C118="Intermediário",
'PROD. 4º MÊS'!C118="Externo",
'PROD. 4º MÊS'!C118="Final"),"-",
'PROD. 4º MÊS'!C118)</f>
        <v>0</v>
      </c>
      <c r="X200" s="241" t="str">
        <f t="shared" si="87"/>
        <v>-</v>
      </c>
      <c r="Y200" s="242" t="str">
        <f t="shared" si="88"/>
        <v>-</v>
      </c>
      <c r="AC200" s="240">
        <f>IF(OR(
'PROD. 3º MÊS'!C118="Administrativo",
'PROD. 3º MÊS'!C118="Intermediário",
'PROD. 3º MÊS'!C118="Externo",
'PROD. 3º MÊS'!C118="Final"),"-",
'PROD. 3º MÊS'!C118)</f>
        <v>0</v>
      </c>
      <c r="AD200" s="241" t="str">
        <f t="shared" si="89"/>
        <v>-</v>
      </c>
      <c r="AE200" s="242" t="str">
        <f t="shared" si="90"/>
        <v>-</v>
      </c>
      <c r="AG200" s="240">
        <f>IF(OR(
'PROD. 2º MÊS'!C118="Administrativo",
'PROD. 2º MÊS'!C118="Intermediário",
'PROD. 2º MÊS'!C118="Externo",
'PROD. 2º MÊS'!C118="Final"),"-",
'PROD. 2º MÊS'!C118)</f>
        <v>0</v>
      </c>
      <c r="AH200" s="241" t="str">
        <f t="shared" si="91"/>
        <v>-</v>
      </c>
      <c r="AI200" s="242" t="str">
        <f t="shared" si="92"/>
        <v>-</v>
      </c>
      <c r="AK200" s="240">
        <f>IF(OR(
'PROD. 1º MÊS'!C118="Administrativo",
'PROD. 1º MÊS'!C118="Intermediário",
'PROD. 1º MÊS'!C118="Externo",
'PROD. 1º MÊS'!C118="Final"),"-",
'PROD. 1º MÊS'!C118)</f>
        <v>0</v>
      </c>
      <c r="AL200" s="241" t="str">
        <f t="shared" si="93"/>
        <v>-</v>
      </c>
      <c r="AM200" s="242" t="str">
        <f t="shared" si="94"/>
        <v>-</v>
      </c>
      <c r="AO200" s="342">
        <f t="shared" si="86"/>
        <v>0</v>
      </c>
      <c r="AP200" s="341" t="str">
        <f t="array" ref="AP200">IFERROR( INDEX( $AO$89:$AO$553, MATCH( 0, COUNTIF( $AP$87:AP199, $AO$89:$AO$553), 0)), "-")</f>
        <v>-</v>
      </c>
      <c r="AQ200" s="248" t="str">
        <f t="shared" si="95"/>
        <v>-</v>
      </c>
      <c r="AR200" s="249" t="str">
        <f t="shared" si="98"/>
        <v>-</v>
      </c>
      <c r="AS200" s="250" t="str">
        <f t="shared" si="99"/>
        <v>-</v>
      </c>
      <c r="AT200" s="250" t="str">
        <f t="shared" si="100"/>
        <v>-</v>
      </c>
      <c r="AU200" s="251" t="str">
        <f t="shared" si="101"/>
        <v>-</v>
      </c>
      <c r="AV200" s="252" t="str">
        <f t="shared" si="102"/>
        <v>-</v>
      </c>
      <c r="AW200" s="253" t="str">
        <f t="shared" si="103"/>
        <v>-</v>
      </c>
      <c r="AX200" s="253" t="str">
        <f t="shared" si="104"/>
        <v>-</v>
      </c>
      <c r="AY200" s="254" t="str">
        <f t="shared" si="105"/>
        <v>-</v>
      </c>
      <c r="AZ200" s="255" t="str">
        <f t="shared" si="96"/>
        <v>-</v>
      </c>
      <c r="BA200" s="95" t="str">
        <f t="shared" si="97"/>
        <v>-</v>
      </c>
    </row>
    <row r="201" spans="1:53" ht="18.2" customHeight="1" x14ac:dyDescent="0.25">
      <c r="A201" s="79"/>
      <c r="B201" s="699"/>
      <c r="C201" s="699"/>
      <c r="D201" s="699"/>
      <c r="E201" s="699"/>
      <c r="F201" s="699"/>
      <c r="G201" s="699"/>
      <c r="H201" s="699"/>
      <c r="I201" s="699"/>
      <c r="J201" s="699"/>
      <c r="K201" s="699"/>
      <c r="L201" s="699"/>
      <c r="M201" s="699"/>
      <c r="N201" s="699"/>
      <c r="O201" s="699"/>
      <c r="P201" s="699"/>
      <c r="Q201" s="699"/>
      <c r="R201" s="79"/>
      <c r="W201" s="240">
        <f>IF(OR(
'PROD. 4º MÊS'!C119="Administrativo",
'PROD. 4º MÊS'!C119="Intermediário",
'PROD. 4º MÊS'!C119="Externo",
'PROD. 4º MÊS'!C119="Final"),"-",
'PROD. 4º MÊS'!C119)</f>
        <v>0</v>
      </c>
      <c r="X201" s="241" t="str">
        <f t="shared" si="87"/>
        <v>-</v>
      </c>
      <c r="Y201" s="242" t="str">
        <f t="shared" si="88"/>
        <v>-</v>
      </c>
      <c r="AC201" s="240">
        <f>IF(OR(
'PROD. 3º MÊS'!C119="Administrativo",
'PROD. 3º MÊS'!C119="Intermediário",
'PROD. 3º MÊS'!C119="Externo",
'PROD. 3º MÊS'!C119="Final"),"-",
'PROD. 3º MÊS'!C119)</f>
        <v>0</v>
      </c>
      <c r="AD201" s="241" t="str">
        <f t="shared" si="89"/>
        <v>-</v>
      </c>
      <c r="AE201" s="242" t="str">
        <f t="shared" si="90"/>
        <v>-</v>
      </c>
      <c r="AG201" s="240">
        <f>IF(OR(
'PROD. 2º MÊS'!C119="Administrativo",
'PROD. 2º MÊS'!C119="Intermediário",
'PROD. 2º MÊS'!C119="Externo",
'PROD. 2º MÊS'!C119="Final"),"-",
'PROD. 2º MÊS'!C119)</f>
        <v>0</v>
      </c>
      <c r="AH201" s="241" t="str">
        <f t="shared" si="91"/>
        <v>-</v>
      </c>
      <c r="AI201" s="242" t="str">
        <f t="shared" si="92"/>
        <v>-</v>
      </c>
      <c r="AK201" s="240">
        <f>IF(OR(
'PROD. 1º MÊS'!C119="Administrativo",
'PROD. 1º MÊS'!C119="Intermediário",
'PROD. 1º MÊS'!C119="Externo",
'PROD. 1º MÊS'!C119="Final"),"-",
'PROD. 1º MÊS'!C119)</f>
        <v>0</v>
      </c>
      <c r="AL201" s="241" t="str">
        <f t="shared" si="93"/>
        <v>-</v>
      </c>
      <c r="AM201" s="242" t="str">
        <f t="shared" si="94"/>
        <v>-</v>
      </c>
      <c r="AO201" s="342">
        <f t="shared" si="86"/>
        <v>0</v>
      </c>
      <c r="AP201" s="341" t="str">
        <f t="array" ref="AP201">IFERROR( INDEX( $AO$89:$AO$553, MATCH( 0, COUNTIF( $AP$87:AP200, $AO$89:$AO$553), 0)), "-")</f>
        <v>-</v>
      </c>
      <c r="AQ201" s="257" t="str">
        <f t="shared" ref="AQ201:AQ266" si="106" xml:space="preserve"> IFERROR( IF( AP201="","-", MID( AP201, 1, SEARCH( " - ", AP201) -1)), "-")</f>
        <v>-</v>
      </c>
      <c r="AR201" s="258" t="str">
        <f t="shared" si="98"/>
        <v>-</v>
      </c>
      <c r="AS201" s="259" t="str">
        <f t="shared" si="99"/>
        <v>-</v>
      </c>
      <c r="AT201" s="259" t="str">
        <f t="shared" si="100"/>
        <v>-</v>
      </c>
      <c r="AU201" s="260" t="str">
        <f t="shared" si="101"/>
        <v>-</v>
      </c>
      <c r="AV201" s="261" t="str">
        <f t="shared" si="102"/>
        <v>-</v>
      </c>
      <c r="AW201" s="262" t="str">
        <f t="shared" si="103"/>
        <v>-</v>
      </c>
      <c r="AX201" s="262" t="str">
        <f t="shared" si="104"/>
        <v>-</v>
      </c>
      <c r="AY201" s="263" t="str">
        <f t="shared" si="105"/>
        <v>-</v>
      </c>
      <c r="AZ201" s="264" t="str">
        <f t="shared" si="96"/>
        <v>-</v>
      </c>
      <c r="BA201" s="96" t="str">
        <f t="shared" si="97"/>
        <v>-</v>
      </c>
    </row>
    <row r="202" spans="1:53" ht="18.2" customHeight="1" x14ac:dyDescent="0.25">
      <c r="A202" s="79"/>
      <c r="B202" s="699"/>
      <c r="C202" s="699"/>
      <c r="D202" s="699"/>
      <c r="E202" s="699"/>
      <c r="F202" s="699"/>
      <c r="G202" s="699"/>
      <c r="H202" s="699"/>
      <c r="I202" s="699"/>
      <c r="J202" s="699"/>
      <c r="K202" s="699"/>
      <c r="L202" s="699"/>
      <c r="M202" s="699"/>
      <c r="N202" s="699"/>
      <c r="O202" s="699"/>
      <c r="P202" s="699"/>
      <c r="Q202" s="699"/>
      <c r="R202" s="79"/>
      <c r="W202" s="240">
        <f>IF(OR(
'PROD. 4º MÊS'!C120="Administrativo",
'PROD. 4º MÊS'!C120="Intermediário",
'PROD. 4º MÊS'!C120="Externo",
'PROD. 4º MÊS'!C120="Final"),"-",
'PROD. 4º MÊS'!C120)</f>
        <v>0</v>
      </c>
      <c r="X202" s="241" t="str">
        <f t="shared" si="87"/>
        <v>-</v>
      </c>
      <c r="Y202" s="242" t="str">
        <f t="shared" si="88"/>
        <v>-</v>
      </c>
      <c r="AC202" s="240">
        <f>IF(OR(
'PROD. 3º MÊS'!C120="Administrativo",
'PROD. 3º MÊS'!C120="Intermediário",
'PROD. 3º MÊS'!C120="Externo",
'PROD. 3º MÊS'!C120="Final"),"-",
'PROD. 3º MÊS'!C120)</f>
        <v>0</v>
      </c>
      <c r="AD202" s="241" t="str">
        <f t="shared" si="89"/>
        <v>-</v>
      </c>
      <c r="AE202" s="242" t="str">
        <f t="shared" si="90"/>
        <v>-</v>
      </c>
      <c r="AG202" s="240">
        <f>IF(OR(
'PROD. 2º MÊS'!C120="Administrativo",
'PROD. 2º MÊS'!C120="Intermediário",
'PROD. 2º MÊS'!C120="Externo",
'PROD. 2º MÊS'!C120="Final"),"-",
'PROD. 2º MÊS'!C120)</f>
        <v>0</v>
      </c>
      <c r="AH202" s="241" t="str">
        <f t="shared" si="91"/>
        <v>-</v>
      </c>
      <c r="AI202" s="242" t="str">
        <f t="shared" si="92"/>
        <v>-</v>
      </c>
      <c r="AK202" s="240">
        <f>IF(OR(
'PROD. 1º MÊS'!C120="Administrativo",
'PROD. 1º MÊS'!C120="Intermediário",
'PROD. 1º MÊS'!C120="Externo",
'PROD. 1º MÊS'!C120="Final"),"-",
'PROD. 1º MÊS'!C120)</f>
        <v>0</v>
      </c>
      <c r="AL202" s="241" t="str">
        <f t="shared" si="93"/>
        <v>-</v>
      </c>
      <c r="AM202" s="242" t="str">
        <f t="shared" si="94"/>
        <v>-</v>
      </c>
      <c r="AO202" s="342">
        <f t="shared" si="86"/>
        <v>0</v>
      </c>
      <c r="AP202" s="341" t="str">
        <f t="array" ref="AP202">IFERROR( INDEX( $AO$89:$AO$553, MATCH( 0, COUNTIF( $AP$87:AP201, $AO$89:$AO$553), 0)), "-")</f>
        <v>-</v>
      </c>
      <c r="AQ202" s="248" t="str">
        <f t="shared" si="106"/>
        <v>-</v>
      </c>
      <c r="AR202" s="249" t="str">
        <f t="shared" si="98"/>
        <v>-</v>
      </c>
      <c r="AS202" s="250" t="str">
        <f t="shared" si="99"/>
        <v>-</v>
      </c>
      <c r="AT202" s="250" t="str">
        <f t="shared" si="100"/>
        <v>-</v>
      </c>
      <c r="AU202" s="251" t="str">
        <f t="shared" si="101"/>
        <v>-</v>
      </c>
      <c r="AV202" s="252" t="str">
        <f t="shared" si="102"/>
        <v>-</v>
      </c>
      <c r="AW202" s="253" t="str">
        <f t="shared" si="103"/>
        <v>-</v>
      </c>
      <c r="AX202" s="253" t="str">
        <f t="shared" si="104"/>
        <v>-</v>
      </c>
      <c r="AY202" s="254" t="str">
        <f t="shared" si="105"/>
        <v>-</v>
      </c>
      <c r="AZ202" s="255" t="str">
        <f t="shared" si="96"/>
        <v>-</v>
      </c>
      <c r="BA202" s="95" t="str">
        <f t="shared" si="97"/>
        <v>-</v>
      </c>
    </row>
    <row r="203" spans="1:53" ht="18.2" customHeight="1" x14ac:dyDescent="0.25">
      <c r="A203" s="79"/>
      <c r="B203" s="699"/>
      <c r="C203" s="699"/>
      <c r="D203" s="699"/>
      <c r="E203" s="699"/>
      <c r="F203" s="699"/>
      <c r="G203" s="699"/>
      <c r="H203" s="699"/>
      <c r="I203" s="699"/>
      <c r="J203" s="699"/>
      <c r="K203" s="699"/>
      <c r="L203" s="699"/>
      <c r="M203" s="699"/>
      <c r="N203" s="699"/>
      <c r="O203" s="699"/>
      <c r="P203" s="699"/>
      <c r="Q203" s="699"/>
      <c r="R203" s="79"/>
      <c r="W203" s="240">
        <f>IF(OR(
'PROD. 4º MÊS'!C121="Administrativo",
'PROD. 4º MÊS'!C121="Intermediário",
'PROD. 4º MÊS'!C121="Externo",
'PROD. 4º MÊS'!C121="Final"),"-",
'PROD. 4º MÊS'!C121)</f>
        <v>0</v>
      </c>
      <c r="X203" s="241" t="str">
        <f t="shared" si="87"/>
        <v>-</v>
      </c>
      <c r="Y203" s="242" t="str">
        <f t="shared" si="88"/>
        <v>-</v>
      </c>
      <c r="AC203" s="240">
        <f>IF(OR(
'PROD. 3º MÊS'!C121="Administrativo",
'PROD. 3º MÊS'!C121="Intermediário",
'PROD. 3º MÊS'!C121="Externo",
'PROD. 3º MÊS'!C121="Final"),"-",
'PROD. 3º MÊS'!C121)</f>
        <v>0</v>
      </c>
      <c r="AD203" s="241" t="str">
        <f t="shared" si="89"/>
        <v>-</v>
      </c>
      <c r="AE203" s="242" t="str">
        <f t="shared" si="90"/>
        <v>-</v>
      </c>
      <c r="AG203" s="240">
        <f>IF(OR(
'PROD. 2º MÊS'!C121="Administrativo",
'PROD. 2º MÊS'!C121="Intermediário",
'PROD. 2º MÊS'!C121="Externo",
'PROD. 2º MÊS'!C121="Final"),"-",
'PROD. 2º MÊS'!C121)</f>
        <v>0</v>
      </c>
      <c r="AH203" s="241" t="str">
        <f t="shared" si="91"/>
        <v>-</v>
      </c>
      <c r="AI203" s="242" t="str">
        <f t="shared" si="92"/>
        <v>-</v>
      </c>
      <c r="AK203" s="240">
        <f>IF(OR(
'PROD. 1º MÊS'!C121="Administrativo",
'PROD. 1º MÊS'!C121="Intermediário",
'PROD. 1º MÊS'!C121="Externo",
'PROD. 1º MÊS'!C121="Final"),"-",
'PROD. 1º MÊS'!C121)</f>
        <v>0</v>
      </c>
      <c r="AL203" s="241" t="str">
        <f t="shared" si="93"/>
        <v>-</v>
      </c>
      <c r="AM203" s="242" t="str">
        <f t="shared" si="94"/>
        <v>-</v>
      </c>
      <c r="AO203" s="342">
        <f t="shared" si="86"/>
        <v>0</v>
      </c>
      <c r="AP203" s="341" t="str">
        <f t="array" ref="AP203">IFERROR( INDEX( $AO$89:$AO$553, MATCH( 0, COUNTIF( $AP$87:AP202, $AO$89:$AO$553), 0)), "-")</f>
        <v>-</v>
      </c>
      <c r="AQ203" s="257" t="str">
        <f t="shared" si="106"/>
        <v>-</v>
      </c>
      <c r="AR203" s="258" t="str">
        <f t="shared" si="98"/>
        <v>-</v>
      </c>
      <c r="AS203" s="259" t="str">
        <f t="shared" si="99"/>
        <v>-</v>
      </c>
      <c r="AT203" s="259" t="str">
        <f t="shared" si="100"/>
        <v>-</v>
      </c>
      <c r="AU203" s="260" t="str">
        <f t="shared" si="101"/>
        <v>-</v>
      </c>
      <c r="AV203" s="261" t="str">
        <f t="shared" si="102"/>
        <v>-</v>
      </c>
      <c r="AW203" s="262" t="str">
        <f t="shared" si="103"/>
        <v>-</v>
      </c>
      <c r="AX203" s="262" t="str">
        <f t="shared" si="104"/>
        <v>-</v>
      </c>
      <c r="AY203" s="263" t="str">
        <f t="shared" si="105"/>
        <v>-</v>
      </c>
      <c r="AZ203" s="264" t="str">
        <f t="shared" si="96"/>
        <v>-</v>
      </c>
      <c r="BA203" s="96" t="str">
        <f t="shared" si="97"/>
        <v>-</v>
      </c>
    </row>
    <row r="204" spans="1:53" ht="18.2" customHeight="1" thickBot="1" x14ac:dyDescent="0.3">
      <c r="A204" s="79"/>
      <c r="B204" s="699"/>
      <c r="C204" s="699"/>
      <c r="D204" s="699"/>
      <c r="E204" s="699"/>
      <c r="F204" s="699"/>
      <c r="G204" s="699"/>
      <c r="H204" s="699"/>
      <c r="I204" s="699"/>
      <c r="J204" s="699"/>
      <c r="K204" s="699"/>
      <c r="L204" s="699"/>
      <c r="M204" s="699"/>
      <c r="N204" s="699"/>
      <c r="O204" s="699"/>
      <c r="P204" s="699"/>
      <c r="Q204" s="699"/>
      <c r="R204" s="79"/>
      <c r="W204" s="240">
        <f>IF(OR(
'PROD. 4º MÊS'!C122="Administrativo",
'PROD. 4º MÊS'!C122="Intermediário",
'PROD. 4º MÊS'!C122="Externo",
'PROD. 4º MÊS'!C122="Final"),"-",
'PROD. 4º MÊS'!C122)</f>
        <v>0</v>
      </c>
      <c r="X204" s="241" t="str">
        <f t="shared" si="87"/>
        <v>-</v>
      </c>
      <c r="Y204" s="242" t="str">
        <f t="shared" si="88"/>
        <v>-</v>
      </c>
      <c r="AC204" s="240">
        <f>IF(OR(
'PROD. 3º MÊS'!C122="Administrativo",
'PROD. 3º MÊS'!C122="Intermediário",
'PROD. 3º MÊS'!C122="Externo",
'PROD. 3º MÊS'!C122="Final"),"-",
'PROD. 3º MÊS'!C122)</f>
        <v>0</v>
      </c>
      <c r="AD204" s="241" t="str">
        <f t="shared" si="89"/>
        <v>-</v>
      </c>
      <c r="AE204" s="242" t="str">
        <f t="shared" si="90"/>
        <v>-</v>
      </c>
      <c r="AG204" s="240">
        <f>IF(OR(
'PROD. 2º MÊS'!C122="Administrativo",
'PROD. 2º MÊS'!C122="Intermediário",
'PROD. 2º MÊS'!C122="Externo",
'PROD. 2º MÊS'!C122="Final"),"-",
'PROD. 2º MÊS'!C122)</f>
        <v>0</v>
      </c>
      <c r="AH204" s="241" t="str">
        <f t="shared" si="91"/>
        <v>-</v>
      </c>
      <c r="AI204" s="242" t="str">
        <f t="shared" si="92"/>
        <v>-</v>
      </c>
      <c r="AK204" s="240">
        <f>IF(OR(
'PROD. 1º MÊS'!C122="Administrativo",
'PROD. 1º MÊS'!C122="Intermediário",
'PROD. 1º MÊS'!C122="Externo",
'PROD. 1º MÊS'!C122="Final"),"-",
'PROD. 1º MÊS'!C122)</f>
        <v>0</v>
      </c>
      <c r="AL204" s="241" t="str">
        <f t="shared" si="93"/>
        <v>-</v>
      </c>
      <c r="AM204" s="242" t="str">
        <f t="shared" si="94"/>
        <v>-</v>
      </c>
      <c r="AO204" s="343">
        <f t="shared" si="86"/>
        <v>0</v>
      </c>
      <c r="AP204" s="341" t="str">
        <f t="array" ref="AP204">IFERROR( INDEX( $AO$89:$AO$553, MATCH( 0, COUNTIF( $AP$87:AP203, $AO$89:$AO$553), 0)), "-")</f>
        <v>-</v>
      </c>
      <c r="AQ204" s="248" t="str">
        <f t="shared" si="106"/>
        <v>-</v>
      </c>
      <c r="AR204" s="249" t="str">
        <f t="shared" si="98"/>
        <v>-</v>
      </c>
      <c r="AS204" s="250" t="str">
        <f t="shared" si="99"/>
        <v>-</v>
      </c>
      <c r="AT204" s="250" t="str">
        <f t="shared" si="100"/>
        <v>-</v>
      </c>
      <c r="AU204" s="251" t="str">
        <f t="shared" si="101"/>
        <v>-</v>
      </c>
      <c r="AV204" s="252" t="str">
        <f t="shared" si="102"/>
        <v>-</v>
      </c>
      <c r="AW204" s="253" t="str">
        <f t="shared" si="103"/>
        <v>-</v>
      </c>
      <c r="AX204" s="253" t="str">
        <f t="shared" si="104"/>
        <v>-</v>
      </c>
      <c r="AY204" s="254" t="str">
        <f t="shared" si="105"/>
        <v>-</v>
      </c>
      <c r="AZ204" s="255" t="str">
        <f t="shared" si="96"/>
        <v>-</v>
      </c>
      <c r="BA204" s="95" t="str">
        <f t="shared" si="97"/>
        <v>-</v>
      </c>
    </row>
    <row r="205" spans="1:53" ht="18.2" customHeight="1" thickTop="1" x14ac:dyDescent="0.25">
      <c r="A205" s="79"/>
      <c r="B205" s="699"/>
      <c r="C205" s="699"/>
      <c r="D205" s="699"/>
      <c r="E205" s="699"/>
      <c r="F205" s="699"/>
      <c r="G205" s="699"/>
      <c r="H205" s="699"/>
      <c r="I205" s="699"/>
      <c r="J205" s="699"/>
      <c r="K205" s="699"/>
      <c r="L205" s="699"/>
      <c r="M205" s="699"/>
      <c r="N205" s="699"/>
      <c r="O205" s="699"/>
      <c r="P205" s="699"/>
      <c r="Q205" s="699"/>
      <c r="R205" s="79"/>
      <c r="AO205" s="347"/>
      <c r="AP205" s="341" t="str">
        <f t="array" ref="AP205">IFERROR( INDEX( $AO$89:$AO$553, MATCH( 0, COUNTIF( $AP$87:AP204, $AO$89:$AO$553), 0)), "-")</f>
        <v>-</v>
      </c>
      <c r="AQ205" s="257" t="str">
        <f t="shared" si="106"/>
        <v>-</v>
      </c>
      <c r="AR205" s="258" t="str">
        <f t="shared" si="98"/>
        <v>-</v>
      </c>
      <c r="AS205" s="259" t="str">
        <f t="shared" si="99"/>
        <v>-</v>
      </c>
      <c r="AT205" s="259" t="str">
        <f t="shared" si="100"/>
        <v>-</v>
      </c>
      <c r="AU205" s="260" t="str">
        <f t="shared" si="101"/>
        <v>-</v>
      </c>
      <c r="AV205" s="261" t="str">
        <f t="shared" si="102"/>
        <v>-</v>
      </c>
      <c r="AW205" s="262" t="str">
        <f t="shared" si="103"/>
        <v>-</v>
      </c>
      <c r="AX205" s="262" t="str">
        <f t="shared" si="104"/>
        <v>-</v>
      </c>
      <c r="AY205" s="263" t="str">
        <f t="shared" si="105"/>
        <v>-</v>
      </c>
      <c r="AZ205" s="264" t="str">
        <f t="shared" si="96"/>
        <v>-</v>
      </c>
      <c r="BA205" s="96" t="str">
        <f t="shared" si="97"/>
        <v>-</v>
      </c>
    </row>
    <row r="206" spans="1:53" ht="18.2" customHeight="1" x14ac:dyDescent="0.25">
      <c r="A206" s="79"/>
      <c r="B206" s="699"/>
      <c r="C206" s="699"/>
      <c r="D206" s="699"/>
      <c r="E206" s="699"/>
      <c r="F206" s="699"/>
      <c r="G206" s="699"/>
      <c r="H206" s="699"/>
      <c r="I206" s="699"/>
      <c r="J206" s="699"/>
      <c r="K206" s="699"/>
      <c r="L206" s="699"/>
      <c r="M206" s="699"/>
      <c r="N206" s="699"/>
      <c r="O206" s="699"/>
      <c r="P206" s="699"/>
      <c r="Q206" s="699"/>
      <c r="R206" s="79"/>
      <c r="AO206" s="342" t="str">
        <f xml:space="preserve"> AC90</f>
        <v>Diversos - Diversos</v>
      </c>
      <c r="AP206" s="341" t="str">
        <f t="array" ref="AP206">IFERROR( INDEX( $AO$89:$AO$553, MATCH( 0, COUNTIF( $AP$87:AP205, $AO$89:$AO$553), 0)), "-")</f>
        <v>-</v>
      </c>
      <c r="AQ206" s="248" t="str">
        <f t="shared" si="106"/>
        <v>-</v>
      </c>
      <c r="AR206" s="249" t="str">
        <f t="shared" si="98"/>
        <v>-</v>
      </c>
      <c r="AS206" s="250" t="str">
        <f t="shared" si="99"/>
        <v>-</v>
      </c>
      <c r="AT206" s="250" t="str">
        <f t="shared" si="100"/>
        <v>-</v>
      </c>
      <c r="AU206" s="251" t="str">
        <f t="shared" si="101"/>
        <v>-</v>
      </c>
      <c r="AV206" s="252" t="str">
        <f t="shared" si="102"/>
        <v>-</v>
      </c>
      <c r="AW206" s="253" t="str">
        <f t="shared" si="103"/>
        <v>-</v>
      </c>
      <c r="AX206" s="253" t="str">
        <f t="shared" si="104"/>
        <v>-</v>
      </c>
      <c r="AY206" s="254" t="str">
        <f t="shared" si="105"/>
        <v>-</v>
      </c>
      <c r="AZ206" s="255" t="str">
        <f t="shared" si="96"/>
        <v>-</v>
      </c>
      <c r="BA206" s="95" t="str">
        <f t="shared" si="97"/>
        <v>-</v>
      </c>
    </row>
    <row r="207" spans="1:53" ht="18.2" customHeight="1" x14ac:dyDescent="0.25">
      <c r="A207" s="79"/>
      <c r="B207" s="699"/>
      <c r="C207" s="699"/>
      <c r="D207" s="699"/>
      <c r="E207" s="699"/>
      <c r="F207" s="699"/>
      <c r="G207" s="699"/>
      <c r="H207" s="699"/>
      <c r="I207" s="699"/>
      <c r="J207" s="699"/>
      <c r="K207" s="699"/>
      <c r="L207" s="699"/>
      <c r="M207" s="699"/>
      <c r="N207" s="699"/>
      <c r="O207" s="699"/>
      <c r="P207" s="699"/>
      <c r="Q207" s="699"/>
      <c r="R207" s="79"/>
      <c r="AO207" s="342" t="str">
        <f xml:space="preserve"> AC91</f>
        <v>-</v>
      </c>
      <c r="AP207" s="341" t="str">
        <f t="array" ref="AP207">IFERROR( INDEX( $AO$89:$AO$553, MATCH( 0, COUNTIF( $AP$87:AP206, $AO$89:$AO$553), 0)), "-")</f>
        <v>-</v>
      </c>
      <c r="AQ207" s="257" t="str">
        <f t="shared" si="106"/>
        <v>-</v>
      </c>
      <c r="AR207" s="258" t="str">
        <f t="shared" si="98"/>
        <v>-</v>
      </c>
      <c r="AS207" s="259" t="str">
        <f t="shared" si="99"/>
        <v>-</v>
      </c>
      <c r="AT207" s="259" t="str">
        <f t="shared" si="100"/>
        <v>-</v>
      </c>
      <c r="AU207" s="260" t="str">
        <f t="shared" si="101"/>
        <v>-</v>
      </c>
      <c r="AV207" s="261" t="str">
        <f t="shared" si="102"/>
        <v>-</v>
      </c>
      <c r="AW207" s="262" t="str">
        <f t="shared" si="103"/>
        <v>-</v>
      </c>
      <c r="AX207" s="262" t="str">
        <f t="shared" si="104"/>
        <v>-</v>
      </c>
      <c r="AY207" s="263" t="str">
        <f t="shared" si="105"/>
        <v>-</v>
      </c>
      <c r="AZ207" s="264" t="str">
        <f t="shared" si="96"/>
        <v>-</v>
      </c>
      <c r="BA207" s="96" t="str">
        <f t="shared" si="97"/>
        <v>-</v>
      </c>
    </row>
    <row r="208" spans="1:53" ht="18.2" customHeight="1" x14ac:dyDescent="0.25">
      <c r="A208" s="79"/>
      <c r="B208" s="699"/>
      <c r="C208" s="699"/>
      <c r="D208" s="699"/>
      <c r="E208" s="699"/>
      <c r="F208" s="699"/>
      <c r="G208" s="699"/>
      <c r="H208" s="699"/>
      <c r="I208" s="699"/>
      <c r="J208" s="699"/>
      <c r="K208" s="699"/>
      <c r="L208" s="699"/>
      <c r="M208" s="699"/>
      <c r="N208" s="699"/>
      <c r="O208" s="699"/>
      <c r="P208" s="699"/>
      <c r="Q208" s="699"/>
      <c r="R208" s="79"/>
      <c r="AO208" s="342" t="str">
        <f t="shared" ref="AO208:AO214" si="107" xml:space="preserve"> AC92</f>
        <v>Ambulatório de Acupuntura - Ambulatório de Acupuntura</v>
      </c>
      <c r="AP208" s="341" t="str">
        <f t="array" ref="AP208">IFERROR( INDEX( $AO$89:$AO$553, MATCH( 0, COUNTIF( $AP$87:AP207, $AO$89:$AO$553), 0)), "-")</f>
        <v>-</v>
      </c>
      <c r="AQ208" s="248" t="str">
        <f t="shared" si="106"/>
        <v>-</v>
      </c>
      <c r="AR208" s="249" t="str">
        <f t="shared" si="98"/>
        <v>-</v>
      </c>
      <c r="AS208" s="250" t="str">
        <f t="shared" si="99"/>
        <v>-</v>
      </c>
      <c r="AT208" s="250" t="str">
        <f t="shared" si="100"/>
        <v>-</v>
      </c>
      <c r="AU208" s="251" t="str">
        <f t="shared" si="101"/>
        <v>-</v>
      </c>
      <c r="AV208" s="252" t="str">
        <f t="shared" si="102"/>
        <v>-</v>
      </c>
      <c r="AW208" s="253" t="str">
        <f t="shared" si="103"/>
        <v>-</v>
      </c>
      <c r="AX208" s="253" t="str">
        <f t="shared" si="104"/>
        <v>-</v>
      </c>
      <c r="AY208" s="254" t="str">
        <f t="shared" si="105"/>
        <v>-</v>
      </c>
      <c r="AZ208" s="255" t="str">
        <f t="shared" si="96"/>
        <v>-</v>
      </c>
      <c r="BA208" s="95" t="str">
        <f t="shared" si="97"/>
        <v>-</v>
      </c>
    </row>
    <row r="209" spans="1:53" ht="18.2" customHeight="1" x14ac:dyDescent="0.25">
      <c r="A209" s="79"/>
      <c r="B209" s="699"/>
      <c r="C209" s="699"/>
      <c r="D209" s="699"/>
      <c r="E209" s="699"/>
      <c r="F209" s="699"/>
      <c r="G209" s="699"/>
      <c r="H209" s="699"/>
      <c r="I209" s="699"/>
      <c r="J209" s="699"/>
      <c r="K209" s="699"/>
      <c r="L209" s="699"/>
      <c r="M209" s="699"/>
      <c r="N209" s="699"/>
      <c r="O209" s="699"/>
      <c r="P209" s="699"/>
      <c r="Q209" s="699"/>
      <c r="R209" s="79"/>
      <c r="AO209" s="342" t="str">
        <f t="shared" si="107"/>
        <v>Ambulatório de Alergia e Imunologia - Ambulatório de Alergia e Imunologia</v>
      </c>
      <c r="AP209" s="341" t="str">
        <f t="array" ref="AP209">IFERROR( INDEX( $AO$89:$AO$553, MATCH( 0, COUNTIF( $AP$87:AP208, $AO$89:$AO$553), 0)), "-")</f>
        <v>-</v>
      </c>
      <c r="AQ209" s="257" t="str">
        <f t="shared" si="106"/>
        <v>-</v>
      </c>
      <c r="AR209" s="258" t="str">
        <f t="shared" si="98"/>
        <v>-</v>
      </c>
      <c r="AS209" s="259" t="str">
        <f t="shared" si="99"/>
        <v>-</v>
      </c>
      <c r="AT209" s="259" t="str">
        <f t="shared" si="100"/>
        <v>-</v>
      </c>
      <c r="AU209" s="260" t="str">
        <f t="shared" si="101"/>
        <v>-</v>
      </c>
      <c r="AV209" s="261" t="str">
        <f t="shared" si="102"/>
        <v>-</v>
      </c>
      <c r="AW209" s="262" t="str">
        <f t="shared" si="103"/>
        <v>-</v>
      </c>
      <c r="AX209" s="262" t="str">
        <f t="shared" si="104"/>
        <v>-</v>
      </c>
      <c r="AY209" s="263" t="str">
        <f t="shared" si="105"/>
        <v>-</v>
      </c>
      <c r="AZ209" s="264" t="str">
        <f t="shared" si="96"/>
        <v>-</v>
      </c>
      <c r="BA209" s="96" t="str">
        <f t="shared" si="97"/>
        <v>-</v>
      </c>
    </row>
    <row r="210" spans="1:53" ht="18.2" customHeight="1" x14ac:dyDescent="0.25">
      <c r="A210" s="79"/>
      <c r="B210" s="699"/>
      <c r="C210" s="699"/>
      <c r="D210" s="699"/>
      <c r="E210" s="699"/>
      <c r="F210" s="699"/>
      <c r="G210" s="699"/>
      <c r="H210" s="699"/>
      <c r="I210" s="699"/>
      <c r="J210" s="699"/>
      <c r="K210" s="699"/>
      <c r="L210" s="699"/>
      <c r="M210" s="699"/>
      <c r="N210" s="699"/>
      <c r="O210" s="699"/>
      <c r="P210" s="699"/>
      <c r="Q210" s="699"/>
      <c r="R210" s="79"/>
      <c r="AO210" s="342" t="str">
        <f t="shared" si="107"/>
        <v>Ambulatório de Cardiologia - Ambulatório de Cardiologia</v>
      </c>
      <c r="AP210" s="341" t="str">
        <f t="array" ref="AP210">IFERROR( INDEX( $AO$89:$AO$553, MATCH( 0, COUNTIF( $AP$87:AP209, $AO$89:$AO$553), 0)), "-")</f>
        <v>-</v>
      </c>
      <c r="AQ210" s="248" t="str">
        <f t="shared" si="106"/>
        <v>-</v>
      </c>
      <c r="AR210" s="249" t="str">
        <f t="shared" si="98"/>
        <v>-</v>
      </c>
      <c r="AS210" s="250" t="str">
        <f t="shared" si="99"/>
        <v>-</v>
      </c>
      <c r="AT210" s="250" t="str">
        <f t="shared" si="100"/>
        <v>-</v>
      </c>
      <c r="AU210" s="251" t="str">
        <f t="shared" si="101"/>
        <v>-</v>
      </c>
      <c r="AV210" s="252" t="str">
        <f t="shared" si="102"/>
        <v>-</v>
      </c>
      <c r="AW210" s="253" t="str">
        <f t="shared" si="103"/>
        <v>-</v>
      </c>
      <c r="AX210" s="253" t="str">
        <f t="shared" si="104"/>
        <v>-</v>
      </c>
      <c r="AY210" s="254" t="str">
        <f t="shared" si="105"/>
        <v>-</v>
      </c>
      <c r="AZ210" s="255" t="str">
        <f t="shared" si="96"/>
        <v>-</v>
      </c>
      <c r="BA210" s="95" t="str">
        <f t="shared" si="97"/>
        <v>-</v>
      </c>
    </row>
    <row r="211" spans="1:53" ht="18.2" customHeight="1" x14ac:dyDescent="0.25">
      <c r="A211" s="79"/>
      <c r="B211" s="699"/>
      <c r="C211" s="699"/>
      <c r="D211" s="699"/>
      <c r="E211" s="699"/>
      <c r="F211" s="699"/>
      <c r="G211" s="699"/>
      <c r="H211" s="699"/>
      <c r="I211" s="699"/>
      <c r="J211" s="699"/>
      <c r="K211" s="699"/>
      <c r="L211" s="699"/>
      <c r="M211" s="699"/>
      <c r="N211" s="699"/>
      <c r="O211" s="699"/>
      <c r="P211" s="699"/>
      <c r="Q211" s="699"/>
      <c r="R211" s="79"/>
      <c r="AO211" s="342" t="str">
        <f t="shared" si="107"/>
        <v>Ambulatório de Dermatologia - Ambulatório de Dermatologia</v>
      </c>
      <c r="AP211" s="341" t="str">
        <f t="array" ref="AP211">IFERROR( INDEX( $AO$89:$AO$553, MATCH( 0, COUNTIF( $AP$87:AP210, $AO$89:$AO$553), 0)), "-")</f>
        <v>-</v>
      </c>
      <c r="AQ211" s="257" t="str">
        <f t="shared" si="106"/>
        <v>-</v>
      </c>
      <c r="AR211" s="258" t="str">
        <f t="shared" si="98"/>
        <v>-</v>
      </c>
      <c r="AS211" s="259" t="str">
        <f t="shared" si="99"/>
        <v>-</v>
      </c>
      <c r="AT211" s="259" t="str">
        <f t="shared" si="100"/>
        <v>-</v>
      </c>
      <c r="AU211" s="260" t="str">
        <f t="shared" si="101"/>
        <v>-</v>
      </c>
      <c r="AV211" s="261" t="str">
        <f t="shared" si="102"/>
        <v>-</v>
      </c>
      <c r="AW211" s="262" t="str">
        <f t="shared" si="103"/>
        <v>-</v>
      </c>
      <c r="AX211" s="262" t="str">
        <f t="shared" si="104"/>
        <v>-</v>
      </c>
      <c r="AY211" s="263" t="str">
        <f t="shared" si="105"/>
        <v>-</v>
      </c>
      <c r="AZ211" s="264" t="str">
        <f t="shared" si="96"/>
        <v>-</v>
      </c>
      <c r="BA211" s="96" t="str">
        <f t="shared" si="97"/>
        <v>-</v>
      </c>
    </row>
    <row r="212" spans="1:53" ht="18.2" customHeight="1" x14ac:dyDescent="0.25">
      <c r="A212" s="79"/>
      <c r="B212" s="699"/>
      <c r="C212" s="699"/>
      <c r="D212" s="699"/>
      <c r="E212" s="699"/>
      <c r="F212" s="699"/>
      <c r="G212" s="699"/>
      <c r="H212" s="699"/>
      <c r="I212" s="699"/>
      <c r="J212" s="699"/>
      <c r="K212" s="699"/>
      <c r="L212" s="699"/>
      <c r="M212" s="699"/>
      <c r="N212" s="699"/>
      <c r="O212" s="699"/>
      <c r="P212" s="699"/>
      <c r="Q212" s="699"/>
      <c r="R212" s="79"/>
      <c r="AO212" s="342" t="str">
        <f t="shared" si="107"/>
        <v>Ambulatório de Estomias - Ambulatório de Estomias</v>
      </c>
      <c r="AP212" s="341" t="str">
        <f t="array" ref="AP212">IFERROR( INDEX( $AO$89:$AO$553, MATCH( 0, COUNTIF( $AP$87:AP211, $AO$89:$AO$553), 0)), "-")</f>
        <v>-</v>
      </c>
      <c r="AQ212" s="248" t="str">
        <f t="shared" si="106"/>
        <v>-</v>
      </c>
      <c r="AR212" s="249" t="str">
        <f t="shared" si="98"/>
        <v>-</v>
      </c>
      <c r="AS212" s="250" t="str">
        <f t="shared" si="99"/>
        <v>-</v>
      </c>
      <c r="AT212" s="250" t="str">
        <f t="shared" si="100"/>
        <v>-</v>
      </c>
      <c r="AU212" s="251" t="str">
        <f t="shared" si="101"/>
        <v>-</v>
      </c>
      <c r="AV212" s="252" t="str">
        <f t="shared" si="102"/>
        <v>-</v>
      </c>
      <c r="AW212" s="253" t="str">
        <f t="shared" si="103"/>
        <v>-</v>
      </c>
      <c r="AX212" s="253" t="str">
        <f t="shared" si="104"/>
        <v>-</v>
      </c>
      <c r="AY212" s="254" t="str">
        <f t="shared" si="105"/>
        <v>-</v>
      </c>
      <c r="AZ212" s="255" t="str">
        <f t="shared" si="96"/>
        <v>-</v>
      </c>
      <c r="BA212" s="95" t="str">
        <f t="shared" si="97"/>
        <v>-</v>
      </c>
    </row>
    <row r="213" spans="1:53" ht="18.2" customHeight="1" x14ac:dyDescent="0.25">
      <c r="A213" s="79"/>
      <c r="B213" s="699"/>
      <c r="C213" s="699"/>
      <c r="D213" s="699"/>
      <c r="E213" s="699"/>
      <c r="F213" s="699"/>
      <c r="G213" s="699"/>
      <c r="H213" s="699"/>
      <c r="I213" s="699"/>
      <c r="J213" s="699"/>
      <c r="K213" s="699"/>
      <c r="L213" s="699"/>
      <c r="M213" s="699"/>
      <c r="N213" s="699"/>
      <c r="O213" s="699"/>
      <c r="P213" s="699"/>
      <c r="Q213" s="699"/>
      <c r="R213" s="79"/>
      <c r="AO213" s="342" t="str">
        <f t="shared" si="107"/>
        <v>Ambulatório de Feridas Complexas - Ambulatório de Feridas Complexas</v>
      </c>
      <c r="AP213" s="341" t="str">
        <f t="array" ref="AP213">IFERROR( INDEX( $AO$89:$AO$553, MATCH( 0, COUNTIF( $AP$87:AP212, $AO$89:$AO$553), 0)), "-")</f>
        <v>-</v>
      </c>
      <c r="AQ213" s="257" t="str">
        <f t="shared" si="106"/>
        <v>-</v>
      </c>
      <c r="AR213" s="258" t="str">
        <f t="shared" si="98"/>
        <v>-</v>
      </c>
      <c r="AS213" s="259" t="str">
        <f t="shared" si="99"/>
        <v>-</v>
      </c>
      <c r="AT213" s="259" t="str">
        <f t="shared" si="100"/>
        <v>-</v>
      </c>
      <c r="AU213" s="260" t="str">
        <f t="shared" si="101"/>
        <v>-</v>
      </c>
      <c r="AV213" s="261" t="str">
        <f t="shared" si="102"/>
        <v>-</v>
      </c>
      <c r="AW213" s="262" t="str">
        <f t="shared" si="103"/>
        <v>-</v>
      </c>
      <c r="AX213" s="262" t="str">
        <f t="shared" si="104"/>
        <v>-</v>
      </c>
      <c r="AY213" s="263" t="str">
        <f t="shared" si="105"/>
        <v>-</v>
      </c>
      <c r="AZ213" s="264" t="str">
        <f t="shared" si="96"/>
        <v>-</v>
      </c>
      <c r="BA213" s="96" t="str">
        <f t="shared" si="97"/>
        <v>-</v>
      </c>
    </row>
    <row r="214" spans="1:53" ht="18.2" customHeight="1" x14ac:dyDescent="0.25">
      <c r="A214" s="79"/>
      <c r="B214" s="699"/>
      <c r="C214" s="699"/>
      <c r="D214" s="699"/>
      <c r="E214" s="699"/>
      <c r="F214" s="699"/>
      <c r="G214" s="699"/>
      <c r="H214" s="699"/>
      <c r="I214" s="699"/>
      <c r="J214" s="699"/>
      <c r="K214" s="699"/>
      <c r="L214" s="699"/>
      <c r="M214" s="699"/>
      <c r="N214" s="699"/>
      <c r="O214" s="699"/>
      <c r="P214" s="699"/>
      <c r="Q214" s="699"/>
      <c r="R214" s="79"/>
      <c r="AO214" s="342" t="str">
        <f t="shared" si="107"/>
        <v>Ambulatório de Fisioterapia - Ambulatório de Fisioterapia</v>
      </c>
      <c r="AP214" s="341" t="str">
        <f t="array" ref="AP214">IFERROR( INDEX( $AO$89:$AO$553, MATCH( 0, COUNTIF( $AP$87:AP213, $AO$89:$AO$553), 0)), "-")</f>
        <v>-</v>
      </c>
      <c r="AQ214" s="248" t="str">
        <f t="shared" si="106"/>
        <v>-</v>
      </c>
      <c r="AR214" s="249" t="str">
        <f t="shared" si="98"/>
        <v>-</v>
      </c>
      <c r="AS214" s="250" t="str">
        <f t="shared" si="99"/>
        <v>-</v>
      </c>
      <c r="AT214" s="250" t="str">
        <f t="shared" si="100"/>
        <v>-</v>
      </c>
      <c r="AU214" s="251" t="str">
        <f t="shared" si="101"/>
        <v>-</v>
      </c>
      <c r="AV214" s="252" t="str">
        <f t="shared" si="102"/>
        <v>-</v>
      </c>
      <c r="AW214" s="253" t="str">
        <f t="shared" si="103"/>
        <v>-</v>
      </c>
      <c r="AX214" s="253" t="str">
        <f t="shared" si="104"/>
        <v>-</v>
      </c>
      <c r="AY214" s="254" t="str">
        <f t="shared" si="105"/>
        <v>-</v>
      </c>
      <c r="AZ214" s="255" t="str">
        <f t="shared" si="96"/>
        <v>-</v>
      </c>
      <c r="BA214" s="95" t="str">
        <f t="shared" si="97"/>
        <v>-</v>
      </c>
    </row>
    <row r="215" spans="1:53" s="357" customFormat="1" ht="18.2" customHeight="1" x14ac:dyDescent="0.25">
      <c r="A215" s="79"/>
      <c r="B215" s="699"/>
      <c r="C215" s="699"/>
      <c r="D215" s="699"/>
      <c r="E215" s="699"/>
      <c r="F215" s="699"/>
      <c r="G215" s="699"/>
      <c r="H215" s="699"/>
      <c r="I215" s="699"/>
      <c r="J215" s="699"/>
      <c r="K215" s="699"/>
      <c r="L215" s="699"/>
      <c r="M215" s="699"/>
      <c r="N215" s="699"/>
      <c r="O215" s="699"/>
      <c r="P215" s="699"/>
      <c r="Q215" s="699"/>
      <c r="R215" s="79"/>
      <c r="AO215" s="342"/>
      <c r="AP215" s="341"/>
      <c r="AQ215" s="248"/>
      <c r="AR215" s="249"/>
      <c r="AS215" s="250"/>
      <c r="AT215" s="250"/>
      <c r="AU215" s="251"/>
      <c r="AV215" s="252"/>
      <c r="AW215" s="253"/>
      <c r="AX215" s="253"/>
      <c r="AY215" s="254"/>
      <c r="AZ215" s="255"/>
      <c r="BA215" s="95"/>
    </row>
    <row r="216" spans="1:53" ht="18.2" customHeight="1" x14ac:dyDescent="0.25">
      <c r="A216" s="79"/>
      <c r="B216" s="699"/>
      <c r="C216" s="699"/>
      <c r="D216" s="699"/>
      <c r="E216" s="699"/>
      <c r="F216" s="699"/>
      <c r="G216" s="699"/>
      <c r="H216" s="699"/>
      <c r="I216" s="699"/>
      <c r="J216" s="699"/>
      <c r="K216" s="699"/>
      <c r="L216" s="699"/>
      <c r="M216" s="699"/>
      <c r="N216" s="699"/>
      <c r="O216" s="699"/>
      <c r="P216" s="699"/>
      <c r="Q216" s="699"/>
      <c r="R216" s="79"/>
      <c r="AO216" s="342" t="str">
        <f t="shared" ref="AO216:AO227" si="108" xml:space="preserve"> AC99</f>
        <v>Ambulatório de Fonoaudiologia - Ambulatório de Fonoaudiologia</v>
      </c>
      <c r="AP216" s="341" t="str">
        <f t="array" ref="AP216">IFERROR( INDEX( $AO$89:$AO$553, MATCH( 0, COUNTIF( $AP$87:AP214, $AO$89:$AO$553), 0)), "-")</f>
        <v>-</v>
      </c>
      <c r="AQ216" s="257" t="str">
        <f t="shared" si="106"/>
        <v>-</v>
      </c>
      <c r="AR216" s="258" t="str">
        <f t="shared" si="98"/>
        <v>-</v>
      </c>
      <c r="AS216" s="259" t="str">
        <f t="shared" si="99"/>
        <v>-</v>
      </c>
      <c r="AT216" s="259" t="str">
        <f t="shared" si="100"/>
        <v>-</v>
      </c>
      <c r="AU216" s="260" t="str">
        <f t="shared" si="101"/>
        <v>-</v>
      </c>
      <c r="AV216" s="261" t="str">
        <f t="shared" si="102"/>
        <v>-</v>
      </c>
      <c r="AW216" s="262" t="str">
        <f t="shared" si="103"/>
        <v>-</v>
      </c>
      <c r="AX216" s="262" t="str">
        <f t="shared" si="104"/>
        <v>-</v>
      </c>
      <c r="AY216" s="263" t="str">
        <f t="shared" si="105"/>
        <v>-</v>
      </c>
      <c r="AZ216" s="264" t="str">
        <f t="shared" si="96"/>
        <v>-</v>
      </c>
      <c r="BA216" s="96" t="str">
        <f t="shared" si="97"/>
        <v>-</v>
      </c>
    </row>
    <row r="217" spans="1:53" ht="18.2" customHeight="1" x14ac:dyDescent="0.25">
      <c r="A217" s="79"/>
      <c r="B217" s="699"/>
      <c r="C217" s="699"/>
      <c r="D217" s="699"/>
      <c r="E217" s="699"/>
      <c r="F217" s="699"/>
      <c r="G217" s="699"/>
      <c r="H217" s="699"/>
      <c r="I217" s="699"/>
      <c r="J217" s="699"/>
      <c r="K217" s="699"/>
      <c r="L217" s="699"/>
      <c r="M217" s="699"/>
      <c r="N217" s="699"/>
      <c r="O217" s="699"/>
      <c r="P217" s="699"/>
      <c r="Q217" s="699"/>
      <c r="R217" s="79"/>
      <c r="AO217" s="342" t="str">
        <f t="shared" si="108"/>
        <v>Ambulatório de Gastroenterologia Pediátrica - Ambulatório de Gastroenterologia Pediátrica</v>
      </c>
      <c r="AP217" s="341" t="str">
        <f t="array" ref="AP217">IFERROR( INDEX( $AO$89:$AO$553, MATCH( 0, COUNTIF( $AP$87:AP216, $AO$89:$AO$553), 0)), "-")</f>
        <v>-</v>
      </c>
      <c r="AQ217" s="248" t="str">
        <f t="shared" si="106"/>
        <v>-</v>
      </c>
      <c r="AR217" s="249" t="str">
        <f t="shared" si="98"/>
        <v>-</v>
      </c>
      <c r="AS217" s="250" t="str">
        <f t="shared" si="99"/>
        <v>-</v>
      </c>
      <c r="AT217" s="250" t="str">
        <f t="shared" si="100"/>
        <v>-</v>
      </c>
      <c r="AU217" s="251" t="str">
        <f t="shared" si="101"/>
        <v>-</v>
      </c>
      <c r="AV217" s="252" t="str">
        <f t="shared" si="102"/>
        <v>-</v>
      </c>
      <c r="AW217" s="253" t="str">
        <f t="shared" si="103"/>
        <v>-</v>
      </c>
      <c r="AX217" s="253" t="str">
        <f t="shared" si="104"/>
        <v>-</v>
      </c>
      <c r="AY217" s="254" t="str">
        <f t="shared" si="105"/>
        <v>-</v>
      </c>
      <c r="AZ217" s="255" t="str">
        <f t="shared" si="96"/>
        <v>-</v>
      </c>
      <c r="BA217" s="95" t="str">
        <f t="shared" si="97"/>
        <v>-</v>
      </c>
    </row>
    <row r="218" spans="1:53" ht="18.2" customHeight="1" x14ac:dyDescent="0.25">
      <c r="A218" s="79"/>
      <c r="B218" s="699"/>
      <c r="C218" s="699"/>
      <c r="D218" s="699"/>
      <c r="E218" s="699"/>
      <c r="F218" s="699"/>
      <c r="G218" s="699"/>
      <c r="H218" s="699"/>
      <c r="I218" s="699"/>
      <c r="J218" s="699"/>
      <c r="K218" s="699"/>
      <c r="L218" s="699"/>
      <c r="M218" s="699"/>
      <c r="N218" s="699"/>
      <c r="O218" s="699"/>
      <c r="P218" s="699"/>
      <c r="Q218" s="699"/>
      <c r="R218" s="79"/>
      <c r="AO218" s="342" t="str">
        <f t="shared" si="108"/>
        <v>Ambulatório de Geriatria - Ambulatório de Geriatria</v>
      </c>
      <c r="AP218" s="341" t="str">
        <f t="array" ref="AP218">IFERROR( INDEX( $AO$89:$AO$553, MATCH( 0, COUNTIF( $AP$87:AP217, $AO$89:$AO$553), 0)), "-")</f>
        <v>-</v>
      </c>
      <c r="AQ218" s="257" t="str">
        <f t="shared" si="106"/>
        <v>-</v>
      </c>
      <c r="AR218" s="258" t="str">
        <f t="shared" si="98"/>
        <v>-</v>
      </c>
      <c r="AS218" s="259" t="str">
        <f t="shared" si="99"/>
        <v>-</v>
      </c>
      <c r="AT218" s="259" t="str">
        <f t="shared" si="100"/>
        <v>-</v>
      </c>
      <c r="AU218" s="260" t="str">
        <f t="shared" si="101"/>
        <v>-</v>
      </c>
      <c r="AV218" s="261" t="str">
        <f t="shared" si="102"/>
        <v>-</v>
      </c>
      <c r="AW218" s="262" t="str">
        <f t="shared" si="103"/>
        <v>-</v>
      </c>
      <c r="AX218" s="262" t="str">
        <f t="shared" si="104"/>
        <v>-</v>
      </c>
      <c r="AY218" s="263" t="str">
        <f t="shared" si="105"/>
        <v>-</v>
      </c>
      <c r="AZ218" s="264" t="str">
        <f t="shared" ref="AZ218:AZ250" si="109" xml:space="preserve"> IFERROR( IF( AQ218="-", "-", AVERAGE( AR218:AU218)), "-")</f>
        <v>-</v>
      </c>
      <c r="BA218" s="96" t="str">
        <f t="shared" ref="BA218:BA250" si="110" xml:space="preserve"> IFERROR( IF( AQ218="-", "-", AVERAGE( AV218:AY218)), "-")</f>
        <v>-</v>
      </c>
    </row>
    <row r="219" spans="1:53" ht="18.2" customHeight="1" x14ac:dyDescent="0.25">
      <c r="A219" s="79"/>
      <c r="B219" s="464" t="s">
        <v>206</v>
      </c>
      <c r="C219" s="464"/>
      <c r="D219" s="464"/>
      <c r="E219" s="464"/>
      <c r="F219" s="464"/>
      <c r="G219" s="464"/>
      <c r="H219" s="464"/>
      <c r="I219" s="464"/>
      <c r="J219" s="464"/>
      <c r="K219" s="464"/>
      <c r="L219" s="464"/>
      <c r="M219" s="464"/>
      <c r="N219" s="464"/>
      <c r="O219" s="464"/>
      <c r="P219" s="464"/>
      <c r="Q219" s="464"/>
      <c r="R219" s="79"/>
      <c r="AO219" s="342" t="str">
        <f t="shared" si="108"/>
        <v>Ambulatório de Neurologia - Ambulatório de Neurologia</v>
      </c>
      <c r="AP219" s="341" t="str">
        <f t="array" ref="AP219">IFERROR( INDEX( $AO$89:$AO$553, MATCH( 0, COUNTIF( $AP$87:AP218, $AO$89:$AO$553), 0)), "-")</f>
        <v>-</v>
      </c>
      <c r="AQ219" s="248" t="str">
        <f t="shared" si="106"/>
        <v>-</v>
      </c>
      <c r="AR219" s="249" t="str">
        <f t="shared" ref="AR219:AR251" si="111">IFERROR( IF( $B$8="-", "-", IF(AP219="", "-", VLOOKUP(AP219, $AK$89:$AM$204, 2, 0))), "-")</f>
        <v>-</v>
      </c>
      <c r="AS219" s="250" t="str">
        <f t="shared" ref="AS219:AS251" si="112">IFERROR( IF( $B$8="-", "-", IF(AP219="", "-", VLOOKUP(AP219, $AG$89:$AI$204, 2, 0))), "-")</f>
        <v>-</v>
      </c>
      <c r="AT219" s="250" t="str">
        <f t="shared" ref="AT219:AT251" si="113">IFERROR( IF( $B$8="-", "-", IF(AP219="", "-", VLOOKUP(AP219, $AC$89:$AE$204, 2, 0))), "-")</f>
        <v>-</v>
      </c>
      <c r="AU219" s="251" t="str">
        <f t="shared" ref="AU219:AU251" si="114">IFERROR( IF( $B$8="-", "-", IF(AP219="", "-", VLOOKUP(AP219, $W$89:$Y$204, 2, 0))), "-")</f>
        <v>-</v>
      </c>
      <c r="AV219" s="252" t="str">
        <f t="shared" ref="AV219:AV251" si="115">IFERROR(IF( $B$8="-", "-", IF(AP219="", "-", VLOOKUP(AP219, $AK$89:$AM$204, 3, 0))), "-")</f>
        <v>-</v>
      </c>
      <c r="AW219" s="253" t="str">
        <f t="shared" ref="AW219:AW251" si="116">IFERROR(IF( $B$8="-", "-", IF(AP219="", "-", VLOOKUP(AP219, $AG$89:$AI$204, 3, 0))), "-")</f>
        <v>-</v>
      </c>
      <c r="AX219" s="253" t="str">
        <f t="shared" ref="AX219:AX251" si="117">IFERROR(IF( $B$8="-", "-", IF(AP219="", "-", VLOOKUP(AP219, $AC$89:$AE$204, 3, 0))), "-")</f>
        <v>-</v>
      </c>
      <c r="AY219" s="254" t="str">
        <f t="shared" ref="AY219:AY251" si="118">IFERROR( IF( $B$8="-", "-", IF(AP219="", "-", VLOOKUP(AP219, $W$89:$Y$204, 3, 0))), "-")</f>
        <v>-</v>
      </c>
      <c r="AZ219" s="255" t="str">
        <f t="shared" si="109"/>
        <v>-</v>
      </c>
      <c r="BA219" s="95" t="str">
        <f t="shared" si="110"/>
        <v>-</v>
      </c>
    </row>
    <row r="220" spans="1:53" ht="18.2" customHeight="1" x14ac:dyDescent="0.25">
      <c r="A220" s="79"/>
      <c r="B220" s="700"/>
      <c r="C220" s="700"/>
      <c r="D220" s="700"/>
      <c r="E220" s="700"/>
      <c r="F220" s="700"/>
      <c r="G220" s="700"/>
      <c r="H220" s="700"/>
      <c r="I220" s="700"/>
      <c r="J220" s="700"/>
      <c r="K220" s="700"/>
      <c r="L220" s="700"/>
      <c r="M220" s="700"/>
      <c r="N220" s="700"/>
      <c r="O220" s="700"/>
      <c r="P220" s="700"/>
      <c r="Q220" s="700"/>
      <c r="R220" s="79"/>
      <c r="AO220" s="342" t="str">
        <f t="shared" si="108"/>
        <v>Ambulatório de Psiquiatria - Ambulatório de Psiquiatria</v>
      </c>
      <c r="AP220" s="341" t="str">
        <f t="array" ref="AP220">IFERROR( INDEX( $AO$89:$AO$553, MATCH( 0, COUNTIF( $AP$87:AP219, $AO$89:$AO$553), 0)), "-")</f>
        <v>-</v>
      </c>
      <c r="AQ220" s="257" t="str">
        <f t="shared" si="106"/>
        <v>-</v>
      </c>
      <c r="AR220" s="258" t="str">
        <f t="shared" si="111"/>
        <v>-</v>
      </c>
      <c r="AS220" s="259" t="str">
        <f t="shared" si="112"/>
        <v>-</v>
      </c>
      <c r="AT220" s="259" t="str">
        <f t="shared" si="113"/>
        <v>-</v>
      </c>
      <c r="AU220" s="260" t="str">
        <f t="shared" si="114"/>
        <v>-</v>
      </c>
      <c r="AV220" s="261" t="str">
        <f t="shared" si="115"/>
        <v>-</v>
      </c>
      <c r="AW220" s="262" t="str">
        <f t="shared" si="116"/>
        <v>-</v>
      </c>
      <c r="AX220" s="262" t="str">
        <f t="shared" si="117"/>
        <v>-</v>
      </c>
      <c r="AY220" s="263" t="str">
        <f t="shared" si="118"/>
        <v>-</v>
      </c>
      <c r="AZ220" s="264" t="str">
        <f t="shared" si="109"/>
        <v>-</v>
      </c>
      <c r="BA220" s="96" t="str">
        <f t="shared" si="110"/>
        <v>-</v>
      </c>
    </row>
    <row r="221" spans="1:53" ht="18.2" customHeight="1" x14ac:dyDescent="0.25">
      <c r="A221" s="79"/>
      <c r="B221" s="700"/>
      <c r="C221" s="700"/>
      <c r="D221" s="700"/>
      <c r="E221" s="700"/>
      <c r="F221" s="700"/>
      <c r="G221" s="700"/>
      <c r="H221" s="700"/>
      <c r="I221" s="700"/>
      <c r="J221" s="700"/>
      <c r="K221" s="700"/>
      <c r="L221" s="700"/>
      <c r="M221" s="700"/>
      <c r="N221" s="700"/>
      <c r="O221" s="700"/>
      <c r="P221" s="700"/>
      <c r="Q221" s="700"/>
      <c r="R221" s="79"/>
      <c r="AO221" s="342" t="str">
        <f t="shared" si="108"/>
        <v>Ambulatório de Reumatologia - Ambulatório de Reumatologia</v>
      </c>
      <c r="AP221" s="341" t="str">
        <f t="array" ref="AP221">IFERROR( INDEX( $AO$89:$AO$553, MATCH( 0, COUNTIF( $AP$87:AP220, $AO$89:$AO$553), 0)), "-")</f>
        <v>-</v>
      </c>
      <c r="AQ221" s="248" t="str">
        <f t="shared" si="106"/>
        <v>-</v>
      </c>
      <c r="AR221" s="249" t="str">
        <f t="shared" si="111"/>
        <v>-</v>
      </c>
      <c r="AS221" s="250" t="str">
        <f t="shared" si="112"/>
        <v>-</v>
      </c>
      <c r="AT221" s="250" t="str">
        <f t="shared" si="113"/>
        <v>-</v>
      </c>
      <c r="AU221" s="251" t="str">
        <f t="shared" si="114"/>
        <v>-</v>
      </c>
      <c r="AV221" s="252" t="str">
        <f t="shared" si="115"/>
        <v>-</v>
      </c>
      <c r="AW221" s="253" t="str">
        <f t="shared" si="116"/>
        <v>-</v>
      </c>
      <c r="AX221" s="253" t="str">
        <f t="shared" si="117"/>
        <v>-</v>
      </c>
      <c r="AY221" s="254" t="str">
        <f t="shared" si="118"/>
        <v>-</v>
      </c>
      <c r="AZ221" s="255" t="str">
        <f t="shared" si="109"/>
        <v>-</v>
      </c>
      <c r="BA221" s="95" t="str">
        <f t="shared" si="110"/>
        <v>-</v>
      </c>
    </row>
    <row r="222" spans="1:53" ht="18.2" customHeight="1" x14ac:dyDescent="0.25">
      <c r="A222" s="79"/>
      <c r="B222" s="700"/>
      <c r="C222" s="700"/>
      <c r="D222" s="700"/>
      <c r="E222" s="700"/>
      <c r="F222" s="700"/>
      <c r="G222" s="700"/>
      <c r="H222" s="700"/>
      <c r="I222" s="700"/>
      <c r="J222" s="700"/>
      <c r="K222" s="700"/>
      <c r="L222" s="700"/>
      <c r="M222" s="700"/>
      <c r="N222" s="700"/>
      <c r="O222" s="700"/>
      <c r="P222" s="700"/>
      <c r="Q222" s="700"/>
      <c r="R222" s="79"/>
      <c r="AO222" s="342" t="str">
        <f t="shared" si="108"/>
        <v>CrisDown - CrisDown</v>
      </c>
      <c r="AP222" s="341" t="str">
        <f t="array" ref="AP222">IFERROR( INDEX( $AO$89:$AO$553, MATCH( 0, COUNTIF( $AP$87:AP221, $AO$89:$AO$553), 0)), "-")</f>
        <v>-</v>
      </c>
      <c r="AQ222" s="257" t="str">
        <f t="shared" si="106"/>
        <v>-</v>
      </c>
      <c r="AR222" s="258" t="str">
        <f t="shared" si="111"/>
        <v>-</v>
      </c>
      <c r="AS222" s="259" t="str">
        <f t="shared" si="112"/>
        <v>-</v>
      </c>
      <c r="AT222" s="259" t="str">
        <f t="shared" si="113"/>
        <v>-</v>
      </c>
      <c r="AU222" s="260" t="str">
        <f t="shared" si="114"/>
        <v>-</v>
      </c>
      <c r="AV222" s="261" t="str">
        <f t="shared" si="115"/>
        <v>-</v>
      </c>
      <c r="AW222" s="262" t="str">
        <f t="shared" si="116"/>
        <v>-</v>
      </c>
      <c r="AX222" s="262" t="str">
        <f t="shared" si="117"/>
        <v>-</v>
      </c>
      <c r="AY222" s="263" t="str">
        <f t="shared" si="118"/>
        <v>-</v>
      </c>
      <c r="AZ222" s="264" t="str">
        <f t="shared" si="109"/>
        <v>-</v>
      </c>
      <c r="BA222" s="96" t="str">
        <f t="shared" si="110"/>
        <v>-</v>
      </c>
    </row>
    <row r="223" spans="1:53" ht="18.2" customHeight="1" x14ac:dyDescent="0.25">
      <c r="A223" s="79"/>
      <c r="B223" s="700"/>
      <c r="C223" s="700"/>
      <c r="D223" s="700"/>
      <c r="E223" s="700"/>
      <c r="F223" s="700"/>
      <c r="G223" s="700"/>
      <c r="H223" s="700"/>
      <c r="I223" s="700"/>
      <c r="J223" s="700"/>
      <c r="K223" s="700"/>
      <c r="L223" s="700"/>
      <c r="M223" s="700"/>
      <c r="N223" s="700"/>
      <c r="O223" s="700"/>
      <c r="P223" s="700"/>
      <c r="Q223" s="700"/>
      <c r="R223" s="79"/>
      <c r="AO223" s="342" t="str">
        <f t="shared" si="108"/>
        <v>Ecocardiografia - Ecocardiografia</v>
      </c>
      <c r="AP223" s="341" t="str">
        <f t="array" ref="AP223">IFERROR( INDEX( $AO$89:$AO$553, MATCH( 0, COUNTIF( $AP$87:AP222, $AO$89:$AO$553), 0)), "-")</f>
        <v>-</v>
      </c>
      <c r="AQ223" s="248" t="str">
        <f t="shared" si="106"/>
        <v>-</v>
      </c>
      <c r="AR223" s="249" t="str">
        <f t="shared" si="111"/>
        <v>-</v>
      </c>
      <c r="AS223" s="250" t="str">
        <f t="shared" si="112"/>
        <v>-</v>
      </c>
      <c r="AT223" s="250" t="str">
        <f t="shared" si="113"/>
        <v>-</v>
      </c>
      <c r="AU223" s="251" t="str">
        <f t="shared" si="114"/>
        <v>-</v>
      </c>
      <c r="AV223" s="252" t="str">
        <f t="shared" si="115"/>
        <v>-</v>
      </c>
      <c r="AW223" s="253" t="str">
        <f t="shared" si="116"/>
        <v>-</v>
      </c>
      <c r="AX223" s="253" t="str">
        <f t="shared" si="117"/>
        <v>-</v>
      </c>
      <c r="AY223" s="254" t="str">
        <f t="shared" si="118"/>
        <v>-</v>
      </c>
      <c r="AZ223" s="255" t="str">
        <f t="shared" si="109"/>
        <v>-</v>
      </c>
      <c r="BA223" s="95" t="str">
        <f t="shared" si="110"/>
        <v>-</v>
      </c>
    </row>
    <row r="224" spans="1:53" ht="18.2" customHeight="1" x14ac:dyDescent="0.25">
      <c r="A224" s="79"/>
      <c r="B224" s="700"/>
      <c r="C224" s="700"/>
      <c r="D224" s="700"/>
      <c r="E224" s="700"/>
      <c r="F224" s="700"/>
      <c r="G224" s="700"/>
      <c r="H224" s="700"/>
      <c r="I224" s="700"/>
      <c r="J224" s="700"/>
      <c r="K224" s="700"/>
      <c r="L224" s="700"/>
      <c r="M224" s="700"/>
      <c r="N224" s="700"/>
      <c r="O224" s="700"/>
      <c r="P224" s="700"/>
      <c r="Q224" s="700"/>
      <c r="R224" s="79"/>
      <c r="AO224" s="342">
        <f t="shared" si="108"/>
        <v>0</v>
      </c>
      <c r="AP224" s="341" t="str">
        <f t="array" ref="AP224">IFERROR( INDEX( $AO$89:$AO$553, MATCH( 0, COUNTIF( $AP$87:AP223, $AO$89:$AO$553), 0)), "-")</f>
        <v>-</v>
      </c>
      <c r="AQ224" s="257" t="str">
        <f t="shared" si="106"/>
        <v>-</v>
      </c>
      <c r="AR224" s="258" t="str">
        <f t="shared" si="111"/>
        <v>-</v>
      </c>
      <c r="AS224" s="259" t="str">
        <f t="shared" si="112"/>
        <v>-</v>
      </c>
      <c r="AT224" s="259" t="str">
        <f t="shared" si="113"/>
        <v>-</v>
      </c>
      <c r="AU224" s="260" t="str">
        <f t="shared" si="114"/>
        <v>-</v>
      </c>
      <c r="AV224" s="261" t="str">
        <f t="shared" si="115"/>
        <v>-</v>
      </c>
      <c r="AW224" s="262" t="str">
        <f t="shared" si="116"/>
        <v>-</v>
      </c>
      <c r="AX224" s="262" t="str">
        <f t="shared" si="117"/>
        <v>-</v>
      </c>
      <c r="AY224" s="263" t="str">
        <f t="shared" si="118"/>
        <v>-</v>
      </c>
      <c r="AZ224" s="264" t="str">
        <f t="shared" si="109"/>
        <v>-</v>
      </c>
      <c r="BA224" s="96" t="str">
        <f t="shared" si="110"/>
        <v>-</v>
      </c>
    </row>
    <row r="225" spans="1:53" ht="18.2" customHeight="1" x14ac:dyDescent="0.25">
      <c r="A225" s="79"/>
      <c r="B225" s="700"/>
      <c r="C225" s="700"/>
      <c r="D225" s="700"/>
      <c r="E225" s="700"/>
      <c r="F225" s="700"/>
      <c r="G225" s="700"/>
      <c r="H225" s="700"/>
      <c r="I225" s="700"/>
      <c r="J225" s="700"/>
      <c r="K225" s="700"/>
      <c r="L225" s="700"/>
      <c r="M225" s="700"/>
      <c r="N225" s="700"/>
      <c r="O225" s="700"/>
      <c r="P225" s="700"/>
      <c r="Q225" s="700"/>
      <c r="R225" s="79"/>
      <c r="AO225" s="342">
        <f t="shared" si="108"/>
        <v>0</v>
      </c>
      <c r="AP225" s="341" t="str">
        <f t="array" ref="AP225">IFERROR( INDEX( $AO$89:$AO$553, MATCH( 0, COUNTIF( $AP$87:AP224, $AO$89:$AO$553), 0)), "-")</f>
        <v>-</v>
      </c>
      <c r="AQ225" s="248" t="str">
        <f t="shared" si="106"/>
        <v>-</v>
      </c>
      <c r="AR225" s="249" t="str">
        <f t="shared" si="111"/>
        <v>-</v>
      </c>
      <c r="AS225" s="250" t="str">
        <f t="shared" si="112"/>
        <v>-</v>
      </c>
      <c r="AT225" s="250" t="str">
        <f t="shared" si="113"/>
        <v>-</v>
      </c>
      <c r="AU225" s="251" t="str">
        <f t="shared" si="114"/>
        <v>-</v>
      </c>
      <c r="AV225" s="252" t="str">
        <f t="shared" si="115"/>
        <v>-</v>
      </c>
      <c r="AW225" s="253" t="str">
        <f t="shared" si="116"/>
        <v>-</v>
      </c>
      <c r="AX225" s="253" t="str">
        <f t="shared" si="117"/>
        <v>-</v>
      </c>
      <c r="AY225" s="254" t="str">
        <f t="shared" si="118"/>
        <v>-</v>
      </c>
      <c r="AZ225" s="255" t="str">
        <f t="shared" si="109"/>
        <v>-</v>
      </c>
      <c r="BA225" s="95" t="str">
        <f t="shared" si="110"/>
        <v>-</v>
      </c>
    </row>
    <row r="226" spans="1:53" ht="18.2" customHeight="1" x14ac:dyDescent="0.25">
      <c r="A226" s="79"/>
      <c r="B226" s="700"/>
      <c r="C226" s="700"/>
      <c r="D226" s="700"/>
      <c r="E226" s="700"/>
      <c r="F226" s="700"/>
      <c r="G226" s="700"/>
      <c r="H226" s="700"/>
      <c r="I226" s="700"/>
      <c r="J226" s="700"/>
      <c r="K226" s="700"/>
      <c r="L226" s="700"/>
      <c r="M226" s="700"/>
      <c r="N226" s="700"/>
      <c r="O226" s="700"/>
      <c r="P226" s="700"/>
      <c r="Q226" s="700"/>
      <c r="R226" s="79"/>
      <c r="AO226" s="342">
        <f t="shared" si="108"/>
        <v>0</v>
      </c>
      <c r="AP226" s="341" t="str">
        <f t="array" ref="AP226">IFERROR( INDEX( $AO$89:$AO$553, MATCH( 0, COUNTIF( $AP$87:AP225, $AO$89:$AO$553), 0)), "-")</f>
        <v>-</v>
      </c>
      <c r="AQ226" s="257" t="str">
        <f t="shared" si="106"/>
        <v>-</v>
      </c>
      <c r="AR226" s="258" t="str">
        <f t="shared" si="111"/>
        <v>-</v>
      </c>
      <c r="AS226" s="259" t="str">
        <f t="shared" si="112"/>
        <v>-</v>
      </c>
      <c r="AT226" s="259" t="str">
        <f t="shared" si="113"/>
        <v>-</v>
      </c>
      <c r="AU226" s="260" t="str">
        <f t="shared" si="114"/>
        <v>-</v>
      </c>
      <c r="AV226" s="261" t="str">
        <f t="shared" si="115"/>
        <v>-</v>
      </c>
      <c r="AW226" s="262" t="str">
        <f t="shared" si="116"/>
        <v>-</v>
      </c>
      <c r="AX226" s="262" t="str">
        <f t="shared" si="117"/>
        <v>-</v>
      </c>
      <c r="AY226" s="263" t="str">
        <f t="shared" si="118"/>
        <v>-</v>
      </c>
      <c r="AZ226" s="264" t="str">
        <f t="shared" si="109"/>
        <v>-</v>
      </c>
      <c r="BA226" s="96" t="str">
        <f t="shared" si="110"/>
        <v>-</v>
      </c>
    </row>
    <row r="227" spans="1:53" ht="18.2" customHeight="1" x14ac:dyDescent="0.25">
      <c r="A227" s="79"/>
      <c r="B227" s="700"/>
      <c r="C227" s="700"/>
      <c r="D227" s="700"/>
      <c r="E227" s="700"/>
      <c r="F227" s="700"/>
      <c r="G227" s="700"/>
      <c r="H227" s="700"/>
      <c r="I227" s="700"/>
      <c r="J227" s="700"/>
      <c r="K227" s="700"/>
      <c r="L227" s="700"/>
      <c r="M227" s="700"/>
      <c r="N227" s="700"/>
      <c r="O227" s="700"/>
      <c r="P227" s="700"/>
      <c r="Q227" s="700"/>
      <c r="R227" s="79"/>
      <c r="AO227" s="342">
        <f t="shared" si="108"/>
        <v>0</v>
      </c>
      <c r="AP227" s="341" t="str">
        <f t="array" ref="AP227">IFERROR( INDEX( $AO$89:$AO$553, MATCH( 0, COUNTIF( $AP$87:AP226, $AO$89:$AO$553), 0)), "-")</f>
        <v>-</v>
      </c>
      <c r="AQ227" s="248" t="str">
        <f t="shared" si="106"/>
        <v>-</v>
      </c>
      <c r="AR227" s="249" t="str">
        <f t="shared" si="111"/>
        <v>-</v>
      </c>
      <c r="AS227" s="250" t="str">
        <f t="shared" si="112"/>
        <v>-</v>
      </c>
      <c r="AT227" s="250" t="str">
        <f t="shared" si="113"/>
        <v>-</v>
      </c>
      <c r="AU227" s="251" t="str">
        <f t="shared" si="114"/>
        <v>-</v>
      </c>
      <c r="AV227" s="252" t="str">
        <f t="shared" si="115"/>
        <v>-</v>
      </c>
      <c r="AW227" s="253" t="str">
        <f t="shared" si="116"/>
        <v>-</v>
      </c>
      <c r="AX227" s="253" t="str">
        <f t="shared" si="117"/>
        <v>-</v>
      </c>
      <c r="AY227" s="254" t="str">
        <f t="shared" si="118"/>
        <v>-</v>
      </c>
      <c r="AZ227" s="255" t="str">
        <f t="shared" si="109"/>
        <v>-</v>
      </c>
      <c r="BA227" s="95" t="str">
        <f t="shared" si="110"/>
        <v>-</v>
      </c>
    </row>
    <row r="228" spans="1:53" s="357" customFormat="1" ht="18.2" customHeight="1" x14ac:dyDescent="0.25">
      <c r="A228" s="79"/>
      <c r="B228" s="700"/>
      <c r="C228" s="700"/>
      <c r="D228" s="700"/>
      <c r="E228" s="700"/>
      <c r="F228" s="700"/>
      <c r="G228" s="700"/>
      <c r="H228" s="700"/>
      <c r="I228" s="700"/>
      <c r="J228" s="700"/>
      <c r="K228" s="700"/>
      <c r="L228" s="700"/>
      <c r="M228" s="700"/>
      <c r="N228" s="700"/>
      <c r="O228" s="700"/>
      <c r="P228" s="700"/>
      <c r="Q228" s="700"/>
      <c r="R228" s="79"/>
      <c r="AO228" s="342"/>
      <c r="AP228" s="341"/>
      <c r="AQ228" s="248"/>
      <c r="AR228" s="249"/>
      <c r="AS228" s="250"/>
      <c r="AT228" s="250"/>
      <c r="AU228" s="251"/>
      <c r="AV228" s="252"/>
      <c r="AW228" s="253"/>
      <c r="AX228" s="253"/>
      <c r="AY228" s="254"/>
      <c r="AZ228" s="255"/>
      <c r="BA228" s="95"/>
    </row>
    <row r="229" spans="1:53" ht="18.2" customHeight="1" x14ac:dyDescent="0.25">
      <c r="A229" s="79"/>
      <c r="B229" s="700"/>
      <c r="C229" s="700"/>
      <c r="D229" s="700"/>
      <c r="E229" s="700"/>
      <c r="F229" s="700"/>
      <c r="G229" s="700"/>
      <c r="H229" s="700"/>
      <c r="I229" s="700"/>
      <c r="J229" s="700"/>
      <c r="K229" s="700"/>
      <c r="L229" s="700"/>
      <c r="M229" s="700"/>
      <c r="N229" s="700"/>
      <c r="O229" s="700"/>
      <c r="P229" s="700"/>
      <c r="Q229" s="700"/>
      <c r="R229" s="79"/>
      <c r="AO229" s="342">
        <f t="shared" ref="AO229:AO273" si="119" xml:space="preserve"> AC111</f>
        <v>0</v>
      </c>
      <c r="AP229" s="341" t="str">
        <f t="array" ref="AP229">IFERROR( INDEX( $AO$89:$AO$553, MATCH( 0, COUNTIF( $AP$87:AP227, $AO$89:$AO$553), 0)), "-")</f>
        <v>-</v>
      </c>
      <c r="AQ229" s="257" t="str">
        <f t="shared" si="106"/>
        <v>-</v>
      </c>
      <c r="AR229" s="258" t="str">
        <f t="shared" si="111"/>
        <v>-</v>
      </c>
      <c r="AS229" s="259" t="str">
        <f t="shared" si="112"/>
        <v>-</v>
      </c>
      <c r="AT229" s="259" t="str">
        <f t="shared" si="113"/>
        <v>-</v>
      </c>
      <c r="AU229" s="260" t="str">
        <f t="shared" si="114"/>
        <v>-</v>
      </c>
      <c r="AV229" s="261" t="str">
        <f t="shared" si="115"/>
        <v>-</v>
      </c>
      <c r="AW229" s="262" t="str">
        <f t="shared" si="116"/>
        <v>-</v>
      </c>
      <c r="AX229" s="262" t="str">
        <f t="shared" si="117"/>
        <v>-</v>
      </c>
      <c r="AY229" s="263" t="str">
        <f t="shared" si="118"/>
        <v>-</v>
      </c>
      <c r="AZ229" s="264" t="str">
        <f t="shared" si="109"/>
        <v>-</v>
      </c>
      <c r="BA229" s="96" t="str">
        <f t="shared" si="110"/>
        <v>-</v>
      </c>
    </row>
    <row r="230" spans="1:53" ht="18.2" customHeight="1" x14ac:dyDescent="0.25">
      <c r="A230" s="79"/>
      <c r="B230" s="701"/>
      <c r="C230" s="701"/>
      <c r="D230" s="701"/>
      <c r="E230" s="701"/>
      <c r="F230" s="701"/>
      <c r="G230" s="701"/>
      <c r="H230" s="701"/>
      <c r="I230" s="701"/>
      <c r="J230" s="701"/>
      <c r="K230" s="701"/>
      <c r="L230" s="701"/>
      <c r="M230" s="701"/>
      <c r="N230" s="701"/>
      <c r="O230" s="701"/>
      <c r="P230" s="701"/>
      <c r="Q230" s="701"/>
      <c r="R230" s="79"/>
      <c r="AO230" s="342">
        <f t="shared" si="119"/>
        <v>0</v>
      </c>
      <c r="AP230" s="341" t="str">
        <f t="array" ref="AP230">IFERROR( INDEX( $AO$89:$AO$553, MATCH( 0, COUNTIF( $AP$87:AP229, $AO$89:$AO$553), 0)), "-")</f>
        <v>-</v>
      </c>
      <c r="AQ230" s="248" t="str">
        <f t="shared" si="106"/>
        <v>-</v>
      </c>
      <c r="AR230" s="249" t="str">
        <f t="shared" si="111"/>
        <v>-</v>
      </c>
      <c r="AS230" s="250" t="str">
        <f t="shared" si="112"/>
        <v>-</v>
      </c>
      <c r="AT230" s="250" t="str">
        <f t="shared" si="113"/>
        <v>-</v>
      </c>
      <c r="AU230" s="251" t="str">
        <f t="shared" si="114"/>
        <v>-</v>
      </c>
      <c r="AV230" s="252" t="str">
        <f t="shared" si="115"/>
        <v>-</v>
      </c>
      <c r="AW230" s="253" t="str">
        <f t="shared" si="116"/>
        <v>-</v>
      </c>
      <c r="AX230" s="253" t="str">
        <f t="shared" si="117"/>
        <v>-</v>
      </c>
      <c r="AY230" s="254" t="str">
        <f t="shared" si="118"/>
        <v>-</v>
      </c>
      <c r="AZ230" s="255" t="str">
        <f t="shared" si="109"/>
        <v>-</v>
      </c>
      <c r="BA230" s="95" t="str">
        <f t="shared" si="110"/>
        <v>-</v>
      </c>
    </row>
    <row r="231" spans="1:53" ht="18.2" customHeight="1" x14ac:dyDescent="0.25">
      <c r="A231" s="79"/>
      <c r="B231" s="463" t="s">
        <v>205</v>
      </c>
      <c r="C231" s="463"/>
      <c r="D231" s="463"/>
      <c r="E231" s="463"/>
      <c r="F231" s="463"/>
      <c r="G231" s="463"/>
      <c r="H231" s="463"/>
      <c r="I231" s="463"/>
      <c r="J231" s="463"/>
      <c r="K231" s="463"/>
      <c r="L231" s="463"/>
      <c r="M231" s="463"/>
      <c r="N231" s="463"/>
      <c r="O231" s="463"/>
      <c r="P231" s="463"/>
      <c r="Q231" s="463"/>
      <c r="R231" s="79"/>
      <c r="AO231" s="342">
        <f t="shared" si="119"/>
        <v>0</v>
      </c>
      <c r="AP231" s="341" t="str">
        <f t="array" ref="AP231">IFERROR( INDEX( $AO$89:$AO$553, MATCH( 0, COUNTIF( $AP$87:AP230, $AO$89:$AO$553), 0)), "-")</f>
        <v>-</v>
      </c>
      <c r="AQ231" s="257" t="str">
        <f t="shared" si="106"/>
        <v>-</v>
      </c>
      <c r="AR231" s="258" t="str">
        <f t="shared" si="111"/>
        <v>-</v>
      </c>
      <c r="AS231" s="259" t="str">
        <f t="shared" si="112"/>
        <v>-</v>
      </c>
      <c r="AT231" s="259" t="str">
        <f t="shared" si="113"/>
        <v>-</v>
      </c>
      <c r="AU231" s="260" t="str">
        <f t="shared" si="114"/>
        <v>-</v>
      </c>
      <c r="AV231" s="261" t="str">
        <f t="shared" si="115"/>
        <v>-</v>
      </c>
      <c r="AW231" s="262" t="str">
        <f t="shared" si="116"/>
        <v>-</v>
      </c>
      <c r="AX231" s="262" t="str">
        <f t="shared" si="117"/>
        <v>-</v>
      </c>
      <c r="AY231" s="263" t="str">
        <f t="shared" si="118"/>
        <v>-</v>
      </c>
      <c r="AZ231" s="264" t="str">
        <f t="shared" si="109"/>
        <v>-</v>
      </c>
      <c r="BA231" s="96" t="str">
        <f t="shared" si="110"/>
        <v>-</v>
      </c>
    </row>
    <row r="232" spans="1:53" ht="98.25" customHeight="1" x14ac:dyDescent="0.25">
      <c r="A232" s="79"/>
      <c r="B232" s="79"/>
      <c r="C232" s="79"/>
      <c r="D232" s="79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AO232" s="342">
        <f t="shared" si="119"/>
        <v>0</v>
      </c>
      <c r="AP232" s="341" t="str">
        <f t="array" ref="AP232">IFERROR( INDEX( $AO$89:$AO$553, MATCH( 0, COUNTIF( $AP$87:AP231, $AO$89:$AO$553), 0)), "-")</f>
        <v>-</v>
      </c>
      <c r="AQ232" s="248" t="str">
        <f t="shared" si="106"/>
        <v>-</v>
      </c>
      <c r="AR232" s="249" t="str">
        <f t="shared" si="111"/>
        <v>-</v>
      </c>
      <c r="AS232" s="250" t="str">
        <f t="shared" si="112"/>
        <v>-</v>
      </c>
      <c r="AT232" s="250" t="str">
        <f t="shared" si="113"/>
        <v>-</v>
      </c>
      <c r="AU232" s="251" t="str">
        <f t="shared" si="114"/>
        <v>-</v>
      </c>
      <c r="AV232" s="252" t="str">
        <f t="shared" si="115"/>
        <v>-</v>
      </c>
      <c r="AW232" s="253" t="str">
        <f t="shared" si="116"/>
        <v>-</v>
      </c>
      <c r="AX232" s="253" t="str">
        <f t="shared" si="117"/>
        <v>-</v>
      </c>
      <c r="AY232" s="254" t="str">
        <f t="shared" si="118"/>
        <v>-</v>
      </c>
      <c r="AZ232" s="255" t="str">
        <f t="shared" si="109"/>
        <v>-</v>
      </c>
      <c r="BA232" s="95" t="str">
        <f t="shared" si="110"/>
        <v>-</v>
      </c>
    </row>
    <row r="233" spans="1:53" ht="18.2" customHeight="1" x14ac:dyDescent="0.25">
      <c r="AO233" s="342">
        <f t="shared" si="119"/>
        <v>0</v>
      </c>
      <c r="AP233" s="341" t="str">
        <f t="array" ref="AP233">IFERROR( INDEX( $AO$89:$AO$553, MATCH( 0, COUNTIF( $AP$87:AP232, $AO$89:$AO$553), 0)), "-")</f>
        <v>-</v>
      </c>
      <c r="AQ233" s="257" t="str">
        <f t="shared" si="106"/>
        <v>-</v>
      </c>
      <c r="AR233" s="258" t="str">
        <f t="shared" si="111"/>
        <v>-</v>
      </c>
      <c r="AS233" s="259" t="str">
        <f t="shared" si="112"/>
        <v>-</v>
      </c>
      <c r="AT233" s="259" t="str">
        <f t="shared" si="113"/>
        <v>-</v>
      </c>
      <c r="AU233" s="260" t="str">
        <f t="shared" si="114"/>
        <v>-</v>
      </c>
      <c r="AV233" s="261" t="str">
        <f t="shared" si="115"/>
        <v>-</v>
      </c>
      <c r="AW233" s="262" t="str">
        <f t="shared" si="116"/>
        <v>-</v>
      </c>
      <c r="AX233" s="262" t="str">
        <f t="shared" si="117"/>
        <v>-</v>
      </c>
      <c r="AY233" s="263" t="str">
        <f t="shared" si="118"/>
        <v>-</v>
      </c>
      <c r="AZ233" s="264" t="str">
        <f t="shared" si="109"/>
        <v>-</v>
      </c>
      <c r="BA233" s="96" t="str">
        <f t="shared" si="110"/>
        <v>-</v>
      </c>
    </row>
    <row r="234" spans="1:53" ht="18.2" customHeight="1" x14ac:dyDescent="0.25">
      <c r="AO234" s="342">
        <f t="shared" si="119"/>
        <v>0</v>
      </c>
      <c r="AP234" s="341" t="str">
        <f t="array" ref="AP234">IFERROR( INDEX( $AO$89:$AO$553, MATCH( 0, COUNTIF( $AP$87:AP233, $AO$89:$AO$553), 0)), "-")</f>
        <v>-</v>
      </c>
      <c r="AQ234" s="248" t="str">
        <f t="shared" si="106"/>
        <v>-</v>
      </c>
      <c r="AR234" s="249" t="str">
        <f t="shared" si="111"/>
        <v>-</v>
      </c>
      <c r="AS234" s="250" t="str">
        <f t="shared" si="112"/>
        <v>-</v>
      </c>
      <c r="AT234" s="250" t="str">
        <f t="shared" si="113"/>
        <v>-</v>
      </c>
      <c r="AU234" s="251" t="str">
        <f t="shared" si="114"/>
        <v>-</v>
      </c>
      <c r="AV234" s="252" t="str">
        <f t="shared" si="115"/>
        <v>-</v>
      </c>
      <c r="AW234" s="253" t="str">
        <f t="shared" si="116"/>
        <v>-</v>
      </c>
      <c r="AX234" s="253" t="str">
        <f t="shared" si="117"/>
        <v>-</v>
      </c>
      <c r="AY234" s="254" t="str">
        <f t="shared" si="118"/>
        <v>-</v>
      </c>
      <c r="AZ234" s="255" t="str">
        <f t="shared" si="109"/>
        <v>-</v>
      </c>
      <c r="BA234" s="95" t="str">
        <f t="shared" si="110"/>
        <v>-</v>
      </c>
    </row>
    <row r="235" spans="1:53" ht="18.2" customHeight="1" x14ac:dyDescent="0.25">
      <c r="AO235" s="342">
        <f t="shared" si="119"/>
        <v>0</v>
      </c>
      <c r="AP235" s="341" t="str">
        <f t="array" ref="AP235">IFERROR( INDEX( $AO$89:$AO$553, MATCH( 0, COUNTIF( $AP$87:AP234, $AO$89:$AO$553), 0)), "-")</f>
        <v>-</v>
      </c>
      <c r="AQ235" s="257" t="str">
        <f t="shared" si="106"/>
        <v>-</v>
      </c>
      <c r="AR235" s="258" t="str">
        <f t="shared" si="111"/>
        <v>-</v>
      </c>
      <c r="AS235" s="259" t="str">
        <f t="shared" si="112"/>
        <v>-</v>
      </c>
      <c r="AT235" s="259" t="str">
        <f t="shared" si="113"/>
        <v>-</v>
      </c>
      <c r="AU235" s="260" t="str">
        <f t="shared" si="114"/>
        <v>-</v>
      </c>
      <c r="AV235" s="261" t="str">
        <f t="shared" si="115"/>
        <v>-</v>
      </c>
      <c r="AW235" s="262" t="str">
        <f t="shared" si="116"/>
        <v>-</v>
      </c>
      <c r="AX235" s="262" t="str">
        <f t="shared" si="117"/>
        <v>-</v>
      </c>
      <c r="AY235" s="263" t="str">
        <f t="shared" si="118"/>
        <v>-</v>
      </c>
      <c r="AZ235" s="264" t="str">
        <f t="shared" si="109"/>
        <v>-</v>
      </c>
      <c r="BA235" s="96" t="str">
        <f t="shared" si="110"/>
        <v>-</v>
      </c>
    </row>
    <row r="236" spans="1:53" ht="18.2" customHeight="1" x14ac:dyDescent="0.25">
      <c r="AO236" s="342">
        <f t="shared" si="119"/>
        <v>0</v>
      </c>
      <c r="AP236" s="341" t="str">
        <f t="array" ref="AP236">IFERROR( INDEX( $AO$89:$AO$553, MATCH( 0, COUNTIF( $AP$87:AP235, $AO$89:$AO$553), 0)), "-")</f>
        <v>-</v>
      </c>
      <c r="AQ236" s="248" t="str">
        <f t="shared" si="106"/>
        <v>-</v>
      </c>
      <c r="AR236" s="249" t="str">
        <f t="shared" si="111"/>
        <v>-</v>
      </c>
      <c r="AS236" s="250" t="str">
        <f t="shared" si="112"/>
        <v>-</v>
      </c>
      <c r="AT236" s="250" t="str">
        <f t="shared" si="113"/>
        <v>-</v>
      </c>
      <c r="AU236" s="251" t="str">
        <f t="shared" si="114"/>
        <v>-</v>
      </c>
      <c r="AV236" s="252" t="str">
        <f t="shared" si="115"/>
        <v>-</v>
      </c>
      <c r="AW236" s="253" t="str">
        <f t="shared" si="116"/>
        <v>-</v>
      </c>
      <c r="AX236" s="253" t="str">
        <f t="shared" si="117"/>
        <v>-</v>
      </c>
      <c r="AY236" s="254" t="str">
        <f t="shared" si="118"/>
        <v>-</v>
      </c>
      <c r="AZ236" s="255" t="str">
        <f t="shared" si="109"/>
        <v>-</v>
      </c>
      <c r="BA236" s="95" t="str">
        <f t="shared" si="110"/>
        <v>-</v>
      </c>
    </row>
    <row r="237" spans="1:53" ht="18.2" customHeight="1" x14ac:dyDescent="0.25">
      <c r="AO237" s="342">
        <f t="shared" si="119"/>
        <v>0</v>
      </c>
      <c r="AP237" s="341" t="str">
        <f t="array" ref="AP237">IFERROR( INDEX( $AO$89:$AO$553, MATCH( 0, COUNTIF( $AP$87:AP236, $AO$89:$AO$553), 0)), "-")</f>
        <v>-</v>
      </c>
      <c r="AQ237" s="257" t="str">
        <f t="shared" si="106"/>
        <v>-</v>
      </c>
      <c r="AR237" s="258" t="str">
        <f t="shared" si="111"/>
        <v>-</v>
      </c>
      <c r="AS237" s="259" t="str">
        <f t="shared" si="112"/>
        <v>-</v>
      </c>
      <c r="AT237" s="259" t="str">
        <f t="shared" si="113"/>
        <v>-</v>
      </c>
      <c r="AU237" s="260" t="str">
        <f t="shared" si="114"/>
        <v>-</v>
      </c>
      <c r="AV237" s="261" t="str">
        <f t="shared" si="115"/>
        <v>-</v>
      </c>
      <c r="AW237" s="262" t="str">
        <f t="shared" si="116"/>
        <v>-</v>
      </c>
      <c r="AX237" s="262" t="str">
        <f t="shared" si="117"/>
        <v>-</v>
      </c>
      <c r="AY237" s="263" t="str">
        <f t="shared" si="118"/>
        <v>-</v>
      </c>
      <c r="AZ237" s="264" t="str">
        <f t="shared" si="109"/>
        <v>-</v>
      </c>
      <c r="BA237" s="96" t="str">
        <f t="shared" si="110"/>
        <v>-</v>
      </c>
    </row>
    <row r="238" spans="1:53" ht="18.2" customHeight="1" x14ac:dyDescent="0.25">
      <c r="AO238" s="342">
        <f t="shared" si="119"/>
        <v>0</v>
      </c>
      <c r="AP238" s="341" t="str">
        <f t="array" ref="AP238">IFERROR( INDEX( $AO$89:$AO$553, MATCH( 0, COUNTIF( $AP$87:AP237, $AO$89:$AO$553), 0)), "-")</f>
        <v>-</v>
      </c>
      <c r="AQ238" s="248" t="str">
        <f t="shared" si="106"/>
        <v>-</v>
      </c>
      <c r="AR238" s="249" t="str">
        <f t="shared" si="111"/>
        <v>-</v>
      </c>
      <c r="AS238" s="250" t="str">
        <f t="shared" si="112"/>
        <v>-</v>
      </c>
      <c r="AT238" s="250" t="str">
        <f t="shared" si="113"/>
        <v>-</v>
      </c>
      <c r="AU238" s="251" t="str">
        <f t="shared" si="114"/>
        <v>-</v>
      </c>
      <c r="AV238" s="252" t="str">
        <f t="shared" si="115"/>
        <v>-</v>
      </c>
      <c r="AW238" s="253" t="str">
        <f t="shared" si="116"/>
        <v>-</v>
      </c>
      <c r="AX238" s="253" t="str">
        <f t="shared" si="117"/>
        <v>-</v>
      </c>
      <c r="AY238" s="254" t="str">
        <f t="shared" si="118"/>
        <v>-</v>
      </c>
      <c r="AZ238" s="255" t="str">
        <f t="shared" si="109"/>
        <v>-</v>
      </c>
      <c r="BA238" s="95" t="str">
        <f t="shared" si="110"/>
        <v>-</v>
      </c>
    </row>
    <row r="239" spans="1:53" ht="18.2" customHeight="1" x14ac:dyDescent="0.25">
      <c r="AO239" s="342">
        <f t="shared" si="119"/>
        <v>0</v>
      </c>
      <c r="AP239" s="341" t="str">
        <f t="array" ref="AP239">IFERROR( INDEX( $AO$89:$AO$553, MATCH( 0, COUNTIF( $AP$87:AP238, $AO$89:$AO$553), 0)), "-")</f>
        <v>-</v>
      </c>
      <c r="AQ239" s="257" t="str">
        <f t="shared" si="106"/>
        <v>-</v>
      </c>
      <c r="AR239" s="258" t="str">
        <f t="shared" si="111"/>
        <v>-</v>
      </c>
      <c r="AS239" s="259" t="str">
        <f t="shared" si="112"/>
        <v>-</v>
      </c>
      <c r="AT239" s="259" t="str">
        <f t="shared" si="113"/>
        <v>-</v>
      </c>
      <c r="AU239" s="260" t="str">
        <f t="shared" si="114"/>
        <v>-</v>
      </c>
      <c r="AV239" s="261" t="str">
        <f t="shared" si="115"/>
        <v>-</v>
      </c>
      <c r="AW239" s="262" t="str">
        <f t="shared" si="116"/>
        <v>-</v>
      </c>
      <c r="AX239" s="262" t="str">
        <f t="shared" si="117"/>
        <v>-</v>
      </c>
      <c r="AY239" s="263" t="str">
        <f t="shared" si="118"/>
        <v>-</v>
      </c>
      <c r="AZ239" s="264" t="str">
        <f t="shared" si="109"/>
        <v>-</v>
      </c>
      <c r="BA239" s="96" t="str">
        <f t="shared" si="110"/>
        <v>-</v>
      </c>
    </row>
    <row r="240" spans="1:53" ht="18.2" customHeight="1" x14ac:dyDescent="0.25">
      <c r="AO240" s="342">
        <f t="shared" si="119"/>
        <v>0</v>
      </c>
      <c r="AP240" s="341" t="str">
        <f t="array" ref="AP240">IFERROR( INDEX( $AO$89:$AO$553, MATCH( 0, COUNTIF( $AP$87:AP239, $AO$89:$AO$553), 0)), "-")</f>
        <v>-</v>
      </c>
      <c r="AQ240" s="248" t="str">
        <f t="shared" si="106"/>
        <v>-</v>
      </c>
      <c r="AR240" s="249" t="str">
        <f t="shared" si="111"/>
        <v>-</v>
      </c>
      <c r="AS240" s="250" t="str">
        <f t="shared" si="112"/>
        <v>-</v>
      </c>
      <c r="AT240" s="250" t="str">
        <f t="shared" si="113"/>
        <v>-</v>
      </c>
      <c r="AU240" s="251" t="str">
        <f t="shared" si="114"/>
        <v>-</v>
      </c>
      <c r="AV240" s="252" t="str">
        <f t="shared" si="115"/>
        <v>-</v>
      </c>
      <c r="AW240" s="253" t="str">
        <f t="shared" si="116"/>
        <v>-</v>
      </c>
      <c r="AX240" s="253" t="str">
        <f t="shared" si="117"/>
        <v>-</v>
      </c>
      <c r="AY240" s="254" t="str">
        <f t="shared" si="118"/>
        <v>-</v>
      </c>
      <c r="AZ240" s="255" t="str">
        <f t="shared" si="109"/>
        <v>-</v>
      </c>
      <c r="BA240" s="95" t="str">
        <f t="shared" si="110"/>
        <v>-</v>
      </c>
    </row>
    <row r="241" spans="41:53" ht="18.2" customHeight="1" x14ac:dyDescent="0.25">
      <c r="AO241" s="342">
        <f t="shared" si="119"/>
        <v>0</v>
      </c>
      <c r="AP241" s="341" t="str">
        <f t="array" ref="AP241">IFERROR( INDEX( $AO$89:$AO$553, MATCH( 0, COUNTIF( $AP$87:AP240, $AO$89:$AO$553), 0)), "-")</f>
        <v>-</v>
      </c>
      <c r="AQ241" s="257" t="str">
        <f t="shared" si="106"/>
        <v>-</v>
      </c>
      <c r="AR241" s="258" t="str">
        <f t="shared" si="111"/>
        <v>-</v>
      </c>
      <c r="AS241" s="259" t="str">
        <f t="shared" si="112"/>
        <v>-</v>
      </c>
      <c r="AT241" s="259" t="str">
        <f t="shared" si="113"/>
        <v>-</v>
      </c>
      <c r="AU241" s="260" t="str">
        <f t="shared" si="114"/>
        <v>-</v>
      </c>
      <c r="AV241" s="261" t="str">
        <f t="shared" si="115"/>
        <v>-</v>
      </c>
      <c r="AW241" s="262" t="str">
        <f t="shared" si="116"/>
        <v>-</v>
      </c>
      <c r="AX241" s="262" t="str">
        <f t="shared" si="117"/>
        <v>-</v>
      </c>
      <c r="AY241" s="263" t="str">
        <f t="shared" si="118"/>
        <v>-</v>
      </c>
      <c r="AZ241" s="264" t="str">
        <f t="shared" si="109"/>
        <v>-</v>
      </c>
      <c r="BA241" s="96" t="str">
        <f t="shared" si="110"/>
        <v>-</v>
      </c>
    </row>
    <row r="242" spans="41:53" ht="18.2" customHeight="1" x14ac:dyDescent="0.25">
      <c r="AO242" s="342">
        <f t="shared" si="119"/>
        <v>0</v>
      </c>
      <c r="AP242" s="341" t="str">
        <f t="array" ref="AP242">IFERROR( INDEX( $AO$89:$AO$553, MATCH( 0, COUNTIF( $AP$87:AP241, $AO$89:$AO$553), 0)), "-")</f>
        <v>-</v>
      </c>
      <c r="AQ242" s="248" t="str">
        <f t="shared" si="106"/>
        <v>-</v>
      </c>
      <c r="AR242" s="249" t="str">
        <f t="shared" si="111"/>
        <v>-</v>
      </c>
      <c r="AS242" s="250" t="str">
        <f t="shared" si="112"/>
        <v>-</v>
      </c>
      <c r="AT242" s="250" t="str">
        <f t="shared" si="113"/>
        <v>-</v>
      </c>
      <c r="AU242" s="251" t="str">
        <f t="shared" si="114"/>
        <v>-</v>
      </c>
      <c r="AV242" s="252" t="str">
        <f t="shared" si="115"/>
        <v>-</v>
      </c>
      <c r="AW242" s="253" t="str">
        <f t="shared" si="116"/>
        <v>-</v>
      </c>
      <c r="AX242" s="253" t="str">
        <f t="shared" si="117"/>
        <v>-</v>
      </c>
      <c r="AY242" s="254" t="str">
        <f t="shared" si="118"/>
        <v>-</v>
      </c>
      <c r="AZ242" s="255" t="str">
        <f t="shared" si="109"/>
        <v>-</v>
      </c>
      <c r="BA242" s="95" t="str">
        <f t="shared" si="110"/>
        <v>-</v>
      </c>
    </row>
    <row r="243" spans="41:53" ht="18.2" customHeight="1" x14ac:dyDescent="0.25">
      <c r="AO243" s="342">
        <f t="shared" si="119"/>
        <v>0</v>
      </c>
      <c r="AP243" s="341" t="str">
        <f t="array" ref="AP243">IFERROR( INDEX( $AO$89:$AO$553, MATCH( 0, COUNTIF( $AP$87:AP242, $AO$89:$AO$553), 0)), "-")</f>
        <v>-</v>
      </c>
      <c r="AQ243" s="257" t="str">
        <f t="shared" si="106"/>
        <v>-</v>
      </c>
      <c r="AR243" s="258" t="str">
        <f t="shared" si="111"/>
        <v>-</v>
      </c>
      <c r="AS243" s="259" t="str">
        <f t="shared" si="112"/>
        <v>-</v>
      </c>
      <c r="AT243" s="259" t="str">
        <f t="shared" si="113"/>
        <v>-</v>
      </c>
      <c r="AU243" s="260" t="str">
        <f t="shared" si="114"/>
        <v>-</v>
      </c>
      <c r="AV243" s="261" t="str">
        <f t="shared" si="115"/>
        <v>-</v>
      </c>
      <c r="AW243" s="262" t="str">
        <f t="shared" si="116"/>
        <v>-</v>
      </c>
      <c r="AX243" s="262" t="str">
        <f t="shared" si="117"/>
        <v>-</v>
      </c>
      <c r="AY243" s="263" t="str">
        <f t="shared" si="118"/>
        <v>-</v>
      </c>
      <c r="AZ243" s="264" t="str">
        <f t="shared" si="109"/>
        <v>-</v>
      </c>
      <c r="BA243" s="96" t="str">
        <f t="shared" si="110"/>
        <v>-</v>
      </c>
    </row>
    <row r="244" spans="41:53" ht="18.2" customHeight="1" x14ac:dyDescent="0.25">
      <c r="AO244" s="342">
        <f t="shared" si="119"/>
        <v>0</v>
      </c>
      <c r="AP244" s="341" t="str">
        <f t="array" ref="AP244">IFERROR( INDEX( $AO$89:$AO$553, MATCH( 0, COUNTIF( $AP$87:AP243, $AO$89:$AO$553), 0)), "-")</f>
        <v>-</v>
      </c>
      <c r="AQ244" s="248" t="str">
        <f t="shared" si="106"/>
        <v>-</v>
      </c>
      <c r="AR244" s="249" t="str">
        <f t="shared" si="111"/>
        <v>-</v>
      </c>
      <c r="AS244" s="250" t="str">
        <f t="shared" si="112"/>
        <v>-</v>
      </c>
      <c r="AT244" s="250" t="str">
        <f t="shared" si="113"/>
        <v>-</v>
      </c>
      <c r="AU244" s="251" t="str">
        <f t="shared" si="114"/>
        <v>-</v>
      </c>
      <c r="AV244" s="252" t="str">
        <f t="shared" si="115"/>
        <v>-</v>
      </c>
      <c r="AW244" s="253" t="str">
        <f t="shared" si="116"/>
        <v>-</v>
      </c>
      <c r="AX244" s="253" t="str">
        <f t="shared" si="117"/>
        <v>-</v>
      </c>
      <c r="AY244" s="254" t="str">
        <f t="shared" si="118"/>
        <v>-</v>
      </c>
      <c r="AZ244" s="255" t="str">
        <f t="shared" si="109"/>
        <v>-</v>
      </c>
      <c r="BA244" s="95" t="str">
        <f t="shared" si="110"/>
        <v>-</v>
      </c>
    </row>
    <row r="245" spans="41:53" ht="18.2" customHeight="1" x14ac:dyDescent="0.25">
      <c r="AO245" s="342">
        <f t="shared" si="119"/>
        <v>0</v>
      </c>
      <c r="AP245" s="341" t="str">
        <f t="array" ref="AP245">IFERROR( INDEX( $AO$89:$AO$553, MATCH( 0, COUNTIF( $AP$87:AP244, $AO$89:$AO$553), 0)), "-")</f>
        <v>-</v>
      </c>
      <c r="AQ245" s="257" t="str">
        <f t="shared" si="106"/>
        <v>-</v>
      </c>
      <c r="AR245" s="258" t="str">
        <f t="shared" si="111"/>
        <v>-</v>
      </c>
      <c r="AS245" s="259" t="str">
        <f t="shared" si="112"/>
        <v>-</v>
      </c>
      <c r="AT245" s="259" t="str">
        <f t="shared" si="113"/>
        <v>-</v>
      </c>
      <c r="AU245" s="260" t="str">
        <f t="shared" si="114"/>
        <v>-</v>
      </c>
      <c r="AV245" s="261" t="str">
        <f t="shared" si="115"/>
        <v>-</v>
      </c>
      <c r="AW245" s="262" t="str">
        <f t="shared" si="116"/>
        <v>-</v>
      </c>
      <c r="AX245" s="262" t="str">
        <f t="shared" si="117"/>
        <v>-</v>
      </c>
      <c r="AY245" s="263" t="str">
        <f t="shared" si="118"/>
        <v>-</v>
      </c>
      <c r="AZ245" s="264" t="str">
        <f t="shared" si="109"/>
        <v>-</v>
      </c>
      <c r="BA245" s="96" t="str">
        <f t="shared" si="110"/>
        <v>-</v>
      </c>
    </row>
    <row r="246" spans="41:53" ht="18.2" customHeight="1" x14ac:dyDescent="0.25">
      <c r="AO246" s="342">
        <f t="shared" si="119"/>
        <v>0</v>
      </c>
      <c r="AP246" s="341" t="str">
        <f t="array" ref="AP246">IFERROR( INDEX( $AO$89:$AO$553, MATCH( 0, COUNTIF( $AP$87:AP245, $AO$89:$AO$553), 0)), "-")</f>
        <v>-</v>
      </c>
      <c r="AQ246" s="248" t="str">
        <f t="shared" si="106"/>
        <v>-</v>
      </c>
      <c r="AR246" s="249" t="str">
        <f t="shared" si="111"/>
        <v>-</v>
      </c>
      <c r="AS246" s="250" t="str">
        <f t="shared" si="112"/>
        <v>-</v>
      </c>
      <c r="AT246" s="250" t="str">
        <f t="shared" si="113"/>
        <v>-</v>
      </c>
      <c r="AU246" s="251" t="str">
        <f t="shared" si="114"/>
        <v>-</v>
      </c>
      <c r="AV246" s="252" t="str">
        <f t="shared" si="115"/>
        <v>-</v>
      </c>
      <c r="AW246" s="253" t="str">
        <f t="shared" si="116"/>
        <v>-</v>
      </c>
      <c r="AX246" s="253" t="str">
        <f t="shared" si="117"/>
        <v>-</v>
      </c>
      <c r="AY246" s="254" t="str">
        <f t="shared" si="118"/>
        <v>-</v>
      </c>
      <c r="AZ246" s="255" t="str">
        <f t="shared" si="109"/>
        <v>-</v>
      </c>
      <c r="BA246" s="95" t="str">
        <f t="shared" si="110"/>
        <v>-</v>
      </c>
    </row>
    <row r="247" spans="41:53" ht="18.2" customHeight="1" x14ac:dyDescent="0.25">
      <c r="AO247" s="342">
        <f t="shared" si="119"/>
        <v>0</v>
      </c>
      <c r="AP247" s="341" t="str">
        <f t="array" ref="AP247">IFERROR( INDEX( $AO$89:$AO$553, MATCH( 0, COUNTIF( $AP$87:AP246, $AO$89:$AO$553), 0)), "-")</f>
        <v>-</v>
      </c>
      <c r="AQ247" s="257" t="str">
        <f t="shared" si="106"/>
        <v>-</v>
      </c>
      <c r="AR247" s="258" t="str">
        <f t="shared" si="111"/>
        <v>-</v>
      </c>
      <c r="AS247" s="259" t="str">
        <f t="shared" si="112"/>
        <v>-</v>
      </c>
      <c r="AT247" s="259" t="str">
        <f t="shared" si="113"/>
        <v>-</v>
      </c>
      <c r="AU247" s="260" t="str">
        <f t="shared" si="114"/>
        <v>-</v>
      </c>
      <c r="AV247" s="261" t="str">
        <f t="shared" si="115"/>
        <v>-</v>
      </c>
      <c r="AW247" s="262" t="str">
        <f t="shared" si="116"/>
        <v>-</v>
      </c>
      <c r="AX247" s="262" t="str">
        <f t="shared" si="117"/>
        <v>-</v>
      </c>
      <c r="AY247" s="263" t="str">
        <f t="shared" si="118"/>
        <v>-</v>
      </c>
      <c r="AZ247" s="264" t="str">
        <f t="shared" si="109"/>
        <v>-</v>
      </c>
      <c r="BA247" s="96" t="str">
        <f t="shared" si="110"/>
        <v>-</v>
      </c>
    </row>
    <row r="248" spans="41:53" ht="18.2" customHeight="1" x14ac:dyDescent="0.25">
      <c r="AO248" s="342">
        <f t="shared" si="119"/>
        <v>0</v>
      </c>
      <c r="AP248" s="341" t="str">
        <f t="array" ref="AP248">IFERROR( INDEX( $AO$89:$AO$553, MATCH( 0, COUNTIF( $AP$87:AP247, $AO$89:$AO$553), 0)), "-")</f>
        <v>-</v>
      </c>
      <c r="AQ248" s="248" t="str">
        <f t="shared" si="106"/>
        <v>-</v>
      </c>
      <c r="AR248" s="249" t="str">
        <f t="shared" si="111"/>
        <v>-</v>
      </c>
      <c r="AS248" s="250" t="str">
        <f t="shared" si="112"/>
        <v>-</v>
      </c>
      <c r="AT248" s="250" t="str">
        <f t="shared" si="113"/>
        <v>-</v>
      </c>
      <c r="AU248" s="251" t="str">
        <f t="shared" si="114"/>
        <v>-</v>
      </c>
      <c r="AV248" s="252" t="str">
        <f t="shared" si="115"/>
        <v>-</v>
      </c>
      <c r="AW248" s="253" t="str">
        <f t="shared" si="116"/>
        <v>-</v>
      </c>
      <c r="AX248" s="253" t="str">
        <f t="shared" si="117"/>
        <v>-</v>
      </c>
      <c r="AY248" s="254" t="str">
        <f t="shared" si="118"/>
        <v>-</v>
      </c>
      <c r="AZ248" s="255" t="str">
        <f t="shared" si="109"/>
        <v>-</v>
      </c>
      <c r="BA248" s="95" t="str">
        <f t="shared" si="110"/>
        <v>-</v>
      </c>
    </row>
    <row r="249" spans="41:53" ht="18.2" customHeight="1" x14ac:dyDescent="0.25">
      <c r="AO249" s="342">
        <f t="shared" si="119"/>
        <v>0</v>
      </c>
      <c r="AP249" s="341" t="str">
        <f t="array" ref="AP249">IFERROR( INDEX( $AO$89:$AO$553, MATCH( 0, COUNTIF( $AP$87:AP248, $AO$89:$AO$553), 0)), "-")</f>
        <v>-</v>
      </c>
      <c r="AQ249" s="257" t="str">
        <f t="shared" si="106"/>
        <v>-</v>
      </c>
      <c r="AR249" s="258" t="str">
        <f t="shared" si="111"/>
        <v>-</v>
      </c>
      <c r="AS249" s="259" t="str">
        <f t="shared" si="112"/>
        <v>-</v>
      </c>
      <c r="AT249" s="259" t="str">
        <f t="shared" si="113"/>
        <v>-</v>
      </c>
      <c r="AU249" s="260" t="str">
        <f t="shared" si="114"/>
        <v>-</v>
      </c>
      <c r="AV249" s="261" t="str">
        <f t="shared" si="115"/>
        <v>-</v>
      </c>
      <c r="AW249" s="262" t="str">
        <f t="shared" si="116"/>
        <v>-</v>
      </c>
      <c r="AX249" s="262" t="str">
        <f t="shared" si="117"/>
        <v>-</v>
      </c>
      <c r="AY249" s="263" t="str">
        <f t="shared" si="118"/>
        <v>-</v>
      </c>
      <c r="AZ249" s="264" t="str">
        <f t="shared" si="109"/>
        <v>-</v>
      </c>
      <c r="BA249" s="96" t="str">
        <f t="shared" si="110"/>
        <v>-</v>
      </c>
    </row>
    <row r="250" spans="41:53" ht="18.2" customHeight="1" x14ac:dyDescent="0.25">
      <c r="AO250" s="342">
        <f t="shared" si="119"/>
        <v>0</v>
      </c>
      <c r="AP250" s="341" t="str">
        <f t="array" ref="AP250">IFERROR( INDEX( $AO$89:$AO$553, MATCH( 0, COUNTIF( $AP$87:AP249, $AO$89:$AO$553), 0)), "-")</f>
        <v>-</v>
      </c>
      <c r="AQ250" s="248" t="str">
        <f t="shared" si="106"/>
        <v>-</v>
      </c>
      <c r="AR250" s="249" t="str">
        <f t="shared" si="111"/>
        <v>-</v>
      </c>
      <c r="AS250" s="250" t="str">
        <f t="shared" si="112"/>
        <v>-</v>
      </c>
      <c r="AT250" s="250" t="str">
        <f t="shared" si="113"/>
        <v>-</v>
      </c>
      <c r="AU250" s="251" t="str">
        <f t="shared" si="114"/>
        <v>-</v>
      </c>
      <c r="AV250" s="252" t="str">
        <f t="shared" si="115"/>
        <v>-</v>
      </c>
      <c r="AW250" s="253" t="str">
        <f t="shared" si="116"/>
        <v>-</v>
      </c>
      <c r="AX250" s="253" t="str">
        <f t="shared" si="117"/>
        <v>-</v>
      </c>
      <c r="AY250" s="254" t="str">
        <f t="shared" si="118"/>
        <v>-</v>
      </c>
      <c r="AZ250" s="255" t="str">
        <f t="shared" si="109"/>
        <v>-</v>
      </c>
      <c r="BA250" s="95" t="str">
        <f t="shared" si="110"/>
        <v>-</v>
      </c>
    </row>
    <row r="251" spans="41:53" ht="18.2" customHeight="1" x14ac:dyDescent="0.25">
      <c r="AO251" s="342">
        <f t="shared" si="119"/>
        <v>0</v>
      </c>
      <c r="AP251" s="341" t="str">
        <f t="array" ref="AP251">IFERROR( INDEX( $AO$89:$AO$553, MATCH( 0, COUNTIF( $AP$87:AP250, $AO$89:$AO$553), 0)), "-")</f>
        <v>-</v>
      </c>
      <c r="AQ251" s="257" t="str">
        <f t="shared" si="106"/>
        <v>-</v>
      </c>
      <c r="AR251" s="258" t="str">
        <f t="shared" si="111"/>
        <v>-</v>
      </c>
      <c r="AS251" s="259" t="str">
        <f t="shared" si="112"/>
        <v>-</v>
      </c>
      <c r="AT251" s="259" t="str">
        <f t="shared" si="113"/>
        <v>-</v>
      </c>
      <c r="AU251" s="260" t="str">
        <f t="shared" si="114"/>
        <v>-</v>
      </c>
      <c r="AV251" s="261" t="str">
        <f t="shared" si="115"/>
        <v>-</v>
      </c>
      <c r="AW251" s="262" t="str">
        <f t="shared" si="116"/>
        <v>-</v>
      </c>
      <c r="AX251" s="262" t="str">
        <f t="shared" si="117"/>
        <v>-</v>
      </c>
      <c r="AY251" s="263" t="str">
        <f t="shared" si="118"/>
        <v>-</v>
      </c>
      <c r="AZ251" s="264" t="str">
        <f t="shared" ref="AZ251:AZ287" si="120" xml:space="preserve"> IFERROR( IF( AQ251="-", "-", AVERAGE( AR251:AU251)), "-")</f>
        <v>-</v>
      </c>
      <c r="BA251" s="96" t="str">
        <f t="shared" ref="BA251:BA287" si="121" xml:space="preserve"> IFERROR( IF( AQ251="-", "-", AVERAGE( AV251:AY251)), "-")</f>
        <v>-</v>
      </c>
    </row>
    <row r="252" spans="41:53" ht="18.2" customHeight="1" x14ac:dyDescent="0.25">
      <c r="AO252" s="342">
        <f t="shared" si="119"/>
        <v>0</v>
      </c>
      <c r="AP252" s="341" t="str">
        <f t="array" ref="AP252">IFERROR( INDEX( $AO$89:$AO$553, MATCH( 0, COUNTIF( $AP$87:AP251, $AO$89:$AO$553), 0)), "-")</f>
        <v>-</v>
      </c>
      <c r="AQ252" s="248" t="str">
        <f t="shared" si="106"/>
        <v>-</v>
      </c>
      <c r="AR252" s="249" t="str">
        <f t="shared" ref="AR252:AR287" si="122">IFERROR( IF( $B$8="-", "-", IF(AP252="", "-", VLOOKUP(AP252, $AK$89:$AM$204, 2, 0))), "-")</f>
        <v>-</v>
      </c>
      <c r="AS252" s="250" t="str">
        <f t="shared" ref="AS252:AS287" si="123">IFERROR( IF( $B$8="-", "-", IF(AP252="", "-", VLOOKUP(AP252, $AG$89:$AI$204, 2, 0))), "-")</f>
        <v>-</v>
      </c>
      <c r="AT252" s="250" t="str">
        <f t="shared" ref="AT252:AT287" si="124">IFERROR( IF( $B$8="-", "-", IF(AP252="", "-", VLOOKUP(AP252, $AC$89:$AE$204, 2, 0))), "-")</f>
        <v>-</v>
      </c>
      <c r="AU252" s="251" t="str">
        <f t="shared" ref="AU252:AU287" si="125">IFERROR( IF( $B$8="-", "-", IF(AP252="", "-", VLOOKUP(AP252, $W$89:$Y$204, 2, 0))), "-")</f>
        <v>-</v>
      </c>
      <c r="AV252" s="252" t="str">
        <f t="shared" ref="AV252:AV287" si="126">IFERROR(IF( $B$8="-", "-", IF(AP252="", "-", VLOOKUP(AP252, $AK$89:$AM$204, 3, 0))), "-")</f>
        <v>-</v>
      </c>
      <c r="AW252" s="253" t="str">
        <f t="shared" ref="AW252:AW287" si="127">IFERROR(IF( $B$8="-", "-", IF(AP252="", "-", VLOOKUP(AP252, $AG$89:$AI$204, 3, 0))), "-")</f>
        <v>-</v>
      </c>
      <c r="AX252" s="253" t="str">
        <f t="shared" ref="AX252:AX287" si="128">IFERROR(IF( $B$8="-", "-", IF(AP252="", "-", VLOOKUP(AP252, $AC$89:$AE$204, 3, 0))), "-")</f>
        <v>-</v>
      </c>
      <c r="AY252" s="254" t="str">
        <f t="shared" ref="AY252:AY287" si="129">IFERROR( IF( $B$8="-", "-", IF(AP252="", "-", VLOOKUP(AP252, $W$89:$Y$204, 3, 0))), "-")</f>
        <v>-</v>
      </c>
      <c r="AZ252" s="255" t="str">
        <f t="shared" si="120"/>
        <v>-</v>
      </c>
      <c r="BA252" s="95" t="str">
        <f t="shared" si="121"/>
        <v>-</v>
      </c>
    </row>
    <row r="253" spans="41:53" ht="18.2" customHeight="1" x14ac:dyDescent="0.25">
      <c r="AO253" s="342">
        <f t="shared" si="119"/>
        <v>0</v>
      </c>
      <c r="AP253" s="341" t="str">
        <f t="array" ref="AP253">IFERROR( INDEX( $AO$89:$AO$553, MATCH( 0, COUNTIF( $AP$87:AP252, $AO$89:$AO$553), 0)), "-")</f>
        <v>-</v>
      </c>
      <c r="AQ253" s="257" t="str">
        <f t="shared" si="106"/>
        <v>-</v>
      </c>
      <c r="AR253" s="258" t="str">
        <f t="shared" si="122"/>
        <v>-</v>
      </c>
      <c r="AS253" s="259" t="str">
        <f t="shared" si="123"/>
        <v>-</v>
      </c>
      <c r="AT253" s="259" t="str">
        <f t="shared" si="124"/>
        <v>-</v>
      </c>
      <c r="AU253" s="260" t="str">
        <f t="shared" si="125"/>
        <v>-</v>
      </c>
      <c r="AV253" s="261" t="str">
        <f t="shared" si="126"/>
        <v>-</v>
      </c>
      <c r="AW253" s="262" t="str">
        <f t="shared" si="127"/>
        <v>-</v>
      </c>
      <c r="AX253" s="262" t="str">
        <f t="shared" si="128"/>
        <v>-</v>
      </c>
      <c r="AY253" s="263" t="str">
        <f t="shared" si="129"/>
        <v>-</v>
      </c>
      <c r="AZ253" s="264" t="str">
        <f t="shared" si="120"/>
        <v>-</v>
      </c>
      <c r="BA253" s="96" t="str">
        <f t="shared" si="121"/>
        <v>-</v>
      </c>
    </row>
    <row r="254" spans="41:53" ht="18.2" customHeight="1" x14ac:dyDescent="0.25">
      <c r="AO254" s="342">
        <f t="shared" si="119"/>
        <v>0</v>
      </c>
      <c r="AP254" s="341" t="str">
        <f t="array" ref="AP254">IFERROR( INDEX( $AO$89:$AO$553, MATCH( 0, COUNTIF( $AP$87:AP253, $AO$89:$AO$553), 0)), "-")</f>
        <v>-</v>
      </c>
      <c r="AQ254" s="248" t="str">
        <f t="shared" si="106"/>
        <v>-</v>
      </c>
      <c r="AR254" s="249" t="str">
        <f t="shared" si="122"/>
        <v>-</v>
      </c>
      <c r="AS254" s="250" t="str">
        <f t="shared" si="123"/>
        <v>-</v>
      </c>
      <c r="AT254" s="250" t="str">
        <f t="shared" si="124"/>
        <v>-</v>
      </c>
      <c r="AU254" s="251" t="str">
        <f t="shared" si="125"/>
        <v>-</v>
      </c>
      <c r="AV254" s="252" t="str">
        <f t="shared" si="126"/>
        <v>-</v>
      </c>
      <c r="AW254" s="253" t="str">
        <f t="shared" si="127"/>
        <v>-</v>
      </c>
      <c r="AX254" s="253" t="str">
        <f t="shared" si="128"/>
        <v>-</v>
      </c>
      <c r="AY254" s="254" t="str">
        <f t="shared" si="129"/>
        <v>-</v>
      </c>
      <c r="AZ254" s="255" t="str">
        <f t="shared" si="120"/>
        <v>-</v>
      </c>
      <c r="BA254" s="95" t="str">
        <f t="shared" si="121"/>
        <v>-</v>
      </c>
    </row>
    <row r="255" spans="41:53" ht="18.2" customHeight="1" x14ac:dyDescent="0.25">
      <c r="AO255" s="342">
        <f t="shared" si="119"/>
        <v>0</v>
      </c>
      <c r="AP255" s="341" t="str">
        <f t="array" ref="AP255">IFERROR( INDEX( $AO$89:$AO$553, MATCH( 0, COUNTIF( $AP$87:AP254, $AO$89:$AO$553), 0)), "-")</f>
        <v>-</v>
      </c>
      <c r="AQ255" s="257" t="str">
        <f t="shared" si="106"/>
        <v>-</v>
      </c>
      <c r="AR255" s="258" t="str">
        <f t="shared" si="122"/>
        <v>-</v>
      </c>
      <c r="AS255" s="259" t="str">
        <f t="shared" si="123"/>
        <v>-</v>
      </c>
      <c r="AT255" s="259" t="str">
        <f t="shared" si="124"/>
        <v>-</v>
      </c>
      <c r="AU255" s="260" t="str">
        <f t="shared" si="125"/>
        <v>-</v>
      </c>
      <c r="AV255" s="261" t="str">
        <f t="shared" si="126"/>
        <v>-</v>
      </c>
      <c r="AW255" s="262" t="str">
        <f t="shared" si="127"/>
        <v>-</v>
      </c>
      <c r="AX255" s="262" t="str">
        <f t="shared" si="128"/>
        <v>-</v>
      </c>
      <c r="AY255" s="263" t="str">
        <f t="shared" si="129"/>
        <v>-</v>
      </c>
      <c r="AZ255" s="264" t="str">
        <f t="shared" si="120"/>
        <v>-</v>
      </c>
      <c r="BA255" s="96" t="str">
        <f t="shared" si="121"/>
        <v>-</v>
      </c>
    </row>
    <row r="256" spans="41:53" ht="18.2" customHeight="1" x14ac:dyDescent="0.25">
      <c r="AO256" s="342">
        <f t="shared" si="119"/>
        <v>0</v>
      </c>
      <c r="AP256" s="341" t="str">
        <f t="array" ref="AP256">IFERROR( INDEX( $AO$89:$AO$553, MATCH( 0, COUNTIF( $AP$87:AP255, $AO$89:$AO$553), 0)), "-")</f>
        <v>-</v>
      </c>
      <c r="AQ256" s="248" t="str">
        <f t="shared" si="106"/>
        <v>-</v>
      </c>
      <c r="AR256" s="249" t="str">
        <f t="shared" si="122"/>
        <v>-</v>
      </c>
      <c r="AS256" s="250" t="str">
        <f t="shared" si="123"/>
        <v>-</v>
      </c>
      <c r="AT256" s="250" t="str">
        <f t="shared" si="124"/>
        <v>-</v>
      </c>
      <c r="AU256" s="251" t="str">
        <f t="shared" si="125"/>
        <v>-</v>
      </c>
      <c r="AV256" s="252" t="str">
        <f t="shared" si="126"/>
        <v>-</v>
      </c>
      <c r="AW256" s="253" t="str">
        <f t="shared" si="127"/>
        <v>-</v>
      </c>
      <c r="AX256" s="253" t="str">
        <f t="shared" si="128"/>
        <v>-</v>
      </c>
      <c r="AY256" s="254" t="str">
        <f t="shared" si="129"/>
        <v>-</v>
      </c>
      <c r="AZ256" s="255" t="str">
        <f t="shared" si="120"/>
        <v>-</v>
      </c>
      <c r="BA256" s="95" t="str">
        <f t="shared" si="121"/>
        <v>-</v>
      </c>
    </row>
    <row r="257" spans="41:53" ht="18.2" customHeight="1" x14ac:dyDescent="0.25">
      <c r="AO257" s="342">
        <f t="shared" si="119"/>
        <v>0</v>
      </c>
      <c r="AP257" s="341" t="str">
        <f t="array" ref="AP257">IFERROR( INDEX( $AO$89:$AO$553, MATCH( 0, COUNTIF( $AP$87:AP256, $AO$89:$AO$553), 0)), "-")</f>
        <v>-</v>
      </c>
      <c r="AQ257" s="257" t="str">
        <f t="shared" si="106"/>
        <v>-</v>
      </c>
      <c r="AR257" s="258" t="str">
        <f t="shared" si="122"/>
        <v>-</v>
      </c>
      <c r="AS257" s="259" t="str">
        <f t="shared" si="123"/>
        <v>-</v>
      </c>
      <c r="AT257" s="259" t="str">
        <f t="shared" si="124"/>
        <v>-</v>
      </c>
      <c r="AU257" s="260" t="str">
        <f t="shared" si="125"/>
        <v>-</v>
      </c>
      <c r="AV257" s="261" t="str">
        <f t="shared" si="126"/>
        <v>-</v>
      </c>
      <c r="AW257" s="262" t="str">
        <f t="shared" si="127"/>
        <v>-</v>
      </c>
      <c r="AX257" s="262" t="str">
        <f t="shared" si="128"/>
        <v>-</v>
      </c>
      <c r="AY257" s="263" t="str">
        <f t="shared" si="129"/>
        <v>-</v>
      </c>
      <c r="AZ257" s="264" t="str">
        <f t="shared" si="120"/>
        <v>-</v>
      </c>
      <c r="BA257" s="96" t="str">
        <f t="shared" si="121"/>
        <v>-</v>
      </c>
    </row>
    <row r="258" spans="41:53" ht="18.2" customHeight="1" x14ac:dyDescent="0.25">
      <c r="AO258" s="342">
        <f t="shared" si="119"/>
        <v>0</v>
      </c>
      <c r="AP258" s="341" t="str">
        <f t="array" ref="AP258">IFERROR( INDEX( $AO$89:$AO$553, MATCH( 0, COUNTIF( $AP$87:AP257, $AO$89:$AO$553), 0)), "-")</f>
        <v>-</v>
      </c>
      <c r="AQ258" s="248" t="str">
        <f t="shared" si="106"/>
        <v>-</v>
      </c>
      <c r="AR258" s="249" t="str">
        <f t="shared" si="122"/>
        <v>-</v>
      </c>
      <c r="AS258" s="250" t="str">
        <f t="shared" si="123"/>
        <v>-</v>
      </c>
      <c r="AT258" s="250" t="str">
        <f t="shared" si="124"/>
        <v>-</v>
      </c>
      <c r="AU258" s="251" t="str">
        <f t="shared" si="125"/>
        <v>-</v>
      </c>
      <c r="AV258" s="252" t="str">
        <f t="shared" si="126"/>
        <v>-</v>
      </c>
      <c r="AW258" s="253" t="str">
        <f t="shared" si="127"/>
        <v>-</v>
      </c>
      <c r="AX258" s="253" t="str">
        <f t="shared" si="128"/>
        <v>-</v>
      </c>
      <c r="AY258" s="254" t="str">
        <f t="shared" si="129"/>
        <v>-</v>
      </c>
      <c r="AZ258" s="255" t="str">
        <f t="shared" si="120"/>
        <v>-</v>
      </c>
      <c r="BA258" s="95" t="str">
        <f t="shared" si="121"/>
        <v>-</v>
      </c>
    </row>
    <row r="259" spans="41:53" ht="18.2" customHeight="1" x14ac:dyDescent="0.25">
      <c r="AO259" s="342">
        <f t="shared" si="119"/>
        <v>0</v>
      </c>
      <c r="AP259" s="341" t="str">
        <f t="array" ref="AP259">IFERROR( INDEX( $AO$89:$AO$553, MATCH( 0, COUNTIF( $AP$87:AP258, $AO$89:$AO$553), 0)), "-")</f>
        <v>-</v>
      </c>
      <c r="AQ259" s="257" t="str">
        <f t="shared" si="106"/>
        <v>-</v>
      </c>
      <c r="AR259" s="258" t="str">
        <f t="shared" si="122"/>
        <v>-</v>
      </c>
      <c r="AS259" s="259" t="str">
        <f t="shared" si="123"/>
        <v>-</v>
      </c>
      <c r="AT259" s="259" t="str">
        <f t="shared" si="124"/>
        <v>-</v>
      </c>
      <c r="AU259" s="260" t="str">
        <f t="shared" si="125"/>
        <v>-</v>
      </c>
      <c r="AV259" s="261" t="str">
        <f t="shared" si="126"/>
        <v>-</v>
      </c>
      <c r="AW259" s="262" t="str">
        <f t="shared" si="127"/>
        <v>-</v>
      </c>
      <c r="AX259" s="262" t="str">
        <f t="shared" si="128"/>
        <v>-</v>
      </c>
      <c r="AY259" s="263" t="str">
        <f t="shared" si="129"/>
        <v>-</v>
      </c>
      <c r="AZ259" s="264" t="str">
        <f t="shared" si="120"/>
        <v>-</v>
      </c>
      <c r="BA259" s="96" t="str">
        <f t="shared" si="121"/>
        <v>-</v>
      </c>
    </row>
    <row r="260" spans="41:53" ht="18.2" customHeight="1" x14ac:dyDescent="0.25">
      <c r="AO260" s="342">
        <f t="shared" si="119"/>
        <v>0</v>
      </c>
      <c r="AP260" s="341" t="str">
        <f t="array" ref="AP260">IFERROR( INDEX( $AO$89:$AO$553, MATCH( 0, COUNTIF( $AP$87:AP259, $AO$89:$AO$553), 0)), "-")</f>
        <v>-</v>
      </c>
      <c r="AQ260" s="248" t="str">
        <f t="shared" si="106"/>
        <v>-</v>
      </c>
      <c r="AR260" s="249" t="str">
        <f t="shared" si="122"/>
        <v>-</v>
      </c>
      <c r="AS260" s="250" t="str">
        <f t="shared" si="123"/>
        <v>-</v>
      </c>
      <c r="AT260" s="250" t="str">
        <f t="shared" si="124"/>
        <v>-</v>
      </c>
      <c r="AU260" s="251" t="str">
        <f t="shared" si="125"/>
        <v>-</v>
      </c>
      <c r="AV260" s="252" t="str">
        <f t="shared" si="126"/>
        <v>-</v>
      </c>
      <c r="AW260" s="253" t="str">
        <f t="shared" si="127"/>
        <v>-</v>
      </c>
      <c r="AX260" s="253" t="str">
        <f t="shared" si="128"/>
        <v>-</v>
      </c>
      <c r="AY260" s="254" t="str">
        <f t="shared" si="129"/>
        <v>-</v>
      </c>
      <c r="AZ260" s="255" t="str">
        <f t="shared" si="120"/>
        <v>-</v>
      </c>
      <c r="BA260" s="95" t="str">
        <f t="shared" si="121"/>
        <v>-</v>
      </c>
    </row>
    <row r="261" spans="41:53" ht="18.2" customHeight="1" x14ac:dyDescent="0.25">
      <c r="AO261" s="342">
        <f t="shared" si="119"/>
        <v>0</v>
      </c>
      <c r="AP261" s="341" t="str">
        <f t="array" ref="AP261">IFERROR( INDEX( $AO$89:$AO$553, MATCH( 0, COUNTIF( $AP$87:AP260, $AO$89:$AO$553), 0)), "-")</f>
        <v>-</v>
      </c>
      <c r="AQ261" s="257" t="str">
        <f t="shared" si="106"/>
        <v>-</v>
      </c>
      <c r="AR261" s="258" t="str">
        <f t="shared" si="122"/>
        <v>-</v>
      </c>
      <c r="AS261" s="259" t="str">
        <f t="shared" si="123"/>
        <v>-</v>
      </c>
      <c r="AT261" s="259" t="str">
        <f t="shared" si="124"/>
        <v>-</v>
      </c>
      <c r="AU261" s="260" t="str">
        <f t="shared" si="125"/>
        <v>-</v>
      </c>
      <c r="AV261" s="261" t="str">
        <f t="shared" si="126"/>
        <v>-</v>
      </c>
      <c r="AW261" s="262" t="str">
        <f t="shared" si="127"/>
        <v>-</v>
      </c>
      <c r="AX261" s="262" t="str">
        <f t="shared" si="128"/>
        <v>-</v>
      </c>
      <c r="AY261" s="263" t="str">
        <f t="shared" si="129"/>
        <v>-</v>
      </c>
      <c r="AZ261" s="264" t="str">
        <f t="shared" si="120"/>
        <v>-</v>
      </c>
      <c r="BA261" s="96" t="str">
        <f t="shared" si="121"/>
        <v>-</v>
      </c>
    </row>
    <row r="262" spans="41:53" ht="18.2" customHeight="1" x14ac:dyDescent="0.25">
      <c r="AO262" s="342">
        <f t="shared" si="119"/>
        <v>0</v>
      </c>
      <c r="AP262" s="341" t="str">
        <f t="array" ref="AP262">IFERROR( INDEX( $AO$89:$AO$553, MATCH( 0, COUNTIF( $AP$87:AP261, $AO$89:$AO$553), 0)), "-")</f>
        <v>-</v>
      </c>
      <c r="AQ262" s="248" t="str">
        <f t="shared" si="106"/>
        <v>-</v>
      </c>
      <c r="AR262" s="249" t="str">
        <f t="shared" si="122"/>
        <v>-</v>
      </c>
      <c r="AS262" s="250" t="str">
        <f t="shared" si="123"/>
        <v>-</v>
      </c>
      <c r="AT262" s="250" t="str">
        <f t="shared" si="124"/>
        <v>-</v>
      </c>
      <c r="AU262" s="251" t="str">
        <f t="shared" si="125"/>
        <v>-</v>
      </c>
      <c r="AV262" s="252" t="str">
        <f t="shared" si="126"/>
        <v>-</v>
      </c>
      <c r="AW262" s="253" t="str">
        <f t="shared" si="127"/>
        <v>-</v>
      </c>
      <c r="AX262" s="253" t="str">
        <f t="shared" si="128"/>
        <v>-</v>
      </c>
      <c r="AY262" s="254" t="str">
        <f t="shared" si="129"/>
        <v>-</v>
      </c>
      <c r="AZ262" s="255" t="str">
        <f t="shared" si="120"/>
        <v>-</v>
      </c>
      <c r="BA262" s="95" t="str">
        <f t="shared" si="121"/>
        <v>-</v>
      </c>
    </row>
    <row r="263" spans="41:53" ht="18.2" customHeight="1" x14ac:dyDescent="0.25">
      <c r="AO263" s="342">
        <f t="shared" si="119"/>
        <v>0</v>
      </c>
      <c r="AP263" s="341" t="str">
        <f t="array" ref="AP263">IFERROR( INDEX( $AO$89:$AO$553, MATCH( 0, COUNTIF( $AP$87:AP262, $AO$89:$AO$553), 0)), "-")</f>
        <v>-</v>
      </c>
      <c r="AQ263" s="257" t="str">
        <f t="shared" si="106"/>
        <v>-</v>
      </c>
      <c r="AR263" s="258" t="str">
        <f t="shared" si="122"/>
        <v>-</v>
      </c>
      <c r="AS263" s="259" t="str">
        <f t="shared" si="123"/>
        <v>-</v>
      </c>
      <c r="AT263" s="259" t="str">
        <f t="shared" si="124"/>
        <v>-</v>
      </c>
      <c r="AU263" s="260" t="str">
        <f t="shared" si="125"/>
        <v>-</v>
      </c>
      <c r="AV263" s="261" t="str">
        <f t="shared" si="126"/>
        <v>-</v>
      </c>
      <c r="AW263" s="262" t="str">
        <f t="shared" si="127"/>
        <v>-</v>
      </c>
      <c r="AX263" s="262" t="str">
        <f t="shared" si="128"/>
        <v>-</v>
      </c>
      <c r="AY263" s="263" t="str">
        <f t="shared" si="129"/>
        <v>-</v>
      </c>
      <c r="AZ263" s="264" t="str">
        <f t="shared" si="120"/>
        <v>-</v>
      </c>
      <c r="BA263" s="96" t="str">
        <f t="shared" si="121"/>
        <v>-</v>
      </c>
    </row>
    <row r="264" spans="41:53" ht="18.2" customHeight="1" x14ac:dyDescent="0.25">
      <c r="AO264" s="342">
        <f t="shared" si="119"/>
        <v>0</v>
      </c>
      <c r="AP264" s="341" t="str">
        <f t="array" ref="AP264">IFERROR( INDEX( $AO$89:$AO$553, MATCH( 0, COUNTIF( $AP$87:AP263, $AO$89:$AO$553), 0)), "-")</f>
        <v>-</v>
      </c>
      <c r="AQ264" s="248" t="str">
        <f t="shared" si="106"/>
        <v>-</v>
      </c>
      <c r="AR264" s="249" t="str">
        <f t="shared" si="122"/>
        <v>-</v>
      </c>
      <c r="AS264" s="250" t="str">
        <f t="shared" si="123"/>
        <v>-</v>
      </c>
      <c r="AT264" s="250" t="str">
        <f t="shared" si="124"/>
        <v>-</v>
      </c>
      <c r="AU264" s="251" t="str">
        <f t="shared" si="125"/>
        <v>-</v>
      </c>
      <c r="AV264" s="252" t="str">
        <f t="shared" si="126"/>
        <v>-</v>
      </c>
      <c r="AW264" s="253" t="str">
        <f t="shared" si="127"/>
        <v>-</v>
      </c>
      <c r="AX264" s="253" t="str">
        <f t="shared" si="128"/>
        <v>-</v>
      </c>
      <c r="AY264" s="254" t="str">
        <f t="shared" si="129"/>
        <v>-</v>
      </c>
      <c r="AZ264" s="255" t="str">
        <f t="shared" si="120"/>
        <v>-</v>
      </c>
      <c r="BA264" s="95" t="str">
        <f t="shared" si="121"/>
        <v>-</v>
      </c>
    </row>
    <row r="265" spans="41:53" ht="18.2" customHeight="1" x14ac:dyDescent="0.25">
      <c r="AO265" s="342">
        <f t="shared" si="119"/>
        <v>0</v>
      </c>
      <c r="AP265" s="341" t="str">
        <f t="array" ref="AP265">IFERROR( INDEX( $AO$89:$AO$553, MATCH( 0, COUNTIF( $AP$87:AP264, $AO$89:$AO$553), 0)), "-")</f>
        <v>-</v>
      </c>
      <c r="AQ265" s="257" t="str">
        <f t="shared" si="106"/>
        <v>-</v>
      </c>
      <c r="AR265" s="258" t="str">
        <f t="shared" si="122"/>
        <v>-</v>
      </c>
      <c r="AS265" s="259" t="str">
        <f t="shared" si="123"/>
        <v>-</v>
      </c>
      <c r="AT265" s="259" t="str">
        <f t="shared" si="124"/>
        <v>-</v>
      </c>
      <c r="AU265" s="260" t="str">
        <f t="shared" si="125"/>
        <v>-</v>
      </c>
      <c r="AV265" s="261" t="str">
        <f t="shared" si="126"/>
        <v>-</v>
      </c>
      <c r="AW265" s="262" t="str">
        <f t="shared" si="127"/>
        <v>-</v>
      </c>
      <c r="AX265" s="262" t="str">
        <f t="shared" si="128"/>
        <v>-</v>
      </c>
      <c r="AY265" s="263" t="str">
        <f t="shared" si="129"/>
        <v>-</v>
      </c>
      <c r="AZ265" s="264" t="str">
        <f t="shared" si="120"/>
        <v>-</v>
      </c>
      <c r="BA265" s="96" t="str">
        <f t="shared" si="121"/>
        <v>-</v>
      </c>
    </row>
    <row r="266" spans="41:53" ht="18.2" customHeight="1" x14ac:dyDescent="0.25">
      <c r="AO266" s="342">
        <f t="shared" si="119"/>
        <v>0</v>
      </c>
      <c r="AP266" s="341" t="str">
        <f t="array" ref="AP266">IFERROR( INDEX( $AO$89:$AO$553, MATCH( 0, COUNTIF( $AP$87:AP265, $AO$89:$AO$553), 0)), "-")</f>
        <v>-</v>
      </c>
      <c r="AQ266" s="248" t="str">
        <f t="shared" si="106"/>
        <v>-</v>
      </c>
      <c r="AR266" s="249" t="str">
        <f t="shared" si="122"/>
        <v>-</v>
      </c>
      <c r="AS266" s="250" t="str">
        <f t="shared" si="123"/>
        <v>-</v>
      </c>
      <c r="AT266" s="250" t="str">
        <f t="shared" si="124"/>
        <v>-</v>
      </c>
      <c r="AU266" s="251" t="str">
        <f t="shared" si="125"/>
        <v>-</v>
      </c>
      <c r="AV266" s="252" t="str">
        <f t="shared" si="126"/>
        <v>-</v>
      </c>
      <c r="AW266" s="253" t="str">
        <f t="shared" si="127"/>
        <v>-</v>
      </c>
      <c r="AX266" s="253" t="str">
        <f t="shared" si="128"/>
        <v>-</v>
      </c>
      <c r="AY266" s="254" t="str">
        <f t="shared" si="129"/>
        <v>-</v>
      </c>
      <c r="AZ266" s="255" t="str">
        <f t="shared" si="120"/>
        <v>-</v>
      </c>
      <c r="BA266" s="95" t="str">
        <f t="shared" si="121"/>
        <v>-</v>
      </c>
    </row>
    <row r="267" spans="41:53" ht="18.2" customHeight="1" x14ac:dyDescent="0.25">
      <c r="AO267" s="342">
        <f t="shared" si="119"/>
        <v>0</v>
      </c>
      <c r="AP267" s="341" t="str">
        <f t="array" ref="AP267">IFERROR( INDEX( $AO$89:$AO$553, MATCH( 0, COUNTIF( $AP$87:AP266, $AO$89:$AO$553), 0)), "-")</f>
        <v>-</v>
      </c>
      <c r="AQ267" s="257" t="str">
        <f t="shared" ref="AQ267:AQ287" si="130" xml:space="preserve"> IFERROR( IF( AP267="","-", MID( AP267, 1, SEARCH( " - ", AP267) -1)), "-")</f>
        <v>-</v>
      </c>
      <c r="AR267" s="258" t="str">
        <f t="shared" si="122"/>
        <v>-</v>
      </c>
      <c r="AS267" s="259" t="str">
        <f t="shared" si="123"/>
        <v>-</v>
      </c>
      <c r="AT267" s="259" t="str">
        <f t="shared" si="124"/>
        <v>-</v>
      </c>
      <c r="AU267" s="260" t="str">
        <f t="shared" si="125"/>
        <v>-</v>
      </c>
      <c r="AV267" s="261" t="str">
        <f t="shared" si="126"/>
        <v>-</v>
      </c>
      <c r="AW267" s="262" t="str">
        <f t="shared" si="127"/>
        <v>-</v>
      </c>
      <c r="AX267" s="262" t="str">
        <f t="shared" si="128"/>
        <v>-</v>
      </c>
      <c r="AY267" s="263" t="str">
        <f t="shared" si="129"/>
        <v>-</v>
      </c>
      <c r="AZ267" s="264" t="str">
        <f t="shared" si="120"/>
        <v>-</v>
      </c>
      <c r="BA267" s="96" t="str">
        <f t="shared" si="121"/>
        <v>-</v>
      </c>
    </row>
    <row r="268" spans="41:53" ht="18.2" customHeight="1" x14ac:dyDescent="0.25">
      <c r="AO268" s="342">
        <f t="shared" si="119"/>
        <v>0</v>
      </c>
      <c r="AP268" s="341" t="str">
        <f t="array" ref="AP268">IFERROR( INDEX( $AO$89:$AO$553, MATCH( 0, COUNTIF( $AP$87:AP267, $AO$89:$AO$553), 0)), "-")</f>
        <v>-</v>
      </c>
      <c r="AQ268" s="248" t="str">
        <f t="shared" si="130"/>
        <v>-</v>
      </c>
      <c r="AR268" s="249" t="str">
        <f t="shared" si="122"/>
        <v>-</v>
      </c>
      <c r="AS268" s="250" t="str">
        <f t="shared" si="123"/>
        <v>-</v>
      </c>
      <c r="AT268" s="250" t="str">
        <f t="shared" si="124"/>
        <v>-</v>
      </c>
      <c r="AU268" s="251" t="str">
        <f t="shared" si="125"/>
        <v>-</v>
      </c>
      <c r="AV268" s="252" t="str">
        <f t="shared" si="126"/>
        <v>-</v>
      </c>
      <c r="AW268" s="253" t="str">
        <f t="shared" si="127"/>
        <v>-</v>
      </c>
      <c r="AX268" s="253" t="str">
        <f t="shared" si="128"/>
        <v>-</v>
      </c>
      <c r="AY268" s="254" t="str">
        <f t="shared" si="129"/>
        <v>-</v>
      </c>
      <c r="AZ268" s="255" t="str">
        <f t="shared" si="120"/>
        <v>-</v>
      </c>
      <c r="BA268" s="95" t="str">
        <f t="shared" si="121"/>
        <v>-</v>
      </c>
    </row>
    <row r="269" spans="41:53" ht="18.2" customHeight="1" x14ac:dyDescent="0.25">
      <c r="AO269" s="342">
        <f t="shared" si="119"/>
        <v>0</v>
      </c>
      <c r="AP269" s="341" t="str">
        <f t="array" ref="AP269">IFERROR( INDEX( $AO$89:$AO$553, MATCH( 0, COUNTIF( $AP$87:AP268, $AO$89:$AO$553), 0)), "-")</f>
        <v>-</v>
      </c>
      <c r="AQ269" s="257" t="str">
        <f t="shared" si="130"/>
        <v>-</v>
      </c>
      <c r="AR269" s="258" t="str">
        <f t="shared" si="122"/>
        <v>-</v>
      </c>
      <c r="AS269" s="259" t="str">
        <f t="shared" si="123"/>
        <v>-</v>
      </c>
      <c r="AT269" s="259" t="str">
        <f t="shared" si="124"/>
        <v>-</v>
      </c>
      <c r="AU269" s="260" t="str">
        <f t="shared" si="125"/>
        <v>-</v>
      </c>
      <c r="AV269" s="261" t="str">
        <f t="shared" si="126"/>
        <v>-</v>
      </c>
      <c r="AW269" s="262" t="str">
        <f t="shared" si="127"/>
        <v>-</v>
      </c>
      <c r="AX269" s="262" t="str">
        <f t="shared" si="128"/>
        <v>-</v>
      </c>
      <c r="AY269" s="263" t="str">
        <f t="shared" si="129"/>
        <v>-</v>
      </c>
      <c r="AZ269" s="264" t="str">
        <f t="shared" si="120"/>
        <v>-</v>
      </c>
      <c r="BA269" s="96" t="str">
        <f t="shared" si="121"/>
        <v>-</v>
      </c>
    </row>
    <row r="270" spans="41:53" ht="18.2" customHeight="1" x14ac:dyDescent="0.25">
      <c r="AO270" s="342">
        <f t="shared" si="119"/>
        <v>0</v>
      </c>
      <c r="AP270" s="341" t="str">
        <f t="array" ref="AP270">IFERROR( INDEX( $AO$89:$AO$553, MATCH( 0, COUNTIF( $AP$87:AP269, $AO$89:$AO$553), 0)), "-")</f>
        <v>-</v>
      </c>
      <c r="AQ270" s="248" t="str">
        <f t="shared" si="130"/>
        <v>-</v>
      </c>
      <c r="AR270" s="249" t="str">
        <f t="shared" si="122"/>
        <v>-</v>
      </c>
      <c r="AS270" s="250" t="str">
        <f t="shared" si="123"/>
        <v>-</v>
      </c>
      <c r="AT270" s="250" t="str">
        <f t="shared" si="124"/>
        <v>-</v>
      </c>
      <c r="AU270" s="251" t="str">
        <f t="shared" si="125"/>
        <v>-</v>
      </c>
      <c r="AV270" s="252" t="str">
        <f t="shared" si="126"/>
        <v>-</v>
      </c>
      <c r="AW270" s="253" t="str">
        <f t="shared" si="127"/>
        <v>-</v>
      </c>
      <c r="AX270" s="253" t="str">
        <f t="shared" si="128"/>
        <v>-</v>
      </c>
      <c r="AY270" s="254" t="str">
        <f t="shared" si="129"/>
        <v>-</v>
      </c>
      <c r="AZ270" s="255" t="str">
        <f t="shared" si="120"/>
        <v>-</v>
      </c>
      <c r="BA270" s="95" t="str">
        <f t="shared" si="121"/>
        <v>-</v>
      </c>
    </row>
    <row r="271" spans="41:53" ht="18.2" customHeight="1" x14ac:dyDescent="0.25">
      <c r="AO271" s="342">
        <f t="shared" si="119"/>
        <v>0</v>
      </c>
      <c r="AP271" s="341" t="str">
        <f t="array" ref="AP271">IFERROR( INDEX( $AO$89:$AO$553, MATCH( 0, COUNTIF( $AP$87:AP270, $AO$89:$AO$553), 0)), "-")</f>
        <v>-</v>
      </c>
      <c r="AQ271" s="257" t="str">
        <f t="shared" si="130"/>
        <v>-</v>
      </c>
      <c r="AR271" s="258" t="str">
        <f t="shared" si="122"/>
        <v>-</v>
      </c>
      <c r="AS271" s="259" t="str">
        <f t="shared" si="123"/>
        <v>-</v>
      </c>
      <c r="AT271" s="259" t="str">
        <f t="shared" si="124"/>
        <v>-</v>
      </c>
      <c r="AU271" s="260" t="str">
        <f t="shared" si="125"/>
        <v>-</v>
      </c>
      <c r="AV271" s="261" t="str">
        <f t="shared" si="126"/>
        <v>-</v>
      </c>
      <c r="AW271" s="262" t="str">
        <f t="shared" si="127"/>
        <v>-</v>
      </c>
      <c r="AX271" s="262" t="str">
        <f t="shared" si="128"/>
        <v>-</v>
      </c>
      <c r="AY271" s="263" t="str">
        <f t="shared" si="129"/>
        <v>-</v>
      </c>
      <c r="AZ271" s="264" t="str">
        <f t="shared" si="120"/>
        <v>-</v>
      </c>
      <c r="BA271" s="96" t="str">
        <f t="shared" si="121"/>
        <v>-</v>
      </c>
    </row>
    <row r="272" spans="41:53" ht="18.2" customHeight="1" x14ac:dyDescent="0.25">
      <c r="AO272" s="342">
        <f t="shared" si="119"/>
        <v>0</v>
      </c>
      <c r="AP272" s="341" t="str">
        <f t="array" ref="AP272">IFERROR( INDEX( $AO$89:$AO$553, MATCH( 0, COUNTIF( $AP$87:AP271, $AO$89:$AO$553), 0)), "-")</f>
        <v>-</v>
      </c>
      <c r="AQ272" s="248" t="str">
        <f t="shared" si="130"/>
        <v>-</v>
      </c>
      <c r="AR272" s="249" t="str">
        <f t="shared" si="122"/>
        <v>-</v>
      </c>
      <c r="AS272" s="250" t="str">
        <f t="shared" si="123"/>
        <v>-</v>
      </c>
      <c r="AT272" s="250" t="str">
        <f t="shared" si="124"/>
        <v>-</v>
      </c>
      <c r="AU272" s="251" t="str">
        <f t="shared" si="125"/>
        <v>-</v>
      </c>
      <c r="AV272" s="252" t="str">
        <f t="shared" si="126"/>
        <v>-</v>
      </c>
      <c r="AW272" s="253" t="str">
        <f t="shared" si="127"/>
        <v>-</v>
      </c>
      <c r="AX272" s="253" t="str">
        <f t="shared" si="128"/>
        <v>-</v>
      </c>
      <c r="AY272" s="254" t="str">
        <f t="shared" si="129"/>
        <v>-</v>
      </c>
      <c r="AZ272" s="255" t="str">
        <f t="shared" si="120"/>
        <v>-</v>
      </c>
      <c r="BA272" s="95" t="str">
        <f t="shared" si="121"/>
        <v>-</v>
      </c>
    </row>
    <row r="273" spans="41:53" ht="18.2" customHeight="1" x14ac:dyDescent="0.25">
      <c r="AO273" s="342">
        <f t="shared" si="119"/>
        <v>0</v>
      </c>
      <c r="AP273" s="341" t="str">
        <f t="array" ref="AP273">IFERROR( INDEX( $AO$89:$AO$553, MATCH( 0, COUNTIF( $AP$87:AP272, $AO$89:$AO$553), 0)), "-")</f>
        <v>-</v>
      </c>
      <c r="AQ273" s="257" t="str">
        <f t="shared" si="130"/>
        <v>-</v>
      </c>
      <c r="AR273" s="258" t="str">
        <f t="shared" si="122"/>
        <v>-</v>
      </c>
      <c r="AS273" s="259" t="str">
        <f t="shared" si="123"/>
        <v>-</v>
      </c>
      <c r="AT273" s="259" t="str">
        <f t="shared" si="124"/>
        <v>-</v>
      </c>
      <c r="AU273" s="260" t="str">
        <f t="shared" si="125"/>
        <v>-</v>
      </c>
      <c r="AV273" s="261" t="str">
        <f t="shared" si="126"/>
        <v>-</v>
      </c>
      <c r="AW273" s="262" t="str">
        <f t="shared" si="127"/>
        <v>-</v>
      </c>
      <c r="AX273" s="262" t="str">
        <f t="shared" si="128"/>
        <v>-</v>
      </c>
      <c r="AY273" s="263" t="str">
        <f t="shared" si="129"/>
        <v>-</v>
      </c>
      <c r="AZ273" s="264" t="str">
        <f t="shared" si="120"/>
        <v>-</v>
      </c>
      <c r="BA273" s="96" t="str">
        <f t="shared" si="121"/>
        <v>-</v>
      </c>
    </row>
    <row r="274" spans="41:53" ht="18.2" customHeight="1" x14ac:dyDescent="0.25">
      <c r="AO274" s="342">
        <f t="shared" ref="AO274:AO320" si="131" xml:space="preserve"> AC156</f>
        <v>0</v>
      </c>
      <c r="AP274" s="341" t="str">
        <f t="array" ref="AP274">IFERROR( INDEX( $AO$89:$AO$553, MATCH( 0, COUNTIF( $AP$87:AP273, $AO$89:$AO$553), 0)), "-")</f>
        <v>-</v>
      </c>
      <c r="AQ274" s="248" t="str">
        <f t="shared" si="130"/>
        <v>-</v>
      </c>
      <c r="AR274" s="249" t="str">
        <f t="shared" si="122"/>
        <v>-</v>
      </c>
      <c r="AS274" s="250" t="str">
        <f t="shared" si="123"/>
        <v>-</v>
      </c>
      <c r="AT274" s="250" t="str">
        <f t="shared" si="124"/>
        <v>-</v>
      </c>
      <c r="AU274" s="251" t="str">
        <f t="shared" si="125"/>
        <v>-</v>
      </c>
      <c r="AV274" s="252" t="str">
        <f t="shared" si="126"/>
        <v>-</v>
      </c>
      <c r="AW274" s="253" t="str">
        <f t="shared" si="127"/>
        <v>-</v>
      </c>
      <c r="AX274" s="253" t="str">
        <f t="shared" si="128"/>
        <v>-</v>
      </c>
      <c r="AY274" s="254" t="str">
        <f t="shared" si="129"/>
        <v>-</v>
      </c>
      <c r="AZ274" s="255" t="str">
        <f t="shared" si="120"/>
        <v>-</v>
      </c>
      <c r="BA274" s="95" t="str">
        <f t="shared" si="121"/>
        <v>-</v>
      </c>
    </row>
    <row r="275" spans="41:53" ht="18.2" customHeight="1" x14ac:dyDescent="0.25">
      <c r="AO275" s="342">
        <f t="shared" si="131"/>
        <v>0</v>
      </c>
      <c r="AP275" s="341" t="str">
        <f t="array" ref="AP275">IFERROR( INDEX( $AO$89:$AO$553, MATCH( 0, COUNTIF( $AP$87:AP274, $AO$89:$AO$553), 0)), "-")</f>
        <v>-</v>
      </c>
      <c r="AQ275" s="257" t="str">
        <f t="shared" si="130"/>
        <v>-</v>
      </c>
      <c r="AR275" s="258" t="str">
        <f t="shared" si="122"/>
        <v>-</v>
      </c>
      <c r="AS275" s="259" t="str">
        <f t="shared" si="123"/>
        <v>-</v>
      </c>
      <c r="AT275" s="259" t="str">
        <f t="shared" si="124"/>
        <v>-</v>
      </c>
      <c r="AU275" s="260" t="str">
        <f t="shared" si="125"/>
        <v>-</v>
      </c>
      <c r="AV275" s="261" t="str">
        <f t="shared" si="126"/>
        <v>-</v>
      </c>
      <c r="AW275" s="262" t="str">
        <f t="shared" si="127"/>
        <v>-</v>
      </c>
      <c r="AX275" s="262" t="str">
        <f t="shared" si="128"/>
        <v>-</v>
      </c>
      <c r="AY275" s="263" t="str">
        <f t="shared" si="129"/>
        <v>-</v>
      </c>
      <c r="AZ275" s="264" t="str">
        <f t="shared" si="120"/>
        <v>-</v>
      </c>
      <c r="BA275" s="96" t="str">
        <f t="shared" si="121"/>
        <v>-</v>
      </c>
    </row>
    <row r="276" spans="41:53" ht="18.2" customHeight="1" x14ac:dyDescent="0.25">
      <c r="AO276" s="342">
        <f t="shared" si="131"/>
        <v>0</v>
      </c>
      <c r="AP276" s="341" t="str">
        <f t="array" ref="AP276">IFERROR( INDEX( $AO$89:$AO$553, MATCH( 0, COUNTIF( $AP$87:AP275, $AO$89:$AO$553), 0)), "-")</f>
        <v>-</v>
      </c>
      <c r="AQ276" s="248" t="str">
        <f t="shared" si="130"/>
        <v>-</v>
      </c>
      <c r="AR276" s="249" t="str">
        <f t="shared" si="122"/>
        <v>-</v>
      </c>
      <c r="AS276" s="250" t="str">
        <f t="shared" si="123"/>
        <v>-</v>
      </c>
      <c r="AT276" s="250" t="str">
        <f t="shared" si="124"/>
        <v>-</v>
      </c>
      <c r="AU276" s="251" t="str">
        <f t="shared" si="125"/>
        <v>-</v>
      </c>
      <c r="AV276" s="252" t="str">
        <f t="shared" si="126"/>
        <v>-</v>
      </c>
      <c r="AW276" s="253" t="str">
        <f t="shared" si="127"/>
        <v>-</v>
      </c>
      <c r="AX276" s="253" t="str">
        <f t="shared" si="128"/>
        <v>-</v>
      </c>
      <c r="AY276" s="254" t="str">
        <f t="shared" si="129"/>
        <v>-</v>
      </c>
      <c r="AZ276" s="255" t="str">
        <f t="shared" si="120"/>
        <v>-</v>
      </c>
      <c r="BA276" s="95" t="str">
        <f t="shared" si="121"/>
        <v>-</v>
      </c>
    </row>
    <row r="277" spans="41:53" ht="18.2" customHeight="1" x14ac:dyDescent="0.25">
      <c r="AO277" s="342">
        <f t="shared" si="131"/>
        <v>0</v>
      </c>
      <c r="AP277" s="341" t="str">
        <f t="array" ref="AP277">IFERROR( INDEX( $AO$89:$AO$553, MATCH( 0, COUNTIF( $AP$87:AP276, $AO$89:$AO$553), 0)), "-")</f>
        <v>-</v>
      </c>
      <c r="AQ277" s="257" t="str">
        <f t="shared" si="130"/>
        <v>-</v>
      </c>
      <c r="AR277" s="258" t="str">
        <f t="shared" si="122"/>
        <v>-</v>
      </c>
      <c r="AS277" s="259" t="str">
        <f t="shared" si="123"/>
        <v>-</v>
      </c>
      <c r="AT277" s="259" t="str">
        <f t="shared" si="124"/>
        <v>-</v>
      </c>
      <c r="AU277" s="260" t="str">
        <f t="shared" si="125"/>
        <v>-</v>
      </c>
      <c r="AV277" s="261" t="str">
        <f t="shared" si="126"/>
        <v>-</v>
      </c>
      <c r="AW277" s="262" t="str">
        <f t="shared" si="127"/>
        <v>-</v>
      </c>
      <c r="AX277" s="262" t="str">
        <f t="shared" si="128"/>
        <v>-</v>
      </c>
      <c r="AY277" s="263" t="str">
        <f t="shared" si="129"/>
        <v>-</v>
      </c>
      <c r="AZ277" s="264" t="str">
        <f t="shared" si="120"/>
        <v>-</v>
      </c>
      <c r="BA277" s="96" t="str">
        <f t="shared" si="121"/>
        <v>-</v>
      </c>
    </row>
    <row r="278" spans="41:53" ht="18.2" customHeight="1" x14ac:dyDescent="0.25">
      <c r="AO278" s="342">
        <f t="shared" si="131"/>
        <v>0</v>
      </c>
      <c r="AP278" s="341" t="str">
        <f t="array" ref="AP278">IFERROR( INDEX( $AO$89:$AO$553, MATCH( 0, COUNTIF( $AP$87:AP277, $AO$89:$AO$553), 0)), "-")</f>
        <v>-</v>
      </c>
      <c r="AQ278" s="248" t="str">
        <f t="shared" si="130"/>
        <v>-</v>
      </c>
      <c r="AR278" s="249" t="str">
        <f t="shared" si="122"/>
        <v>-</v>
      </c>
      <c r="AS278" s="250" t="str">
        <f t="shared" si="123"/>
        <v>-</v>
      </c>
      <c r="AT278" s="250" t="str">
        <f t="shared" si="124"/>
        <v>-</v>
      </c>
      <c r="AU278" s="251" t="str">
        <f t="shared" si="125"/>
        <v>-</v>
      </c>
      <c r="AV278" s="252" t="str">
        <f t="shared" si="126"/>
        <v>-</v>
      </c>
      <c r="AW278" s="253" t="str">
        <f t="shared" si="127"/>
        <v>-</v>
      </c>
      <c r="AX278" s="253" t="str">
        <f t="shared" si="128"/>
        <v>-</v>
      </c>
      <c r="AY278" s="254" t="str">
        <f t="shared" si="129"/>
        <v>-</v>
      </c>
      <c r="AZ278" s="255" t="str">
        <f t="shared" si="120"/>
        <v>-</v>
      </c>
      <c r="BA278" s="95" t="str">
        <f t="shared" si="121"/>
        <v>-</v>
      </c>
    </row>
    <row r="279" spans="41:53" ht="18.2" customHeight="1" x14ac:dyDescent="0.25">
      <c r="AO279" s="342">
        <f t="shared" si="131"/>
        <v>0</v>
      </c>
      <c r="AP279" s="341" t="str">
        <f t="array" ref="AP279">IFERROR( INDEX( $AO$89:$AO$553, MATCH( 0, COUNTIF( $AP$87:AP278, $AO$89:$AO$553), 0)), "-")</f>
        <v>-</v>
      </c>
      <c r="AQ279" s="257" t="str">
        <f t="shared" si="130"/>
        <v>-</v>
      </c>
      <c r="AR279" s="258" t="str">
        <f t="shared" si="122"/>
        <v>-</v>
      </c>
      <c r="AS279" s="259" t="str">
        <f t="shared" si="123"/>
        <v>-</v>
      </c>
      <c r="AT279" s="259" t="str">
        <f t="shared" si="124"/>
        <v>-</v>
      </c>
      <c r="AU279" s="260" t="str">
        <f t="shared" si="125"/>
        <v>-</v>
      </c>
      <c r="AV279" s="261" t="str">
        <f t="shared" si="126"/>
        <v>-</v>
      </c>
      <c r="AW279" s="262" t="str">
        <f t="shared" si="127"/>
        <v>-</v>
      </c>
      <c r="AX279" s="262" t="str">
        <f t="shared" si="128"/>
        <v>-</v>
      </c>
      <c r="AY279" s="263" t="str">
        <f t="shared" si="129"/>
        <v>-</v>
      </c>
      <c r="AZ279" s="264" t="str">
        <f t="shared" si="120"/>
        <v>-</v>
      </c>
      <c r="BA279" s="96" t="str">
        <f t="shared" si="121"/>
        <v>-</v>
      </c>
    </row>
    <row r="280" spans="41:53" ht="18.2" customHeight="1" x14ac:dyDescent="0.25">
      <c r="AO280" s="342">
        <f t="shared" si="131"/>
        <v>0</v>
      </c>
      <c r="AP280" s="341" t="str">
        <f t="array" ref="AP280">IFERROR( INDEX( $AO$89:$AO$553, MATCH( 0, COUNTIF( $AP$87:AP279, $AO$89:$AO$553), 0)), "-")</f>
        <v>-</v>
      </c>
      <c r="AQ280" s="248" t="str">
        <f t="shared" si="130"/>
        <v>-</v>
      </c>
      <c r="AR280" s="249" t="str">
        <f t="shared" si="122"/>
        <v>-</v>
      </c>
      <c r="AS280" s="250" t="str">
        <f t="shared" si="123"/>
        <v>-</v>
      </c>
      <c r="AT280" s="250" t="str">
        <f t="shared" si="124"/>
        <v>-</v>
      </c>
      <c r="AU280" s="251" t="str">
        <f t="shared" si="125"/>
        <v>-</v>
      </c>
      <c r="AV280" s="252" t="str">
        <f t="shared" si="126"/>
        <v>-</v>
      </c>
      <c r="AW280" s="253" t="str">
        <f t="shared" si="127"/>
        <v>-</v>
      </c>
      <c r="AX280" s="253" t="str">
        <f t="shared" si="128"/>
        <v>-</v>
      </c>
      <c r="AY280" s="254" t="str">
        <f t="shared" si="129"/>
        <v>-</v>
      </c>
      <c r="AZ280" s="255" t="str">
        <f t="shared" si="120"/>
        <v>-</v>
      </c>
      <c r="BA280" s="95" t="str">
        <f t="shared" si="121"/>
        <v>-</v>
      </c>
    </row>
    <row r="281" spans="41:53" ht="18.2" customHeight="1" x14ac:dyDescent="0.25">
      <c r="AO281" s="342">
        <f t="shared" si="131"/>
        <v>0</v>
      </c>
      <c r="AP281" s="341" t="str">
        <f t="array" ref="AP281">IFERROR( INDEX( $AO$89:$AO$553, MATCH( 0, COUNTIF( $AP$87:AP280, $AO$89:$AO$553), 0)), "-")</f>
        <v>-</v>
      </c>
      <c r="AQ281" s="257" t="str">
        <f t="shared" si="130"/>
        <v>-</v>
      </c>
      <c r="AR281" s="258" t="str">
        <f t="shared" si="122"/>
        <v>-</v>
      </c>
      <c r="AS281" s="259" t="str">
        <f t="shared" si="123"/>
        <v>-</v>
      </c>
      <c r="AT281" s="259" t="str">
        <f t="shared" si="124"/>
        <v>-</v>
      </c>
      <c r="AU281" s="260" t="str">
        <f t="shared" si="125"/>
        <v>-</v>
      </c>
      <c r="AV281" s="261" t="str">
        <f t="shared" si="126"/>
        <v>-</v>
      </c>
      <c r="AW281" s="262" t="str">
        <f t="shared" si="127"/>
        <v>-</v>
      </c>
      <c r="AX281" s="262" t="str">
        <f t="shared" si="128"/>
        <v>-</v>
      </c>
      <c r="AY281" s="263" t="str">
        <f t="shared" si="129"/>
        <v>-</v>
      </c>
      <c r="AZ281" s="264" t="str">
        <f t="shared" si="120"/>
        <v>-</v>
      </c>
      <c r="BA281" s="96" t="str">
        <f t="shared" si="121"/>
        <v>-</v>
      </c>
    </row>
    <row r="282" spans="41:53" ht="18.2" customHeight="1" x14ac:dyDescent="0.25">
      <c r="AO282" s="342">
        <f t="shared" si="131"/>
        <v>0</v>
      </c>
      <c r="AP282" s="341" t="str">
        <f t="array" ref="AP282">IFERROR( INDEX( $AO$89:$AO$553, MATCH( 0, COUNTIF( $AP$87:AP281, $AO$89:$AO$553), 0)), "-")</f>
        <v>-</v>
      </c>
      <c r="AQ282" s="248" t="str">
        <f t="shared" si="130"/>
        <v>-</v>
      </c>
      <c r="AR282" s="249" t="str">
        <f t="shared" si="122"/>
        <v>-</v>
      </c>
      <c r="AS282" s="250" t="str">
        <f t="shared" si="123"/>
        <v>-</v>
      </c>
      <c r="AT282" s="250" t="str">
        <f t="shared" si="124"/>
        <v>-</v>
      </c>
      <c r="AU282" s="251" t="str">
        <f t="shared" si="125"/>
        <v>-</v>
      </c>
      <c r="AV282" s="252" t="str">
        <f t="shared" si="126"/>
        <v>-</v>
      </c>
      <c r="AW282" s="253" t="str">
        <f t="shared" si="127"/>
        <v>-</v>
      </c>
      <c r="AX282" s="253" t="str">
        <f t="shared" si="128"/>
        <v>-</v>
      </c>
      <c r="AY282" s="254" t="str">
        <f t="shared" si="129"/>
        <v>-</v>
      </c>
      <c r="AZ282" s="255" t="str">
        <f t="shared" si="120"/>
        <v>-</v>
      </c>
      <c r="BA282" s="95" t="str">
        <f t="shared" si="121"/>
        <v>-</v>
      </c>
    </row>
    <row r="283" spans="41:53" ht="18.2" customHeight="1" x14ac:dyDescent="0.25">
      <c r="AO283" s="342">
        <f t="shared" si="131"/>
        <v>0</v>
      </c>
      <c r="AP283" s="341" t="str">
        <f t="array" ref="AP283">IFERROR( INDEX( $AO$89:$AO$553, MATCH( 0, COUNTIF( $AP$87:AP282, $AO$89:$AO$553), 0)), "-")</f>
        <v>-</v>
      </c>
      <c r="AQ283" s="257" t="str">
        <f t="shared" si="130"/>
        <v>-</v>
      </c>
      <c r="AR283" s="258" t="str">
        <f t="shared" si="122"/>
        <v>-</v>
      </c>
      <c r="AS283" s="259" t="str">
        <f t="shared" si="123"/>
        <v>-</v>
      </c>
      <c r="AT283" s="259" t="str">
        <f t="shared" si="124"/>
        <v>-</v>
      </c>
      <c r="AU283" s="260" t="str">
        <f t="shared" si="125"/>
        <v>-</v>
      </c>
      <c r="AV283" s="261" t="str">
        <f t="shared" si="126"/>
        <v>-</v>
      </c>
      <c r="AW283" s="262" t="str">
        <f t="shared" si="127"/>
        <v>-</v>
      </c>
      <c r="AX283" s="262" t="str">
        <f t="shared" si="128"/>
        <v>-</v>
      </c>
      <c r="AY283" s="263" t="str">
        <f t="shared" si="129"/>
        <v>-</v>
      </c>
      <c r="AZ283" s="264" t="str">
        <f t="shared" si="120"/>
        <v>-</v>
      </c>
      <c r="BA283" s="96" t="str">
        <f t="shared" si="121"/>
        <v>-</v>
      </c>
    </row>
    <row r="284" spans="41:53" ht="18.2" customHeight="1" x14ac:dyDescent="0.25">
      <c r="AO284" s="342">
        <f t="shared" si="131"/>
        <v>0</v>
      </c>
      <c r="AP284" s="341" t="str">
        <f t="array" ref="AP284">IFERROR( INDEX( $AO$89:$AO$553, MATCH( 0, COUNTIF( $AP$87:AP283, $AO$89:$AO$553), 0)), "-")</f>
        <v>-</v>
      </c>
      <c r="AQ284" s="248" t="str">
        <f t="shared" si="130"/>
        <v>-</v>
      </c>
      <c r="AR284" s="249" t="str">
        <f t="shared" si="122"/>
        <v>-</v>
      </c>
      <c r="AS284" s="250" t="str">
        <f t="shared" si="123"/>
        <v>-</v>
      </c>
      <c r="AT284" s="250" t="str">
        <f t="shared" si="124"/>
        <v>-</v>
      </c>
      <c r="AU284" s="251" t="str">
        <f t="shared" si="125"/>
        <v>-</v>
      </c>
      <c r="AV284" s="252" t="str">
        <f t="shared" si="126"/>
        <v>-</v>
      </c>
      <c r="AW284" s="253" t="str">
        <f t="shared" si="127"/>
        <v>-</v>
      </c>
      <c r="AX284" s="253" t="str">
        <f t="shared" si="128"/>
        <v>-</v>
      </c>
      <c r="AY284" s="254" t="str">
        <f t="shared" si="129"/>
        <v>-</v>
      </c>
      <c r="AZ284" s="255" t="str">
        <f t="shared" si="120"/>
        <v>-</v>
      </c>
      <c r="BA284" s="95" t="str">
        <f t="shared" si="121"/>
        <v>-</v>
      </c>
    </row>
    <row r="285" spans="41:53" ht="18.2" customHeight="1" x14ac:dyDescent="0.25">
      <c r="AO285" s="342">
        <f t="shared" si="131"/>
        <v>0</v>
      </c>
      <c r="AP285" s="341" t="str">
        <f t="array" ref="AP285">IFERROR( INDEX( $AO$89:$AO$553, MATCH( 0, COUNTIF( $AP$87:AP284, $AO$89:$AO$553), 0)), "-")</f>
        <v>-</v>
      </c>
      <c r="AQ285" s="257" t="str">
        <f t="shared" si="130"/>
        <v>-</v>
      </c>
      <c r="AR285" s="258" t="str">
        <f t="shared" si="122"/>
        <v>-</v>
      </c>
      <c r="AS285" s="259" t="str">
        <f t="shared" si="123"/>
        <v>-</v>
      </c>
      <c r="AT285" s="259" t="str">
        <f t="shared" si="124"/>
        <v>-</v>
      </c>
      <c r="AU285" s="260" t="str">
        <f t="shared" si="125"/>
        <v>-</v>
      </c>
      <c r="AV285" s="261" t="str">
        <f t="shared" si="126"/>
        <v>-</v>
      </c>
      <c r="AW285" s="262" t="str">
        <f t="shared" si="127"/>
        <v>-</v>
      </c>
      <c r="AX285" s="262" t="str">
        <f t="shared" si="128"/>
        <v>-</v>
      </c>
      <c r="AY285" s="263" t="str">
        <f t="shared" si="129"/>
        <v>-</v>
      </c>
      <c r="AZ285" s="264" t="str">
        <f t="shared" si="120"/>
        <v>-</v>
      </c>
      <c r="BA285" s="96" t="str">
        <f t="shared" si="121"/>
        <v>-</v>
      </c>
    </row>
    <row r="286" spans="41:53" ht="18.2" customHeight="1" x14ac:dyDescent="0.25">
      <c r="AO286" s="342">
        <f t="shared" si="131"/>
        <v>0</v>
      </c>
      <c r="AP286" s="341" t="str">
        <f t="array" ref="AP286">IFERROR( INDEX( $AO$89:$AO$553, MATCH( 0, COUNTIF( $AP$87:AP285, $AO$89:$AO$553), 0)), "-")</f>
        <v>-</v>
      </c>
      <c r="AQ286" s="248" t="str">
        <f t="shared" si="130"/>
        <v>-</v>
      </c>
      <c r="AR286" s="249" t="str">
        <f t="shared" si="122"/>
        <v>-</v>
      </c>
      <c r="AS286" s="250" t="str">
        <f t="shared" si="123"/>
        <v>-</v>
      </c>
      <c r="AT286" s="250" t="str">
        <f t="shared" si="124"/>
        <v>-</v>
      </c>
      <c r="AU286" s="251" t="str">
        <f t="shared" si="125"/>
        <v>-</v>
      </c>
      <c r="AV286" s="252" t="str">
        <f t="shared" si="126"/>
        <v>-</v>
      </c>
      <c r="AW286" s="253" t="str">
        <f t="shared" si="127"/>
        <v>-</v>
      </c>
      <c r="AX286" s="253" t="str">
        <f t="shared" si="128"/>
        <v>-</v>
      </c>
      <c r="AY286" s="254" t="str">
        <f t="shared" si="129"/>
        <v>-</v>
      </c>
      <c r="AZ286" s="255" t="str">
        <f t="shared" si="120"/>
        <v>-</v>
      </c>
      <c r="BA286" s="95" t="str">
        <f t="shared" si="121"/>
        <v>-</v>
      </c>
    </row>
    <row r="287" spans="41:53" ht="18.2" customHeight="1" x14ac:dyDescent="0.25">
      <c r="AO287" s="342">
        <f t="shared" si="131"/>
        <v>0</v>
      </c>
      <c r="AP287" s="341" t="str">
        <f t="array" ref="AP287">IFERROR( INDEX( $AO$89:$AO$553, MATCH( 0, COUNTIF( $AP$87:AP286, $AO$89:$AO$553), 0)), "-")</f>
        <v>-</v>
      </c>
      <c r="AQ287" s="257" t="str">
        <f t="shared" si="130"/>
        <v>-</v>
      </c>
      <c r="AR287" s="258" t="str">
        <f t="shared" si="122"/>
        <v>-</v>
      </c>
      <c r="AS287" s="259" t="str">
        <f t="shared" si="123"/>
        <v>-</v>
      </c>
      <c r="AT287" s="259" t="str">
        <f t="shared" si="124"/>
        <v>-</v>
      </c>
      <c r="AU287" s="260" t="str">
        <f t="shared" si="125"/>
        <v>-</v>
      </c>
      <c r="AV287" s="261" t="str">
        <f t="shared" si="126"/>
        <v>-</v>
      </c>
      <c r="AW287" s="262" t="str">
        <f t="shared" si="127"/>
        <v>-</v>
      </c>
      <c r="AX287" s="262" t="str">
        <f t="shared" si="128"/>
        <v>-</v>
      </c>
      <c r="AY287" s="263" t="str">
        <f t="shared" si="129"/>
        <v>-</v>
      </c>
      <c r="AZ287" s="264" t="str">
        <f t="shared" si="120"/>
        <v>-</v>
      </c>
      <c r="BA287" s="96" t="str">
        <f t="shared" si="121"/>
        <v>-</v>
      </c>
    </row>
    <row r="288" spans="41:53" ht="18.2" customHeight="1" x14ac:dyDescent="0.25">
      <c r="AO288" s="342">
        <f t="shared" si="131"/>
        <v>0</v>
      </c>
      <c r="AQ288" s="220"/>
      <c r="AS288" s="285"/>
    </row>
    <row r="289" spans="41:41" ht="18.2" customHeight="1" x14ac:dyDescent="0.25">
      <c r="AO289" s="342">
        <f t="shared" si="131"/>
        <v>0</v>
      </c>
    </row>
    <row r="290" spans="41:41" ht="18.2" customHeight="1" x14ac:dyDescent="0.25">
      <c r="AO290" s="342">
        <f t="shared" si="131"/>
        <v>0</v>
      </c>
    </row>
    <row r="291" spans="41:41" ht="18.2" customHeight="1" x14ac:dyDescent="0.25">
      <c r="AO291" s="342">
        <f t="shared" si="131"/>
        <v>0</v>
      </c>
    </row>
    <row r="292" spans="41:41" ht="18.2" customHeight="1" x14ac:dyDescent="0.25">
      <c r="AO292" s="342">
        <f t="shared" si="131"/>
        <v>0</v>
      </c>
    </row>
    <row r="293" spans="41:41" ht="18.2" customHeight="1" x14ac:dyDescent="0.25">
      <c r="AO293" s="342">
        <f t="shared" si="131"/>
        <v>0</v>
      </c>
    </row>
    <row r="294" spans="41:41" ht="18.2" customHeight="1" x14ac:dyDescent="0.25">
      <c r="AO294" s="342">
        <f t="shared" si="131"/>
        <v>0</v>
      </c>
    </row>
    <row r="295" spans="41:41" ht="18.2" customHeight="1" x14ac:dyDescent="0.25">
      <c r="AO295" s="342">
        <f t="shared" si="131"/>
        <v>0</v>
      </c>
    </row>
    <row r="296" spans="41:41" ht="18.2" customHeight="1" x14ac:dyDescent="0.25">
      <c r="AO296" s="342">
        <f t="shared" si="131"/>
        <v>0</v>
      </c>
    </row>
    <row r="297" spans="41:41" ht="18.2" customHeight="1" x14ac:dyDescent="0.25">
      <c r="AO297" s="342">
        <f t="shared" si="131"/>
        <v>0</v>
      </c>
    </row>
    <row r="298" spans="41:41" ht="18.2" customHeight="1" x14ac:dyDescent="0.25">
      <c r="AO298" s="342">
        <f t="shared" si="131"/>
        <v>0</v>
      </c>
    </row>
    <row r="299" spans="41:41" ht="18.2" customHeight="1" x14ac:dyDescent="0.25">
      <c r="AO299" s="342">
        <f t="shared" si="131"/>
        <v>0</v>
      </c>
    </row>
    <row r="300" spans="41:41" ht="18.2" customHeight="1" x14ac:dyDescent="0.25">
      <c r="AO300" s="342">
        <f t="shared" si="131"/>
        <v>0</v>
      </c>
    </row>
    <row r="301" spans="41:41" ht="18.2" customHeight="1" x14ac:dyDescent="0.25">
      <c r="AO301" s="342">
        <f t="shared" si="131"/>
        <v>0</v>
      </c>
    </row>
    <row r="302" spans="41:41" ht="18.2" customHeight="1" x14ac:dyDescent="0.25">
      <c r="AO302" s="342">
        <f t="shared" si="131"/>
        <v>0</v>
      </c>
    </row>
    <row r="303" spans="41:41" ht="18.2" customHeight="1" x14ac:dyDescent="0.25">
      <c r="AO303" s="342">
        <f t="shared" si="131"/>
        <v>0</v>
      </c>
    </row>
    <row r="304" spans="41:41" ht="18.2" customHeight="1" x14ac:dyDescent="0.25">
      <c r="AO304" s="342">
        <f t="shared" si="131"/>
        <v>0</v>
      </c>
    </row>
    <row r="305" spans="41:41" ht="18.2" customHeight="1" x14ac:dyDescent="0.25">
      <c r="AO305" s="342">
        <f t="shared" si="131"/>
        <v>0</v>
      </c>
    </row>
    <row r="306" spans="41:41" ht="18.2" customHeight="1" x14ac:dyDescent="0.25">
      <c r="AO306" s="342">
        <f t="shared" si="131"/>
        <v>0</v>
      </c>
    </row>
    <row r="307" spans="41:41" ht="18.2" customHeight="1" x14ac:dyDescent="0.25">
      <c r="AO307" s="342">
        <f t="shared" si="131"/>
        <v>0</v>
      </c>
    </row>
    <row r="308" spans="41:41" ht="18.2" customHeight="1" x14ac:dyDescent="0.25">
      <c r="AO308" s="342">
        <f t="shared" si="131"/>
        <v>0</v>
      </c>
    </row>
    <row r="309" spans="41:41" ht="18.2" customHeight="1" x14ac:dyDescent="0.25">
      <c r="AO309" s="342">
        <f t="shared" si="131"/>
        <v>0</v>
      </c>
    </row>
    <row r="310" spans="41:41" ht="18.2" customHeight="1" x14ac:dyDescent="0.25">
      <c r="AO310" s="342">
        <f t="shared" si="131"/>
        <v>0</v>
      </c>
    </row>
    <row r="311" spans="41:41" ht="18.2" customHeight="1" x14ac:dyDescent="0.25">
      <c r="AO311" s="342">
        <f t="shared" si="131"/>
        <v>0</v>
      </c>
    </row>
    <row r="312" spans="41:41" ht="18.2" customHeight="1" x14ac:dyDescent="0.25">
      <c r="AO312" s="342">
        <f t="shared" si="131"/>
        <v>0</v>
      </c>
    </row>
    <row r="313" spans="41:41" ht="18.2" customHeight="1" x14ac:dyDescent="0.25">
      <c r="AO313" s="342">
        <f t="shared" si="131"/>
        <v>0</v>
      </c>
    </row>
    <row r="314" spans="41:41" ht="18.2" customHeight="1" x14ac:dyDescent="0.25">
      <c r="AO314" s="342">
        <f t="shared" si="131"/>
        <v>0</v>
      </c>
    </row>
    <row r="315" spans="41:41" ht="18.2" customHeight="1" x14ac:dyDescent="0.25">
      <c r="AO315" s="342">
        <f t="shared" si="131"/>
        <v>0</v>
      </c>
    </row>
    <row r="316" spans="41:41" ht="18.2" customHeight="1" x14ac:dyDescent="0.25">
      <c r="AO316" s="342">
        <f t="shared" si="131"/>
        <v>0</v>
      </c>
    </row>
    <row r="317" spans="41:41" ht="18.2" customHeight="1" x14ac:dyDescent="0.25">
      <c r="AO317" s="342">
        <f t="shared" si="131"/>
        <v>0</v>
      </c>
    </row>
    <row r="318" spans="41:41" ht="18.2" customHeight="1" x14ac:dyDescent="0.25">
      <c r="AO318" s="342">
        <f t="shared" si="131"/>
        <v>0</v>
      </c>
    </row>
    <row r="319" spans="41:41" ht="18.2" customHeight="1" x14ac:dyDescent="0.25">
      <c r="AO319" s="342">
        <f t="shared" si="131"/>
        <v>0</v>
      </c>
    </row>
    <row r="320" spans="41:41" ht="18.2" customHeight="1" x14ac:dyDescent="0.25">
      <c r="AO320" s="342">
        <f t="shared" si="131"/>
        <v>0</v>
      </c>
    </row>
    <row r="321" spans="41:41" ht="18.2" customHeight="1" x14ac:dyDescent="0.25">
      <c r="AO321" s="348">
        <f xml:space="preserve"> AC203</f>
        <v>0</v>
      </c>
    </row>
    <row r="322" spans="41:41" ht="18.2" customHeight="1" thickBot="1" x14ac:dyDescent="0.3">
      <c r="AO322" s="350"/>
    </row>
    <row r="323" spans="41:41" ht="18.2" customHeight="1" thickTop="1" x14ac:dyDescent="0.25">
      <c r="AO323" s="349" t="str">
        <f xml:space="preserve"> AG90</f>
        <v>Diversos - Diversos</v>
      </c>
    </row>
    <row r="324" spans="41:41" ht="18.2" customHeight="1" x14ac:dyDescent="0.25">
      <c r="AO324" s="349" t="str">
        <f t="shared" ref="AO324:AO387" si="132" xml:space="preserve"> AG91</f>
        <v>-</v>
      </c>
    </row>
    <row r="325" spans="41:41" ht="18.2" customHeight="1" x14ac:dyDescent="0.25">
      <c r="AO325" s="349" t="str">
        <f t="shared" si="132"/>
        <v>Ambulatório de Acupuntura - Ambulatório de Acupuntura</v>
      </c>
    </row>
    <row r="326" spans="41:41" ht="18.2" customHeight="1" x14ac:dyDescent="0.25">
      <c r="AO326" s="349" t="str">
        <f t="shared" si="132"/>
        <v>Ambulatório de Alergia e Imunologia - Ambulatório de Alergia e Imunologia</v>
      </c>
    </row>
    <row r="327" spans="41:41" ht="18.2" customHeight="1" x14ac:dyDescent="0.25">
      <c r="AO327" s="349" t="str">
        <f t="shared" si="132"/>
        <v>Ambulatório de Cardiologia - Ambulatório de Cardiologia</v>
      </c>
    </row>
    <row r="328" spans="41:41" ht="18.2" customHeight="1" x14ac:dyDescent="0.25">
      <c r="AO328" s="349" t="str">
        <f t="shared" si="132"/>
        <v>Ambulatório de Dermatologia - Ambulatório de Dermatologia</v>
      </c>
    </row>
    <row r="329" spans="41:41" ht="18.2" customHeight="1" x14ac:dyDescent="0.25">
      <c r="AO329" s="349" t="str">
        <f t="shared" si="132"/>
        <v>Ambulatório de Estomias - Ambulatório de Estomias</v>
      </c>
    </row>
    <row r="330" spans="41:41" ht="18.2" customHeight="1" x14ac:dyDescent="0.25">
      <c r="AO330" s="349" t="str">
        <f t="shared" si="132"/>
        <v>Ambulatório de Feridas Complexas - Ambulatório de Feridas Complexas</v>
      </c>
    </row>
    <row r="331" spans="41:41" ht="18.2" customHeight="1" x14ac:dyDescent="0.25">
      <c r="AO331" s="349" t="str">
        <f t="shared" si="132"/>
        <v>Ambulatório de Fisioterapia - Ambulatório de Fisioterapia</v>
      </c>
    </row>
    <row r="332" spans="41:41" ht="18.2" customHeight="1" x14ac:dyDescent="0.25">
      <c r="AO332" s="349" t="str">
        <f t="shared" si="132"/>
        <v>Ambulatório de Fonoaudiologia - Ambulatório de Fonoaudiologia</v>
      </c>
    </row>
    <row r="333" spans="41:41" ht="18.2" customHeight="1" x14ac:dyDescent="0.25">
      <c r="AO333" s="349" t="str">
        <f t="shared" si="132"/>
        <v>Ambulatório de Gastroenterologia Pediátrica - Ambulatório de Gastroenterologia Pediátrica</v>
      </c>
    </row>
    <row r="334" spans="41:41" ht="18.2" customHeight="1" x14ac:dyDescent="0.25">
      <c r="AO334" s="349" t="str">
        <f t="shared" si="132"/>
        <v>Ambulatório de Geriatria - Ambulatório de Geriatria</v>
      </c>
    </row>
    <row r="335" spans="41:41" ht="18.2" customHeight="1" x14ac:dyDescent="0.25">
      <c r="AO335" s="349" t="str">
        <f t="shared" si="132"/>
        <v>Ambulatório de Ginecologia - Ambulatório de Ginecologia</v>
      </c>
    </row>
    <row r="336" spans="41:41" ht="18.2" customHeight="1" x14ac:dyDescent="0.25">
      <c r="AO336" s="349" t="str">
        <f t="shared" si="132"/>
        <v>Ambulatório de Neurologia - Ambulatório de Neurologia</v>
      </c>
    </row>
    <row r="337" spans="41:41" ht="18.2" customHeight="1" x14ac:dyDescent="0.25">
      <c r="AO337" s="349" t="str">
        <f t="shared" si="132"/>
        <v>Ambulatório de Psiquiatria - Ambulatório de Psiquiatria</v>
      </c>
    </row>
    <row r="338" spans="41:41" ht="18.2" customHeight="1" x14ac:dyDescent="0.25">
      <c r="AO338" s="349" t="str">
        <f t="shared" si="132"/>
        <v>Ambulatório de Reumatologia - Ambulatório de Reumatologia</v>
      </c>
    </row>
    <row r="339" spans="41:41" ht="18.2" customHeight="1" x14ac:dyDescent="0.25">
      <c r="AO339" s="349" t="str">
        <f t="shared" si="132"/>
        <v>CrisDown - CrisDown</v>
      </c>
    </row>
    <row r="340" spans="41:41" ht="18.2" customHeight="1" x14ac:dyDescent="0.25">
      <c r="AO340" s="349" t="str">
        <f t="shared" si="132"/>
        <v>Ecocardiografia - Ecocardiografia</v>
      </c>
    </row>
    <row r="341" spans="41:41" ht="18.2" customHeight="1" x14ac:dyDescent="0.25">
      <c r="AO341" s="349">
        <f t="shared" si="132"/>
        <v>0</v>
      </c>
    </row>
    <row r="342" spans="41:41" ht="18.2" customHeight="1" x14ac:dyDescent="0.25">
      <c r="AO342" s="349">
        <f t="shared" si="132"/>
        <v>0</v>
      </c>
    </row>
    <row r="343" spans="41:41" ht="18.2" customHeight="1" x14ac:dyDescent="0.25">
      <c r="AO343" s="349">
        <f t="shared" si="132"/>
        <v>0</v>
      </c>
    </row>
    <row r="344" spans="41:41" ht="18.2" customHeight="1" x14ac:dyDescent="0.25">
      <c r="AO344" s="349">
        <f t="shared" si="132"/>
        <v>0</v>
      </c>
    </row>
    <row r="345" spans="41:41" ht="18.2" customHeight="1" x14ac:dyDescent="0.25">
      <c r="AO345" s="349">
        <f t="shared" si="132"/>
        <v>0</v>
      </c>
    </row>
    <row r="346" spans="41:41" ht="18.2" customHeight="1" x14ac:dyDescent="0.25">
      <c r="AO346" s="349">
        <f t="shared" si="132"/>
        <v>0</v>
      </c>
    </row>
    <row r="347" spans="41:41" ht="18.2" customHeight="1" x14ac:dyDescent="0.25">
      <c r="AO347" s="349">
        <f t="shared" si="132"/>
        <v>0</v>
      </c>
    </row>
    <row r="348" spans="41:41" ht="18.2" customHeight="1" x14ac:dyDescent="0.25">
      <c r="AO348" s="349">
        <f t="shared" si="132"/>
        <v>0</v>
      </c>
    </row>
    <row r="349" spans="41:41" ht="18.2" customHeight="1" x14ac:dyDescent="0.25">
      <c r="AO349" s="349">
        <f t="shared" si="132"/>
        <v>0</v>
      </c>
    </row>
    <row r="350" spans="41:41" ht="18.2" customHeight="1" x14ac:dyDescent="0.25">
      <c r="AO350" s="349">
        <f t="shared" si="132"/>
        <v>0</v>
      </c>
    </row>
    <row r="351" spans="41:41" ht="18.2" customHeight="1" x14ac:dyDescent="0.25">
      <c r="AO351" s="349">
        <f t="shared" si="132"/>
        <v>0</v>
      </c>
    </row>
    <row r="352" spans="41:41" ht="18.2" customHeight="1" x14ac:dyDescent="0.25">
      <c r="AO352" s="349">
        <f t="shared" si="132"/>
        <v>0</v>
      </c>
    </row>
    <row r="353" spans="41:41" ht="18.2" customHeight="1" x14ac:dyDescent="0.25">
      <c r="AO353" s="349">
        <f t="shared" si="132"/>
        <v>0</v>
      </c>
    </row>
    <row r="354" spans="41:41" ht="18.2" customHeight="1" x14ac:dyDescent="0.25">
      <c r="AO354" s="349">
        <f t="shared" si="132"/>
        <v>0</v>
      </c>
    </row>
    <row r="355" spans="41:41" ht="18.2" customHeight="1" x14ac:dyDescent="0.25">
      <c r="AO355" s="349">
        <f t="shared" si="132"/>
        <v>0</v>
      </c>
    </row>
    <row r="356" spans="41:41" ht="18.2" customHeight="1" x14ac:dyDescent="0.25">
      <c r="AO356" s="349">
        <f t="shared" si="132"/>
        <v>0</v>
      </c>
    </row>
    <row r="357" spans="41:41" ht="18.2" customHeight="1" x14ac:dyDescent="0.25">
      <c r="AO357" s="349">
        <f t="shared" si="132"/>
        <v>0</v>
      </c>
    </row>
    <row r="358" spans="41:41" ht="18.2" customHeight="1" x14ac:dyDescent="0.25">
      <c r="AO358" s="349">
        <f t="shared" si="132"/>
        <v>0</v>
      </c>
    </row>
    <row r="359" spans="41:41" ht="18.2" customHeight="1" x14ac:dyDescent="0.25">
      <c r="AO359" s="349">
        <f t="shared" si="132"/>
        <v>0</v>
      </c>
    </row>
    <row r="360" spans="41:41" ht="18.2" customHeight="1" x14ac:dyDescent="0.25">
      <c r="AO360" s="349">
        <f t="shared" si="132"/>
        <v>0</v>
      </c>
    </row>
    <row r="361" spans="41:41" ht="18.2" customHeight="1" x14ac:dyDescent="0.25">
      <c r="AO361" s="349">
        <f t="shared" si="132"/>
        <v>0</v>
      </c>
    </row>
    <row r="362" spans="41:41" ht="18.2" customHeight="1" x14ac:dyDescent="0.25">
      <c r="AO362" s="349">
        <f t="shared" si="132"/>
        <v>0</v>
      </c>
    </row>
    <row r="363" spans="41:41" ht="18.2" customHeight="1" x14ac:dyDescent="0.25">
      <c r="AO363" s="349">
        <f t="shared" si="132"/>
        <v>0</v>
      </c>
    </row>
    <row r="364" spans="41:41" ht="18.2" customHeight="1" x14ac:dyDescent="0.25">
      <c r="AO364" s="349">
        <f t="shared" si="132"/>
        <v>0</v>
      </c>
    </row>
    <row r="365" spans="41:41" ht="18.2" customHeight="1" x14ac:dyDescent="0.25">
      <c r="AO365" s="349">
        <f t="shared" si="132"/>
        <v>0</v>
      </c>
    </row>
    <row r="366" spans="41:41" ht="18.2" customHeight="1" x14ac:dyDescent="0.25">
      <c r="AO366" s="349">
        <f t="shared" si="132"/>
        <v>0</v>
      </c>
    </row>
    <row r="367" spans="41:41" ht="18.2" customHeight="1" x14ac:dyDescent="0.25">
      <c r="AO367" s="349">
        <f t="shared" si="132"/>
        <v>0</v>
      </c>
    </row>
    <row r="368" spans="41:41" ht="18.2" customHeight="1" x14ac:dyDescent="0.25">
      <c r="AO368" s="349">
        <f t="shared" si="132"/>
        <v>0</v>
      </c>
    </row>
    <row r="369" spans="41:41" ht="18.2" customHeight="1" x14ac:dyDescent="0.25">
      <c r="AO369" s="349">
        <f t="shared" si="132"/>
        <v>0</v>
      </c>
    </row>
    <row r="370" spans="41:41" ht="18.2" customHeight="1" x14ac:dyDescent="0.25">
      <c r="AO370" s="349">
        <f t="shared" si="132"/>
        <v>0</v>
      </c>
    </row>
    <row r="371" spans="41:41" ht="18.2" customHeight="1" x14ac:dyDescent="0.25">
      <c r="AO371" s="349">
        <f t="shared" si="132"/>
        <v>0</v>
      </c>
    </row>
    <row r="372" spans="41:41" ht="18.2" customHeight="1" x14ac:dyDescent="0.25">
      <c r="AO372" s="349">
        <f t="shared" si="132"/>
        <v>0</v>
      </c>
    </row>
    <row r="373" spans="41:41" ht="18.2" customHeight="1" x14ac:dyDescent="0.25">
      <c r="AO373" s="349">
        <f t="shared" si="132"/>
        <v>0</v>
      </c>
    </row>
    <row r="374" spans="41:41" ht="18.2" customHeight="1" x14ac:dyDescent="0.25">
      <c r="AO374" s="349">
        <f t="shared" si="132"/>
        <v>0</v>
      </c>
    </row>
    <row r="375" spans="41:41" ht="18.2" customHeight="1" x14ac:dyDescent="0.25">
      <c r="AO375" s="349">
        <f t="shared" si="132"/>
        <v>0</v>
      </c>
    </row>
    <row r="376" spans="41:41" ht="18.2" customHeight="1" x14ac:dyDescent="0.25">
      <c r="AO376" s="349">
        <f t="shared" si="132"/>
        <v>0</v>
      </c>
    </row>
    <row r="377" spans="41:41" ht="18.2" customHeight="1" x14ac:dyDescent="0.25">
      <c r="AO377" s="349">
        <f t="shared" si="132"/>
        <v>0</v>
      </c>
    </row>
    <row r="378" spans="41:41" ht="18.2" customHeight="1" x14ac:dyDescent="0.25">
      <c r="AO378" s="349">
        <f t="shared" si="132"/>
        <v>0</v>
      </c>
    </row>
    <row r="379" spans="41:41" ht="18.2" customHeight="1" x14ac:dyDescent="0.25">
      <c r="AO379" s="349">
        <f t="shared" si="132"/>
        <v>0</v>
      </c>
    </row>
    <row r="380" spans="41:41" ht="18.2" customHeight="1" x14ac:dyDescent="0.25">
      <c r="AO380" s="349">
        <f t="shared" si="132"/>
        <v>0</v>
      </c>
    </row>
    <row r="381" spans="41:41" ht="18.2" customHeight="1" x14ac:dyDescent="0.25">
      <c r="AO381" s="349">
        <f t="shared" si="132"/>
        <v>0</v>
      </c>
    </row>
    <row r="382" spans="41:41" ht="18.2" customHeight="1" x14ac:dyDescent="0.25">
      <c r="AO382" s="349">
        <f t="shared" si="132"/>
        <v>0</v>
      </c>
    </row>
    <row r="383" spans="41:41" ht="18.2" customHeight="1" x14ac:dyDescent="0.25">
      <c r="AO383" s="349">
        <f t="shared" si="132"/>
        <v>0</v>
      </c>
    </row>
    <row r="384" spans="41:41" ht="18.2" customHeight="1" x14ac:dyDescent="0.25">
      <c r="AO384" s="349">
        <f t="shared" si="132"/>
        <v>0</v>
      </c>
    </row>
    <row r="385" spans="41:41" ht="18.2" customHeight="1" x14ac:dyDescent="0.25">
      <c r="AO385" s="349">
        <f t="shared" si="132"/>
        <v>0</v>
      </c>
    </row>
    <row r="386" spans="41:41" ht="18.2" customHeight="1" x14ac:dyDescent="0.25">
      <c r="AO386" s="349">
        <f t="shared" si="132"/>
        <v>0</v>
      </c>
    </row>
    <row r="387" spans="41:41" ht="18.2" customHeight="1" x14ac:dyDescent="0.25">
      <c r="AO387" s="349">
        <f t="shared" si="132"/>
        <v>0</v>
      </c>
    </row>
    <row r="388" spans="41:41" ht="18.2" customHeight="1" x14ac:dyDescent="0.25">
      <c r="AO388" s="349">
        <f t="shared" ref="AO388:AO437" si="133" xml:space="preserve"> AG155</f>
        <v>0</v>
      </c>
    </row>
    <row r="389" spans="41:41" ht="18.2" customHeight="1" x14ac:dyDescent="0.25">
      <c r="AO389" s="349">
        <f t="shared" si="133"/>
        <v>0</v>
      </c>
    </row>
    <row r="390" spans="41:41" ht="18.2" customHeight="1" x14ac:dyDescent="0.25">
      <c r="AO390" s="349">
        <f t="shared" si="133"/>
        <v>0</v>
      </c>
    </row>
    <row r="391" spans="41:41" ht="18.2" customHeight="1" x14ac:dyDescent="0.25">
      <c r="AO391" s="349">
        <f t="shared" si="133"/>
        <v>0</v>
      </c>
    </row>
    <row r="392" spans="41:41" ht="18.2" customHeight="1" x14ac:dyDescent="0.25">
      <c r="AO392" s="349">
        <f t="shared" si="133"/>
        <v>0</v>
      </c>
    </row>
    <row r="393" spans="41:41" ht="18.2" customHeight="1" x14ac:dyDescent="0.25">
      <c r="AO393" s="349">
        <f t="shared" si="133"/>
        <v>0</v>
      </c>
    </row>
    <row r="394" spans="41:41" ht="18.2" customHeight="1" x14ac:dyDescent="0.25">
      <c r="AO394" s="349">
        <f t="shared" si="133"/>
        <v>0</v>
      </c>
    </row>
    <row r="395" spans="41:41" ht="18.2" customHeight="1" x14ac:dyDescent="0.25">
      <c r="AO395" s="349">
        <f t="shared" si="133"/>
        <v>0</v>
      </c>
    </row>
    <row r="396" spans="41:41" ht="18.2" customHeight="1" x14ac:dyDescent="0.25">
      <c r="AO396" s="349">
        <f t="shared" si="133"/>
        <v>0</v>
      </c>
    </row>
    <row r="397" spans="41:41" ht="18.2" customHeight="1" x14ac:dyDescent="0.25">
      <c r="AO397" s="349">
        <f t="shared" si="133"/>
        <v>0</v>
      </c>
    </row>
    <row r="398" spans="41:41" ht="18.2" customHeight="1" x14ac:dyDescent="0.25">
      <c r="AO398" s="349">
        <f t="shared" si="133"/>
        <v>0</v>
      </c>
    </row>
    <row r="399" spans="41:41" ht="18.2" customHeight="1" x14ac:dyDescent="0.25">
      <c r="AO399" s="349">
        <f t="shared" si="133"/>
        <v>0</v>
      </c>
    </row>
    <row r="400" spans="41:41" ht="18.2" customHeight="1" x14ac:dyDescent="0.25">
      <c r="AO400" s="349">
        <f t="shared" si="133"/>
        <v>0</v>
      </c>
    </row>
    <row r="401" spans="41:41" ht="18.2" customHeight="1" x14ac:dyDescent="0.25">
      <c r="AO401" s="349">
        <f t="shared" si="133"/>
        <v>0</v>
      </c>
    </row>
    <row r="402" spans="41:41" ht="18.2" customHeight="1" x14ac:dyDescent="0.25">
      <c r="AO402" s="349">
        <f t="shared" si="133"/>
        <v>0</v>
      </c>
    </row>
    <row r="403" spans="41:41" ht="18.2" customHeight="1" x14ac:dyDescent="0.25">
      <c r="AO403" s="349">
        <f t="shared" si="133"/>
        <v>0</v>
      </c>
    </row>
    <row r="404" spans="41:41" ht="18.2" customHeight="1" x14ac:dyDescent="0.25">
      <c r="AO404" s="349">
        <f t="shared" si="133"/>
        <v>0</v>
      </c>
    </row>
    <row r="405" spans="41:41" ht="18.2" customHeight="1" x14ac:dyDescent="0.25">
      <c r="AO405" s="349">
        <f t="shared" si="133"/>
        <v>0</v>
      </c>
    </row>
    <row r="406" spans="41:41" ht="18.2" customHeight="1" x14ac:dyDescent="0.25">
      <c r="AO406" s="349">
        <f t="shared" si="133"/>
        <v>0</v>
      </c>
    </row>
    <row r="407" spans="41:41" ht="18.2" customHeight="1" x14ac:dyDescent="0.25">
      <c r="AO407" s="349">
        <f t="shared" si="133"/>
        <v>0</v>
      </c>
    </row>
    <row r="408" spans="41:41" ht="18.2" customHeight="1" x14ac:dyDescent="0.25">
      <c r="AO408" s="349">
        <f t="shared" si="133"/>
        <v>0</v>
      </c>
    </row>
    <row r="409" spans="41:41" ht="18.2" customHeight="1" x14ac:dyDescent="0.25">
      <c r="AO409" s="349">
        <f t="shared" si="133"/>
        <v>0</v>
      </c>
    </row>
    <row r="410" spans="41:41" ht="18.2" customHeight="1" x14ac:dyDescent="0.25">
      <c r="AO410" s="349">
        <f t="shared" si="133"/>
        <v>0</v>
      </c>
    </row>
    <row r="411" spans="41:41" ht="18.2" customHeight="1" x14ac:dyDescent="0.25">
      <c r="AO411" s="349">
        <f t="shared" si="133"/>
        <v>0</v>
      </c>
    </row>
    <row r="412" spans="41:41" ht="18.2" customHeight="1" x14ac:dyDescent="0.25">
      <c r="AO412" s="349">
        <f t="shared" si="133"/>
        <v>0</v>
      </c>
    </row>
    <row r="413" spans="41:41" ht="18.2" customHeight="1" x14ac:dyDescent="0.25">
      <c r="AO413" s="349">
        <f t="shared" si="133"/>
        <v>0</v>
      </c>
    </row>
    <row r="414" spans="41:41" ht="18.2" customHeight="1" x14ac:dyDescent="0.25">
      <c r="AO414" s="349">
        <f t="shared" si="133"/>
        <v>0</v>
      </c>
    </row>
    <row r="415" spans="41:41" ht="18.2" customHeight="1" x14ac:dyDescent="0.25">
      <c r="AO415" s="349">
        <f t="shared" si="133"/>
        <v>0</v>
      </c>
    </row>
    <row r="416" spans="41:41" ht="18.2" customHeight="1" x14ac:dyDescent="0.25">
      <c r="AO416" s="349">
        <f t="shared" si="133"/>
        <v>0</v>
      </c>
    </row>
    <row r="417" spans="41:41" ht="18.2" customHeight="1" x14ac:dyDescent="0.25">
      <c r="AO417" s="349">
        <f t="shared" si="133"/>
        <v>0</v>
      </c>
    </row>
    <row r="418" spans="41:41" ht="18.2" customHeight="1" x14ac:dyDescent="0.25">
      <c r="AO418" s="349">
        <f t="shared" si="133"/>
        <v>0</v>
      </c>
    </row>
    <row r="419" spans="41:41" ht="18.2" customHeight="1" x14ac:dyDescent="0.25">
      <c r="AO419" s="349">
        <f t="shared" si="133"/>
        <v>0</v>
      </c>
    </row>
    <row r="420" spans="41:41" ht="18.2" customHeight="1" x14ac:dyDescent="0.25">
      <c r="AO420" s="349">
        <f t="shared" si="133"/>
        <v>0</v>
      </c>
    </row>
    <row r="421" spans="41:41" ht="18.2" customHeight="1" x14ac:dyDescent="0.25">
      <c r="AO421" s="349">
        <f t="shared" si="133"/>
        <v>0</v>
      </c>
    </row>
    <row r="422" spans="41:41" ht="18.2" customHeight="1" x14ac:dyDescent="0.25">
      <c r="AO422" s="349">
        <f t="shared" si="133"/>
        <v>0</v>
      </c>
    </row>
    <row r="423" spans="41:41" ht="18.2" customHeight="1" x14ac:dyDescent="0.25">
      <c r="AO423" s="349">
        <f t="shared" si="133"/>
        <v>0</v>
      </c>
    </row>
    <row r="424" spans="41:41" ht="18.2" customHeight="1" x14ac:dyDescent="0.25">
      <c r="AO424" s="349">
        <f t="shared" si="133"/>
        <v>0</v>
      </c>
    </row>
    <row r="425" spans="41:41" ht="18.2" customHeight="1" x14ac:dyDescent="0.25">
      <c r="AO425" s="349">
        <f t="shared" si="133"/>
        <v>0</v>
      </c>
    </row>
    <row r="426" spans="41:41" ht="18.2" customHeight="1" x14ac:dyDescent="0.25">
      <c r="AO426" s="349">
        <f t="shared" si="133"/>
        <v>0</v>
      </c>
    </row>
    <row r="427" spans="41:41" ht="18.2" customHeight="1" x14ac:dyDescent="0.25">
      <c r="AO427" s="349">
        <f t="shared" si="133"/>
        <v>0</v>
      </c>
    </row>
    <row r="428" spans="41:41" ht="18.2" customHeight="1" x14ac:dyDescent="0.25">
      <c r="AO428" s="349">
        <f t="shared" si="133"/>
        <v>0</v>
      </c>
    </row>
    <row r="429" spans="41:41" ht="18.2" customHeight="1" x14ac:dyDescent="0.25">
      <c r="AO429" s="349">
        <f t="shared" si="133"/>
        <v>0</v>
      </c>
    </row>
    <row r="430" spans="41:41" ht="18.2" customHeight="1" x14ac:dyDescent="0.25">
      <c r="AO430" s="349">
        <f t="shared" si="133"/>
        <v>0</v>
      </c>
    </row>
    <row r="431" spans="41:41" ht="18.2" customHeight="1" x14ac:dyDescent="0.25">
      <c r="AO431" s="349">
        <f t="shared" si="133"/>
        <v>0</v>
      </c>
    </row>
    <row r="432" spans="41:41" ht="18.2" customHeight="1" x14ac:dyDescent="0.25">
      <c r="AO432" s="349">
        <f t="shared" si="133"/>
        <v>0</v>
      </c>
    </row>
    <row r="433" spans="41:41" ht="18.2" customHeight="1" x14ac:dyDescent="0.25">
      <c r="AO433" s="349">
        <f t="shared" si="133"/>
        <v>0</v>
      </c>
    </row>
    <row r="434" spans="41:41" ht="18.2" customHeight="1" x14ac:dyDescent="0.25">
      <c r="AO434" s="349">
        <f t="shared" si="133"/>
        <v>0</v>
      </c>
    </row>
    <row r="435" spans="41:41" ht="18.2" customHeight="1" x14ac:dyDescent="0.25">
      <c r="AO435" s="349">
        <f t="shared" si="133"/>
        <v>0</v>
      </c>
    </row>
    <row r="436" spans="41:41" ht="18.2" customHeight="1" x14ac:dyDescent="0.25">
      <c r="AO436" s="349">
        <f t="shared" si="133"/>
        <v>0</v>
      </c>
    </row>
    <row r="437" spans="41:41" ht="18.2" customHeight="1" thickBot="1" x14ac:dyDescent="0.3">
      <c r="AO437" s="343">
        <f t="shared" si="133"/>
        <v>0</v>
      </c>
    </row>
    <row r="438" spans="41:41" ht="18.2" customHeight="1" thickTop="1" x14ac:dyDescent="0.25">
      <c r="AO438" s="351"/>
    </row>
    <row r="439" spans="41:41" ht="18.2" customHeight="1" x14ac:dyDescent="0.25">
      <c r="AO439" s="342" t="str">
        <f xml:space="preserve"> AK90</f>
        <v>Diversos - Diversos</v>
      </c>
    </row>
    <row r="440" spans="41:41" ht="18.2" customHeight="1" x14ac:dyDescent="0.25">
      <c r="AO440" s="342" t="str">
        <f t="shared" ref="AO440:AO503" si="134" xml:space="preserve"> AK91</f>
        <v>-</v>
      </c>
    </row>
    <row r="441" spans="41:41" ht="18.2" customHeight="1" x14ac:dyDescent="0.25">
      <c r="AO441" s="342" t="str">
        <f t="shared" si="134"/>
        <v>Ambulatório de Acupuntura - Ambulatório de Acupuntura</v>
      </c>
    </row>
    <row r="442" spans="41:41" ht="18.2" customHeight="1" x14ac:dyDescent="0.25">
      <c r="AO442" s="342" t="str">
        <f t="shared" si="134"/>
        <v>Ambulatório de Alergia e Imunologia - Ambulatório de Alergia e Imunologia</v>
      </c>
    </row>
    <row r="443" spans="41:41" ht="18.2" customHeight="1" x14ac:dyDescent="0.25">
      <c r="AO443" s="342" t="str">
        <f t="shared" si="134"/>
        <v>Ambulatório de Cardiologia - Ambulatório de Cardiologia</v>
      </c>
    </row>
    <row r="444" spans="41:41" ht="18.2" customHeight="1" x14ac:dyDescent="0.25">
      <c r="AO444" s="342" t="str">
        <f t="shared" si="134"/>
        <v>Ambulatório de Dermatologia - Ambulatório de Dermatologia</v>
      </c>
    </row>
    <row r="445" spans="41:41" ht="18.2" customHeight="1" x14ac:dyDescent="0.25">
      <c r="AO445" s="342" t="str">
        <f t="shared" si="134"/>
        <v>Ambulatório de Estomias - Ambulatório de Estomias</v>
      </c>
    </row>
    <row r="446" spans="41:41" ht="18.2" customHeight="1" x14ac:dyDescent="0.25">
      <c r="AO446" s="342" t="str">
        <f t="shared" si="134"/>
        <v>Ambulatório de Feridas Complexas - Ambulatório de Feridas Complexas</v>
      </c>
    </row>
    <row r="447" spans="41:41" ht="18.2" customHeight="1" x14ac:dyDescent="0.25">
      <c r="AO447" s="342" t="str">
        <f t="shared" si="134"/>
        <v>Ambulatório de Fisioterapia - Ambulatório de Fisioterapia</v>
      </c>
    </row>
    <row r="448" spans="41:41" ht="18.2" customHeight="1" x14ac:dyDescent="0.25">
      <c r="AO448" s="342" t="str">
        <f t="shared" si="134"/>
        <v>Ambulatório de Fonoaudiologia - Ambulatório de Fonoaudiologia</v>
      </c>
    </row>
    <row r="449" spans="41:41" ht="18.2" customHeight="1" x14ac:dyDescent="0.25">
      <c r="AO449" s="342" t="str">
        <f t="shared" si="134"/>
        <v>Ambulatório de Gastroenterologia Pediátrica - Ambulatório de Gastroenterologia Pediátrica</v>
      </c>
    </row>
    <row r="450" spans="41:41" ht="18.2" customHeight="1" x14ac:dyDescent="0.25">
      <c r="AO450" s="342" t="str">
        <f t="shared" si="134"/>
        <v>Ambulatório de Geriatria - Ambulatório de Geriatria</v>
      </c>
    </row>
    <row r="451" spans="41:41" ht="18.2" customHeight="1" x14ac:dyDescent="0.25">
      <c r="AO451" s="342" t="str">
        <f t="shared" si="134"/>
        <v>Ambulatório de Neurologia - Ambulatório de Neurologia</v>
      </c>
    </row>
    <row r="452" spans="41:41" ht="18.2" customHeight="1" x14ac:dyDescent="0.25">
      <c r="AO452" s="342" t="str">
        <f t="shared" si="134"/>
        <v>Ambulatório de Psiquiatria - Ambulatório de Psiquiatria</v>
      </c>
    </row>
    <row r="453" spans="41:41" ht="18.2" customHeight="1" x14ac:dyDescent="0.25">
      <c r="AO453" s="342" t="str">
        <f t="shared" si="134"/>
        <v>Ambulatório de Reumatologia - Ambulatório de Reumatologia</v>
      </c>
    </row>
    <row r="454" spans="41:41" ht="18.2" customHeight="1" x14ac:dyDescent="0.25">
      <c r="AO454" s="342" t="str">
        <f t="shared" si="134"/>
        <v>CrisDown - CrisDown</v>
      </c>
    </row>
    <row r="455" spans="41:41" ht="18.2" customHeight="1" x14ac:dyDescent="0.25">
      <c r="AO455" s="342" t="str">
        <f t="shared" si="134"/>
        <v>Ecocardiografia - Ecocardiografia</v>
      </c>
    </row>
    <row r="456" spans="41:41" ht="18.2" customHeight="1" x14ac:dyDescent="0.25">
      <c r="AO456" s="342" t="str">
        <f t="shared" si="134"/>
        <v>Ecocardiografia - Ecocardiografia</v>
      </c>
    </row>
    <row r="457" spans="41:41" ht="18.2" customHeight="1" x14ac:dyDescent="0.25">
      <c r="AO457" s="342">
        <f t="shared" si="134"/>
        <v>0</v>
      </c>
    </row>
    <row r="458" spans="41:41" ht="18.2" customHeight="1" x14ac:dyDescent="0.25">
      <c r="AO458" s="342">
        <f t="shared" si="134"/>
        <v>0</v>
      </c>
    </row>
    <row r="459" spans="41:41" ht="18.2" customHeight="1" x14ac:dyDescent="0.25">
      <c r="AO459" s="342">
        <f t="shared" si="134"/>
        <v>0</v>
      </c>
    </row>
    <row r="460" spans="41:41" ht="18.2" customHeight="1" x14ac:dyDescent="0.25">
      <c r="AO460" s="342">
        <f t="shared" si="134"/>
        <v>0</v>
      </c>
    </row>
    <row r="461" spans="41:41" ht="18.2" customHeight="1" x14ac:dyDescent="0.25">
      <c r="AO461" s="342">
        <f t="shared" si="134"/>
        <v>0</v>
      </c>
    </row>
    <row r="462" spans="41:41" ht="18.2" customHeight="1" x14ac:dyDescent="0.25">
      <c r="AO462" s="342">
        <f t="shared" si="134"/>
        <v>0</v>
      </c>
    </row>
    <row r="463" spans="41:41" ht="18.2" customHeight="1" x14ac:dyDescent="0.25">
      <c r="AO463" s="342">
        <f t="shared" si="134"/>
        <v>0</v>
      </c>
    </row>
    <row r="464" spans="41:41" ht="18.2" customHeight="1" x14ac:dyDescent="0.25">
      <c r="AO464" s="342">
        <f t="shared" si="134"/>
        <v>0</v>
      </c>
    </row>
    <row r="465" spans="41:41" ht="18.2" customHeight="1" x14ac:dyDescent="0.25">
      <c r="AO465" s="342">
        <f t="shared" si="134"/>
        <v>0</v>
      </c>
    </row>
    <row r="466" spans="41:41" ht="18.2" customHeight="1" x14ac:dyDescent="0.25">
      <c r="AO466" s="342">
        <f t="shared" si="134"/>
        <v>0</v>
      </c>
    </row>
    <row r="467" spans="41:41" ht="18.2" customHeight="1" x14ac:dyDescent="0.25">
      <c r="AO467" s="342">
        <f t="shared" si="134"/>
        <v>0</v>
      </c>
    </row>
    <row r="468" spans="41:41" ht="18.2" customHeight="1" x14ac:dyDescent="0.25">
      <c r="AO468" s="342">
        <f t="shared" si="134"/>
        <v>0</v>
      </c>
    </row>
    <row r="469" spans="41:41" ht="18.2" customHeight="1" x14ac:dyDescent="0.25">
      <c r="AO469" s="342">
        <f t="shared" si="134"/>
        <v>0</v>
      </c>
    </row>
    <row r="470" spans="41:41" ht="18.2" customHeight="1" x14ac:dyDescent="0.25">
      <c r="AO470" s="342">
        <f t="shared" si="134"/>
        <v>0</v>
      </c>
    </row>
    <row r="471" spans="41:41" ht="18.2" customHeight="1" x14ac:dyDescent="0.25">
      <c r="AO471" s="342">
        <f t="shared" si="134"/>
        <v>0</v>
      </c>
    </row>
    <row r="472" spans="41:41" ht="18.2" customHeight="1" x14ac:dyDescent="0.25">
      <c r="AO472" s="342">
        <f t="shared" si="134"/>
        <v>0</v>
      </c>
    </row>
    <row r="473" spans="41:41" ht="18.2" customHeight="1" x14ac:dyDescent="0.25">
      <c r="AO473" s="342">
        <f t="shared" si="134"/>
        <v>0</v>
      </c>
    </row>
    <row r="474" spans="41:41" ht="18.2" customHeight="1" x14ac:dyDescent="0.25">
      <c r="AO474" s="342">
        <f t="shared" si="134"/>
        <v>0</v>
      </c>
    </row>
    <row r="475" spans="41:41" ht="18.2" customHeight="1" x14ac:dyDescent="0.25">
      <c r="AO475" s="342">
        <f t="shared" si="134"/>
        <v>0</v>
      </c>
    </row>
    <row r="476" spans="41:41" ht="18.2" customHeight="1" x14ac:dyDescent="0.25">
      <c r="AO476" s="342">
        <f t="shared" si="134"/>
        <v>0</v>
      </c>
    </row>
    <row r="477" spans="41:41" ht="18.2" customHeight="1" x14ac:dyDescent="0.25">
      <c r="AO477" s="342">
        <f t="shared" si="134"/>
        <v>0</v>
      </c>
    </row>
    <row r="478" spans="41:41" ht="18.2" customHeight="1" x14ac:dyDescent="0.25">
      <c r="AO478" s="342">
        <f t="shared" si="134"/>
        <v>0</v>
      </c>
    </row>
    <row r="479" spans="41:41" ht="18.2" customHeight="1" x14ac:dyDescent="0.25">
      <c r="AO479" s="342">
        <f t="shared" si="134"/>
        <v>0</v>
      </c>
    </row>
    <row r="480" spans="41:41" ht="18.2" customHeight="1" x14ac:dyDescent="0.25">
      <c r="AO480" s="342">
        <f t="shared" si="134"/>
        <v>0</v>
      </c>
    </row>
    <row r="481" spans="41:41" ht="18.2" customHeight="1" x14ac:dyDescent="0.25">
      <c r="AO481" s="342">
        <f t="shared" si="134"/>
        <v>0</v>
      </c>
    </row>
    <row r="482" spans="41:41" ht="18.2" customHeight="1" x14ac:dyDescent="0.25">
      <c r="AO482" s="342">
        <f t="shared" si="134"/>
        <v>0</v>
      </c>
    </row>
    <row r="483" spans="41:41" ht="18.2" customHeight="1" x14ac:dyDescent="0.25">
      <c r="AO483" s="342">
        <f t="shared" si="134"/>
        <v>0</v>
      </c>
    </row>
    <row r="484" spans="41:41" ht="18.2" customHeight="1" x14ac:dyDescent="0.25">
      <c r="AO484" s="342">
        <f t="shared" si="134"/>
        <v>0</v>
      </c>
    </row>
    <row r="485" spans="41:41" ht="18.2" customHeight="1" x14ac:dyDescent="0.25">
      <c r="AO485" s="342">
        <f t="shared" si="134"/>
        <v>0</v>
      </c>
    </row>
    <row r="486" spans="41:41" ht="18.2" customHeight="1" x14ac:dyDescent="0.25">
      <c r="AO486" s="342">
        <f t="shared" si="134"/>
        <v>0</v>
      </c>
    </row>
    <row r="487" spans="41:41" ht="18.2" customHeight="1" x14ac:dyDescent="0.25">
      <c r="AO487" s="342">
        <f t="shared" si="134"/>
        <v>0</v>
      </c>
    </row>
    <row r="488" spans="41:41" ht="18.2" customHeight="1" x14ac:dyDescent="0.25">
      <c r="AO488" s="342">
        <f t="shared" si="134"/>
        <v>0</v>
      </c>
    </row>
    <row r="489" spans="41:41" ht="18.2" customHeight="1" x14ac:dyDescent="0.25">
      <c r="AO489" s="342">
        <f t="shared" si="134"/>
        <v>0</v>
      </c>
    </row>
    <row r="490" spans="41:41" ht="18.2" customHeight="1" x14ac:dyDescent="0.25">
      <c r="AO490" s="342">
        <f t="shared" si="134"/>
        <v>0</v>
      </c>
    </row>
    <row r="491" spans="41:41" ht="18.2" customHeight="1" x14ac:dyDescent="0.25">
      <c r="AO491" s="342">
        <f t="shared" si="134"/>
        <v>0</v>
      </c>
    </row>
    <row r="492" spans="41:41" ht="18.2" customHeight="1" x14ac:dyDescent="0.25">
      <c r="AO492" s="342">
        <f t="shared" si="134"/>
        <v>0</v>
      </c>
    </row>
    <row r="493" spans="41:41" ht="18.2" customHeight="1" x14ac:dyDescent="0.25">
      <c r="AO493" s="342">
        <f t="shared" si="134"/>
        <v>0</v>
      </c>
    </row>
    <row r="494" spans="41:41" ht="18.2" customHeight="1" x14ac:dyDescent="0.25">
      <c r="AO494" s="342">
        <f t="shared" si="134"/>
        <v>0</v>
      </c>
    </row>
    <row r="495" spans="41:41" ht="18.2" customHeight="1" x14ac:dyDescent="0.25">
      <c r="AO495" s="342">
        <f t="shared" si="134"/>
        <v>0</v>
      </c>
    </row>
    <row r="496" spans="41:41" ht="18.2" customHeight="1" x14ac:dyDescent="0.25">
      <c r="AO496" s="342">
        <f t="shared" si="134"/>
        <v>0</v>
      </c>
    </row>
    <row r="497" spans="41:41" ht="18.2" customHeight="1" x14ac:dyDescent="0.25">
      <c r="AO497" s="342">
        <f t="shared" si="134"/>
        <v>0</v>
      </c>
    </row>
    <row r="498" spans="41:41" ht="18.2" customHeight="1" x14ac:dyDescent="0.25">
      <c r="AO498" s="342">
        <f t="shared" si="134"/>
        <v>0</v>
      </c>
    </row>
    <row r="499" spans="41:41" ht="18.2" customHeight="1" x14ac:dyDescent="0.25">
      <c r="AO499" s="342">
        <f t="shared" si="134"/>
        <v>0</v>
      </c>
    </row>
    <row r="500" spans="41:41" ht="18.2" customHeight="1" x14ac:dyDescent="0.25">
      <c r="AO500" s="342">
        <f t="shared" si="134"/>
        <v>0</v>
      </c>
    </row>
    <row r="501" spans="41:41" ht="18.2" customHeight="1" x14ac:dyDescent="0.25">
      <c r="AO501" s="342">
        <f t="shared" si="134"/>
        <v>0</v>
      </c>
    </row>
    <row r="502" spans="41:41" ht="18.2" customHeight="1" x14ac:dyDescent="0.25">
      <c r="AO502" s="342">
        <f t="shared" si="134"/>
        <v>0</v>
      </c>
    </row>
    <row r="503" spans="41:41" ht="18.2" customHeight="1" x14ac:dyDescent="0.25">
      <c r="AO503" s="342">
        <f t="shared" si="134"/>
        <v>0</v>
      </c>
    </row>
    <row r="504" spans="41:41" ht="18.2" customHeight="1" x14ac:dyDescent="0.25">
      <c r="AO504" s="342">
        <f t="shared" ref="AO504:AO553" si="135" xml:space="preserve"> AK155</f>
        <v>0</v>
      </c>
    </row>
    <row r="505" spans="41:41" ht="18.2" customHeight="1" x14ac:dyDescent="0.25">
      <c r="AO505" s="342">
        <f t="shared" si="135"/>
        <v>0</v>
      </c>
    </row>
    <row r="506" spans="41:41" ht="18.2" customHeight="1" x14ac:dyDescent="0.25">
      <c r="AO506" s="342">
        <f t="shared" si="135"/>
        <v>0</v>
      </c>
    </row>
    <row r="507" spans="41:41" ht="18.2" customHeight="1" x14ac:dyDescent="0.25">
      <c r="AO507" s="342">
        <f t="shared" si="135"/>
        <v>0</v>
      </c>
    </row>
    <row r="508" spans="41:41" ht="18.2" customHeight="1" x14ac:dyDescent="0.25">
      <c r="AO508" s="342">
        <f t="shared" si="135"/>
        <v>0</v>
      </c>
    </row>
    <row r="509" spans="41:41" ht="18.2" customHeight="1" x14ac:dyDescent="0.25">
      <c r="AO509" s="342">
        <f t="shared" si="135"/>
        <v>0</v>
      </c>
    </row>
    <row r="510" spans="41:41" ht="18.2" customHeight="1" x14ac:dyDescent="0.25">
      <c r="AO510" s="342">
        <f t="shared" si="135"/>
        <v>0</v>
      </c>
    </row>
    <row r="511" spans="41:41" ht="18.2" customHeight="1" x14ac:dyDescent="0.25">
      <c r="AO511" s="342">
        <f t="shared" si="135"/>
        <v>0</v>
      </c>
    </row>
    <row r="512" spans="41:41" ht="18.2" customHeight="1" x14ac:dyDescent="0.25">
      <c r="AO512" s="342">
        <f t="shared" si="135"/>
        <v>0</v>
      </c>
    </row>
    <row r="513" spans="41:41" ht="18.2" customHeight="1" x14ac:dyDescent="0.25">
      <c r="AO513" s="342">
        <f t="shared" si="135"/>
        <v>0</v>
      </c>
    </row>
    <row r="514" spans="41:41" ht="18.2" customHeight="1" x14ac:dyDescent="0.25">
      <c r="AO514" s="342">
        <f t="shared" si="135"/>
        <v>0</v>
      </c>
    </row>
    <row r="515" spans="41:41" ht="18.2" customHeight="1" x14ac:dyDescent="0.25">
      <c r="AO515" s="342">
        <f t="shared" si="135"/>
        <v>0</v>
      </c>
    </row>
    <row r="516" spans="41:41" ht="18.2" customHeight="1" x14ac:dyDescent="0.25">
      <c r="AO516" s="342">
        <f t="shared" si="135"/>
        <v>0</v>
      </c>
    </row>
    <row r="517" spans="41:41" ht="18.2" customHeight="1" x14ac:dyDescent="0.25">
      <c r="AO517" s="342">
        <f t="shared" si="135"/>
        <v>0</v>
      </c>
    </row>
    <row r="518" spans="41:41" ht="18.2" customHeight="1" x14ac:dyDescent="0.25">
      <c r="AO518" s="342">
        <f t="shared" si="135"/>
        <v>0</v>
      </c>
    </row>
    <row r="519" spans="41:41" ht="18.2" customHeight="1" x14ac:dyDescent="0.25">
      <c r="AO519" s="342">
        <f t="shared" si="135"/>
        <v>0</v>
      </c>
    </row>
    <row r="520" spans="41:41" ht="18.2" customHeight="1" x14ac:dyDescent="0.25">
      <c r="AO520" s="342">
        <f t="shared" si="135"/>
        <v>0</v>
      </c>
    </row>
    <row r="521" spans="41:41" ht="18.2" customHeight="1" x14ac:dyDescent="0.25">
      <c r="AO521" s="342">
        <f t="shared" si="135"/>
        <v>0</v>
      </c>
    </row>
    <row r="522" spans="41:41" ht="18.2" customHeight="1" x14ac:dyDescent="0.25">
      <c r="AO522" s="342">
        <f t="shared" si="135"/>
        <v>0</v>
      </c>
    </row>
    <row r="523" spans="41:41" ht="18.2" customHeight="1" x14ac:dyDescent="0.25">
      <c r="AO523" s="342">
        <f t="shared" si="135"/>
        <v>0</v>
      </c>
    </row>
    <row r="524" spans="41:41" ht="18.2" customHeight="1" x14ac:dyDescent="0.25">
      <c r="AO524" s="342">
        <f t="shared" si="135"/>
        <v>0</v>
      </c>
    </row>
    <row r="525" spans="41:41" ht="18.2" customHeight="1" x14ac:dyDescent="0.25">
      <c r="AO525" s="342">
        <f t="shared" si="135"/>
        <v>0</v>
      </c>
    </row>
    <row r="526" spans="41:41" ht="18.2" customHeight="1" x14ac:dyDescent="0.25">
      <c r="AO526" s="342">
        <f t="shared" si="135"/>
        <v>0</v>
      </c>
    </row>
    <row r="527" spans="41:41" ht="18.2" customHeight="1" x14ac:dyDescent="0.25">
      <c r="AO527" s="342">
        <f t="shared" si="135"/>
        <v>0</v>
      </c>
    </row>
    <row r="528" spans="41:41" ht="18.2" customHeight="1" x14ac:dyDescent="0.25">
      <c r="AO528" s="342">
        <f t="shared" si="135"/>
        <v>0</v>
      </c>
    </row>
    <row r="529" spans="41:41" ht="18.2" customHeight="1" x14ac:dyDescent="0.25">
      <c r="AO529" s="342">
        <f t="shared" si="135"/>
        <v>0</v>
      </c>
    </row>
    <row r="530" spans="41:41" ht="18.2" customHeight="1" x14ac:dyDescent="0.25">
      <c r="AO530" s="342">
        <f t="shared" si="135"/>
        <v>0</v>
      </c>
    </row>
    <row r="531" spans="41:41" ht="18.2" customHeight="1" x14ac:dyDescent="0.25">
      <c r="AO531" s="342">
        <f t="shared" si="135"/>
        <v>0</v>
      </c>
    </row>
    <row r="532" spans="41:41" ht="18.2" customHeight="1" x14ac:dyDescent="0.25">
      <c r="AO532" s="342">
        <f t="shared" si="135"/>
        <v>0</v>
      </c>
    </row>
    <row r="533" spans="41:41" ht="18.2" customHeight="1" x14ac:dyDescent="0.25">
      <c r="AO533" s="342">
        <f t="shared" si="135"/>
        <v>0</v>
      </c>
    </row>
    <row r="534" spans="41:41" ht="18.2" customHeight="1" x14ac:dyDescent="0.25">
      <c r="AO534" s="342">
        <f t="shared" si="135"/>
        <v>0</v>
      </c>
    </row>
    <row r="535" spans="41:41" ht="18.2" customHeight="1" x14ac:dyDescent="0.25">
      <c r="AO535" s="342">
        <f t="shared" si="135"/>
        <v>0</v>
      </c>
    </row>
    <row r="536" spans="41:41" ht="18.2" customHeight="1" x14ac:dyDescent="0.25">
      <c r="AO536" s="342">
        <f t="shared" si="135"/>
        <v>0</v>
      </c>
    </row>
    <row r="537" spans="41:41" ht="18.2" customHeight="1" x14ac:dyDescent="0.25">
      <c r="AO537" s="342">
        <f t="shared" si="135"/>
        <v>0</v>
      </c>
    </row>
    <row r="538" spans="41:41" ht="18.2" customHeight="1" x14ac:dyDescent="0.25">
      <c r="AO538" s="342">
        <f t="shared" si="135"/>
        <v>0</v>
      </c>
    </row>
    <row r="539" spans="41:41" ht="18.2" customHeight="1" x14ac:dyDescent="0.25">
      <c r="AO539" s="342">
        <f t="shared" si="135"/>
        <v>0</v>
      </c>
    </row>
    <row r="540" spans="41:41" ht="18.2" customHeight="1" x14ac:dyDescent="0.25">
      <c r="AO540" s="342">
        <f t="shared" si="135"/>
        <v>0</v>
      </c>
    </row>
    <row r="541" spans="41:41" ht="18.2" customHeight="1" x14ac:dyDescent="0.25">
      <c r="AO541" s="342">
        <f t="shared" si="135"/>
        <v>0</v>
      </c>
    </row>
    <row r="542" spans="41:41" ht="18.2" customHeight="1" x14ac:dyDescent="0.25">
      <c r="AO542" s="342">
        <f t="shared" si="135"/>
        <v>0</v>
      </c>
    </row>
    <row r="543" spans="41:41" ht="18.2" customHeight="1" x14ac:dyDescent="0.25">
      <c r="AO543" s="342">
        <f t="shared" si="135"/>
        <v>0</v>
      </c>
    </row>
    <row r="544" spans="41:41" ht="18.2" customHeight="1" x14ac:dyDescent="0.25">
      <c r="AO544" s="342">
        <f t="shared" si="135"/>
        <v>0</v>
      </c>
    </row>
    <row r="545" spans="41:41" ht="18.2" customHeight="1" x14ac:dyDescent="0.25">
      <c r="AO545" s="342">
        <f t="shared" si="135"/>
        <v>0</v>
      </c>
    </row>
    <row r="546" spans="41:41" ht="18.2" customHeight="1" x14ac:dyDescent="0.25">
      <c r="AO546" s="342">
        <f t="shared" si="135"/>
        <v>0</v>
      </c>
    </row>
    <row r="547" spans="41:41" ht="18.2" customHeight="1" x14ac:dyDescent="0.25">
      <c r="AO547" s="342">
        <f t="shared" si="135"/>
        <v>0</v>
      </c>
    </row>
    <row r="548" spans="41:41" ht="18.2" customHeight="1" x14ac:dyDescent="0.25">
      <c r="AO548" s="342">
        <f t="shared" si="135"/>
        <v>0</v>
      </c>
    </row>
    <row r="549" spans="41:41" ht="18.2" customHeight="1" x14ac:dyDescent="0.25">
      <c r="AO549" s="342">
        <f t="shared" si="135"/>
        <v>0</v>
      </c>
    </row>
    <row r="550" spans="41:41" ht="18.2" customHeight="1" x14ac:dyDescent="0.25">
      <c r="AO550" s="342">
        <f t="shared" si="135"/>
        <v>0</v>
      </c>
    </row>
    <row r="551" spans="41:41" ht="18.2" customHeight="1" x14ac:dyDescent="0.25">
      <c r="AO551" s="342">
        <f t="shared" si="135"/>
        <v>0</v>
      </c>
    </row>
    <row r="552" spans="41:41" ht="18.2" customHeight="1" x14ac:dyDescent="0.25">
      <c r="AO552" s="342">
        <f t="shared" si="135"/>
        <v>0</v>
      </c>
    </row>
    <row r="553" spans="41:41" ht="18.2" customHeight="1" x14ac:dyDescent="0.25">
      <c r="AO553" s="342">
        <f t="shared" si="135"/>
        <v>0</v>
      </c>
    </row>
    <row r="554" spans="41:41" ht="18.2" customHeight="1" x14ac:dyDescent="0.25">
      <c r="AO554" s="286"/>
    </row>
    <row r="555" spans="41:41" ht="18.2" customHeight="1" x14ac:dyDescent="0.25">
      <c r="AO555" s="286"/>
    </row>
    <row r="556" spans="41:41" ht="18.2" customHeight="1" x14ac:dyDescent="0.25">
      <c r="AO556" s="286"/>
    </row>
    <row r="557" spans="41:41" ht="18.2" customHeight="1" x14ac:dyDescent="0.25">
      <c r="AO557" s="286"/>
    </row>
    <row r="558" spans="41:41" ht="18.2" customHeight="1" x14ac:dyDescent="0.25">
      <c r="AO558" s="286"/>
    </row>
    <row r="559" spans="41:41" ht="18.2" customHeight="1" x14ac:dyDescent="0.25">
      <c r="AO559" s="286"/>
    </row>
    <row r="560" spans="41:41" ht="18.2" customHeight="1" x14ac:dyDescent="0.25">
      <c r="AO560" s="286"/>
    </row>
    <row r="561" spans="41:41" ht="18.2" customHeight="1" x14ac:dyDescent="0.25">
      <c r="AO561" s="286"/>
    </row>
    <row r="562" spans="41:41" ht="18.2" customHeight="1" x14ac:dyDescent="0.25">
      <c r="AO562" s="286"/>
    </row>
    <row r="563" spans="41:41" ht="18.2" customHeight="1" x14ac:dyDescent="0.25">
      <c r="AO563" s="286"/>
    </row>
    <row r="564" spans="41:41" ht="18.2" customHeight="1" x14ac:dyDescent="0.25">
      <c r="AO564" s="286"/>
    </row>
    <row r="565" spans="41:41" ht="18.2" customHeight="1" x14ac:dyDescent="0.25">
      <c r="AO565" s="286"/>
    </row>
    <row r="566" spans="41:41" ht="18.2" customHeight="1" x14ac:dyDescent="0.25">
      <c r="AO566" s="286"/>
    </row>
    <row r="567" spans="41:41" ht="18.2" customHeight="1" x14ac:dyDescent="0.25">
      <c r="AO567" s="286"/>
    </row>
    <row r="568" spans="41:41" ht="18.2" customHeight="1" x14ac:dyDescent="0.25">
      <c r="AO568" s="286"/>
    </row>
    <row r="569" spans="41:41" ht="18.2" customHeight="1" x14ac:dyDescent="0.25">
      <c r="AO569" s="286"/>
    </row>
    <row r="570" spans="41:41" ht="18.2" customHeight="1" x14ac:dyDescent="0.25">
      <c r="AO570" s="286"/>
    </row>
    <row r="571" spans="41:41" ht="18.2" customHeight="1" x14ac:dyDescent="0.25">
      <c r="AO571" s="286"/>
    </row>
    <row r="572" spans="41:41" ht="18.2" customHeight="1" x14ac:dyDescent="0.25">
      <c r="AO572" s="286"/>
    </row>
    <row r="573" spans="41:41" ht="18.2" customHeight="1" x14ac:dyDescent="0.25">
      <c r="AO573" s="286"/>
    </row>
    <row r="574" spans="41:41" ht="18.2" customHeight="1" x14ac:dyDescent="0.25">
      <c r="AO574" s="286"/>
    </row>
    <row r="575" spans="41:41" ht="18.2" customHeight="1" x14ac:dyDescent="0.25">
      <c r="AO575" s="286"/>
    </row>
  </sheetData>
  <sheetProtection formatCells="0"/>
  <mergeCells count="306">
    <mergeCell ref="B124:Q144"/>
    <mergeCell ref="B173:Q218"/>
    <mergeCell ref="B220:Q230"/>
    <mergeCell ref="N52:O52"/>
    <mergeCell ref="B110:Q110"/>
    <mergeCell ref="E60:M60"/>
    <mergeCell ref="E71:M71"/>
    <mergeCell ref="N72:O72"/>
    <mergeCell ref="B52:D65"/>
    <mergeCell ref="B66:D69"/>
    <mergeCell ref="E54:M54"/>
    <mergeCell ref="N54:O54"/>
    <mergeCell ref="P60:Q60"/>
    <mergeCell ref="N60:O60"/>
    <mergeCell ref="B85:Q85"/>
    <mergeCell ref="B86:L86"/>
    <mergeCell ref="K108:L108"/>
    <mergeCell ref="B84:F84"/>
    <mergeCell ref="E69:M69"/>
    <mergeCell ref="E62:M62"/>
    <mergeCell ref="E66:M66"/>
    <mergeCell ref="B13:D13"/>
    <mergeCell ref="B119:Q119"/>
    <mergeCell ref="E48:M48"/>
    <mergeCell ref="N48:O48"/>
    <mergeCell ref="P48:Q48"/>
    <mergeCell ref="E51:M51"/>
    <mergeCell ref="N51:O51"/>
    <mergeCell ref="P57:Q57"/>
    <mergeCell ref="N53:O53"/>
    <mergeCell ref="M91:N91"/>
    <mergeCell ref="O91:P91"/>
    <mergeCell ref="E50:M50"/>
    <mergeCell ref="E52:M52"/>
    <mergeCell ref="M89:N89"/>
    <mergeCell ref="O89:P89"/>
    <mergeCell ref="H95:I95"/>
    <mergeCell ref="P38:Q38"/>
    <mergeCell ref="B17:D17"/>
    <mergeCell ref="B18:D18"/>
    <mergeCell ref="B14:D14"/>
    <mergeCell ref="B19:D19"/>
    <mergeCell ref="B20:D20"/>
    <mergeCell ref="P27:Q27"/>
    <mergeCell ref="K95:L95"/>
    <mergeCell ref="B15:D15"/>
    <mergeCell ref="B16:D16"/>
    <mergeCell ref="P35:Q35"/>
    <mergeCell ref="E20:F20"/>
    <mergeCell ref="B21:Q21"/>
    <mergeCell ref="B22:Q22"/>
    <mergeCell ref="E16:F16"/>
    <mergeCell ref="E18:F18"/>
    <mergeCell ref="E19:F19"/>
    <mergeCell ref="E17:F17"/>
    <mergeCell ref="N33:O33"/>
    <mergeCell ref="E32:M32"/>
    <mergeCell ref="P30:Q30"/>
    <mergeCell ref="P32:Q32"/>
    <mergeCell ref="E35:M35"/>
    <mergeCell ref="N35:O35"/>
    <mergeCell ref="K89:L89"/>
    <mergeCell ref="P39:Q39"/>
    <mergeCell ref="E47:M47"/>
    <mergeCell ref="N41:O41"/>
    <mergeCell ref="N56:O56"/>
    <mergeCell ref="E14:F14"/>
    <mergeCell ref="N32:O32"/>
    <mergeCell ref="P33:Q33"/>
    <mergeCell ref="E33:M33"/>
    <mergeCell ref="E38:M38"/>
    <mergeCell ref="N36:O36"/>
    <mergeCell ref="N37:O37"/>
    <mergeCell ref="N28:O28"/>
    <mergeCell ref="N29:O29"/>
    <mergeCell ref="P28:Q28"/>
    <mergeCell ref="E36:M36"/>
    <mergeCell ref="E34:M34"/>
    <mergeCell ref="P37:Q37"/>
    <mergeCell ref="E37:M37"/>
    <mergeCell ref="N34:O34"/>
    <mergeCell ref="P34:Q34"/>
    <mergeCell ref="P36:Q36"/>
    <mergeCell ref="E30:M30"/>
    <mergeCell ref="N30:O30"/>
    <mergeCell ref="N38:O38"/>
    <mergeCell ref="P23:Q23"/>
    <mergeCell ref="E31:M31"/>
    <mergeCell ref="N31:O31"/>
    <mergeCell ref="P31:Q31"/>
    <mergeCell ref="S7:T7"/>
    <mergeCell ref="B8:H8"/>
    <mergeCell ref="K8:L8"/>
    <mergeCell ref="M8:Q8"/>
    <mergeCell ref="E12:F12"/>
    <mergeCell ref="S11:U11"/>
    <mergeCell ref="B11:Q11"/>
    <mergeCell ref="S12:U12"/>
    <mergeCell ref="B9:D9"/>
    <mergeCell ref="E9:F9"/>
    <mergeCell ref="G9:J9"/>
    <mergeCell ref="K9:L9"/>
    <mergeCell ref="M9:Q9"/>
    <mergeCell ref="B10:D10"/>
    <mergeCell ref="E10:F10"/>
    <mergeCell ref="G10:J10"/>
    <mergeCell ref="K10:L10"/>
    <mergeCell ref="M10:Q10"/>
    <mergeCell ref="B12:D12"/>
    <mergeCell ref="B4:Q4"/>
    <mergeCell ref="B5:Q5"/>
    <mergeCell ref="E24:M24"/>
    <mergeCell ref="E29:M29"/>
    <mergeCell ref="N24:O24"/>
    <mergeCell ref="B6:Q6"/>
    <mergeCell ref="B7:H7"/>
    <mergeCell ref="K7:L7"/>
    <mergeCell ref="M7:Q7"/>
    <mergeCell ref="P29:Q29"/>
    <mergeCell ref="E27:M27"/>
    <mergeCell ref="E28:M28"/>
    <mergeCell ref="N27:O27"/>
    <mergeCell ref="B23:D23"/>
    <mergeCell ref="E15:F15"/>
    <mergeCell ref="E25:M25"/>
    <mergeCell ref="N25:O25"/>
    <mergeCell ref="P25:Q25"/>
    <mergeCell ref="E26:M26"/>
    <mergeCell ref="N26:O26"/>
    <mergeCell ref="B24:D38"/>
    <mergeCell ref="E23:M23"/>
    <mergeCell ref="N23:O23"/>
    <mergeCell ref="E13:F13"/>
    <mergeCell ref="P55:Q55"/>
    <mergeCell ref="E56:M56"/>
    <mergeCell ref="N68:O68"/>
    <mergeCell ref="P68:Q68"/>
    <mergeCell ref="P53:Q53"/>
    <mergeCell ref="P62:Q62"/>
    <mergeCell ref="N47:O47"/>
    <mergeCell ref="B87:G87"/>
    <mergeCell ref="G84:K84"/>
    <mergeCell ref="L84:Q84"/>
    <mergeCell ref="H87:I87"/>
    <mergeCell ref="K87:L87"/>
    <mergeCell ref="W11:AB11"/>
    <mergeCell ref="AB12:AB13"/>
    <mergeCell ref="AO87:AO88"/>
    <mergeCell ref="E67:M67"/>
    <mergeCell ref="E57:M57"/>
    <mergeCell ref="N59:O59"/>
    <mergeCell ref="P46:Q46"/>
    <mergeCell ref="M88:N88"/>
    <mergeCell ref="B39:D51"/>
    <mergeCell ref="E46:M46"/>
    <mergeCell ref="E44:M44"/>
    <mergeCell ref="E39:M39"/>
    <mergeCell ref="N44:O44"/>
    <mergeCell ref="E40:M40"/>
    <mergeCell ref="N40:O40"/>
    <mergeCell ref="P40:Q40"/>
    <mergeCell ref="N46:O46"/>
    <mergeCell ref="N39:O39"/>
    <mergeCell ref="N42:O42"/>
    <mergeCell ref="E41:M41"/>
    <mergeCell ref="P42:Q42"/>
    <mergeCell ref="N43:O43"/>
    <mergeCell ref="P43:Q43"/>
    <mergeCell ref="E59:M59"/>
    <mergeCell ref="K156:L156"/>
    <mergeCell ref="K170:L170"/>
    <mergeCell ref="O90:P90"/>
    <mergeCell ref="H90:I90"/>
    <mergeCell ref="B90:G90"/>
    <mergeCell ref="B89:G89"/>
    <mergeCell ref="B88:G88"/>
    <mergeCell ref="K90:L90"/>
    <mergeCell ref="M90:N90"/>
    <mergeCell ref="K94:L94"/>
    <mergeCell ref="M94:N94"/>
    <mergeCell ref="M93:N93"/>
    <mergeCell ref="O93:P93"/>
    <mergeCell ref="H89:I89"/>
    <mergeCell ref="H92:I92"/>
    <mergeCell ref="B109:Q109"/>
    <mergeCell ref="B157:Q157"/>
    <mergeCell ref="K121:L121"/>
    <mergeCell ref="B121:J121"/>
    <mergeCell ref="M95:N95"/>
    <mergeCell ref="H88:I88"/>
    <mergeCell ref="K88:L88"/>
    <mergeCell ref="O95:P95"/>
    <mergeCell ref="B108:J108"/>
    <mergeCell ref="Z86:AA86"/>
    <mergeCell ref="W87:Y87"/>
    <mergeCell ref="AC87:AE87"/>
    <mergeCell ref="AG87:AI87"/>
    <mergeCell ref="O87:P87"/>
    <mergeCell ref="N71:O71"/>
    <mergeCell ref="P71:Q71"/>
    <mergeCell ref="M87:N87"/>
    <mergeCell ref="B122:Q122"/>
    <mergeCell ref="B104:Q104"/>
    <mergeCell ref="B72:M72"/>
    <mergeCell ref="B70:D71"/>
    <mergeCell ref="E70:M70"/>
    <mergeCell ref="B81:E81"/>
    <mergeCell ref="H81:K81"/>
    <mergeCell ref="M81:P81"/>
    <mergeCell ref="P72:Q72"/>
    <mergeCell ref="BA87:BA88"/>
    <mergeCell ref="AZ87:AZ88"/>
    <mergeCell ref="AV87:AY87"/>
    <mergeCell ref="AQ87:AQ88"/>
    <mergeCell ref="AR87:AU87"/>
    <mergeCell ref="P56:Q56"/>
    <mergeCell ref="P52:Q52"/>
    <mergeCell ref="P47:Q47"/>
    <mergeCell ref="P59:Q59"/>
    <mergeCell ref="P61:Q61"/>
    <mergeCell ref="O88:P88"/>
    <mergeCell ref="N49:O49"/>
    <mergeCell ref="P49:Q49"/>
    <mergeCell ref="N50:O50"/>
    <mergeCell ref="P50:Q50"/>
    <mergeCell ref="P51:Q51"/>
    <mergeCell ref="P63:Q63"/>
    <mergeCell ref="N65:O65"/>
    <mergeCell ref="P65:Q65"/>
    <mergeCell ref="AP87:AP88"/>
    <mergeCell ref="AR86:AU86"/>
    <mergeCell ref="AV86:AY86"/>
    <mergeCell ref="AK87:AM87"/>
    <mergeCell ref="X86:Y86"/>
    <mergeCell ref="H93:I93"/>
    <mergeCell ref="K93:L93"/>
    <mergeCell ref="P41:Q41"/>
    <mergeCell ref="P44:Q44"/>
    <mergeCell ref="N45:O45"/>
    <mergeCell ref="P45:Q45"/>
    <mergeCell ref="E45:M45"/>
    <mergeCell ref="E42:M42"/>
    <mergeCell ref="E43:M43"/>
    <mergeCell ref="E49:M49"/>
    <mergeCell ref="E64:M64"/>
    <mergeCell ref="N64:O64"/>
    <mergeCell ref="P64:Q64"/>
    <mergeCell ref="E58:M58"/>
    <mergeCell ref="E61:M61"/>
    <mergeCell ref="N62:O62"/>
    <mergeCell ref="N58:O58"/>
    <mergeCell ref="P54:Q54"/>
    <mergeCell ref="E55:M55"/>
    <mergeCell ref="E63:M63"/>
    <mergeCell ref="N57:O57"/>
    <mergeCell ref="P58:Q58"/>
    <mergeCell ref="E65:M65"/>
    <mergeCell ref="E53:M53"/>
    <mergeCell ref="B123:Q123"/>
    <mergeCell ref="B231:Q231"/>
    <mergeCell ref="B158:Q158"/>
    <mergeCell ref="B219:Q219"/>
    <mergeCell ref="T23:U23"/>
    <mergeCell ref="T24:U24"/>
    <mergeCell ref="T40:U40"/>
    <mergeCell ref="T41:U41"/>
    <mergeCell ref="T53:U53"/>
    <mergeCell ref="T54:U54"/>
    <mergeCell ref="T67:U67"/>
    <mergeCell ref="T68:U68"/>
    <mergeCell ref="N70:O70"/>
    <mergeCell ref="P70:Q70"/>
    <mergeCell ref="N61:O61"/>
    <mergeCell ref="N67:O67"/>
    <mergeCell ref="P67:Q67"/>
    <mergeCell ref="N66:O66"/>
    <mergeCell ref="P66:Q66"/>
    <mergeCell ref="N63:O63"/>
    <mergeCell ref="N55:O55"/>
    <mergeCell ref="N69:O69"/>
    <mergeCell ref="P69:Q69"/>
    <mergeCell ref="E68:M68"/>
    <mergeCell ref="P24:Q24"/>
    <mergeCell ref="P26:Q26"/>
    <mergeCell ref="B172:Q172"/>
    <mergeCell ref="B1:Q1"/>
    <mergeCell ref="B2:Q2"/>
    <mergeCell ref="B3:Q3"/>
    <mergeCell ref="M86:P86"/>
    <mergeCell ref="B96:Q96"/>
    <mergeCell ref="O94:P94"/>
    <mergeCell ref="H91:I91"/>
    <mergeCell ref="K91:L91"/>
    <mergeCell ref="O92:P92"/>
    <mergeCell ref="H94:I94"/>
    <mergeCell ref="B95:G95"/>
    <mergeCell ref="B94:G94"/>
    <mergeCell ref="B93:G93"/>
    <mergeCell ref="B92:G92"/>
    <mergeCell ref="B91:G91"/>
    <mergeCell ref="K92:L92"/>
    <mergeCell ref="M92:N92"/>
    <mergeCell ref="B73:Q73"/>
    <mergeCell ref="B171:Q171"/>
    <mergeCell ref="B156:J156"/>
    <mergeCell ref="B170:J170"/>
  </mergeCells>
  <conditionalFormatting sqref="B72">
    <cfRule type="cellIs" dxfId="111" priority="733" stopIfTrue="1" operator="equal">
      <formula>"PESSOAL"</formula>
    </cfRule>
    <cfRule type="cellIs" dxfId="110" priority="734" stopIfTrue="1" operator="equal">
      <formula>"Material de Consumo"</formula>
    </cfRule>
    <cfRule type="cellIs" dxfId="109" priority="735" stopIfTrue="1" operator="equal">
      <formula>"Serviços de Terceiros"</formula>
    </cfRule>
    <cfRule type="cellIs" dxfId="108" priority="736" stopIfTrue="1" operator="equal">
      <formula>"Despesas Gerais"</formula>
    </cfRule>
  </conditionalFormatting>
  <conditionalFormatting sqref="W14:W67 W78">
    <cfRule type="cellIs" dxfId="107" priority="722" stopIfTrue="1" operator="equal">
      <formula>"PESSOAL"</formula>
    </cfRule>
    <cfRule type="cellIs" dxfId="106" priority="723" stopIfTrue="1" operator="equal">
      <formula>"MATERIAL DE CONSUMO"</formula>
    </cfRule>
    <cfRule type="cellIs" dxfId="105" priority="724" stopIfTrue="1" operator="equal">
      <formula>"SERVIÇOS DE TERCEIROS"</formula>
    </cfRule>
    <cfRule type="cellIs" dxfId="104" priority="725" stopIfTrue="1" operator="equal">
      <formula>"DESPESAS GERAIS"</formula>
    </cfRule>
  </conditionalFormatting>
  <conditionalFormatting sqref="W68">
    <cfRule type="cellIs" dxfId="103" priority="424" stopIfTrue="1" operator="equal">
      <formula>"PESSOAL"</formula>
    </cfRule>
    <cfRule type="cellIs" dxfId="102" priority="425" stopIfTrue="1" operator="equal">
      <formula>"MATERIAL DE CONSUMO"</formula>
    </cfRule>
    <cfRule type="cellIs" dxfId="101" priority="426" stopIfTrue="1" operator="equal">
      <formula>"SERVIÇOS DE TERCEIROS"</formula>
    </cfRule>
    <cfRule type="cellIs" dxfId="100" priority="427" stopIfTrue="1" operator="equal">
      <formula>"DESPESAS GERAIS"</formula>
    </cfRule>
  </conditionalFormatting>
  <conditionalFormatting sqref="W69">
    <cfRule type="cellIs" dxfId="99" priority="420" stopIfTrue="1" operator="equal">
      <formula>"PESSOAL"</formula>
    </cfRule>
    <cfRule type="cellIs" dxfId="98" priority="421" stopIfTrue="1" operator="equal">
      <formula>"MATERIAL DE CONSUMO"</formula>
    </cfRule>
    <cfRule type="cellIs" dxfId="97" priority="422" stopIfTrue="1" operator="equal">
      <formula>"SERVIÇOS DE TERCEIROS"</formula>
    </cfRule>
    <cfRule type="cellIs" dxfId="96" priority="423" stopIfTrue="1" operator="equal">
      <formula>"DESPESAS GERAIS"</formula>
    </cfRule>
  </conditionalFormatting>
  <conditionalFormatting sqref="W70">
    <cfRule type="cellIs" dxfId="95" priority="416" stopIfTrue="1" operator="equal">
      <formula>"PESSOAL"</formula>
    </cfRule>
    <cfRule type="cellIs" dxfId="94" priority="417" stopIfTrue="1" operator="equal">
      <formula>"MATERIAL DE CONSUMO"</formula>
    </cfRule>
    <cfRule type="cellIs" dxfId="93" priority="418" stopIfTrue="1" operator="equal">
      <formula>"SERVIÇOS DE TERCEIROS"</formula>
    </cfRule>
    <cfRule type="cellIs" dxfId="92" priority="419" stopIfTrue="1" operator="equal">
      <formula>"DESPESAS GERAIS"</formula>
    </cfRule>
  </conditionalFormatting>
  <conditionalFormatting sqref="W71">
    <cfRule type="cellIs" dxfId="91" priority="412" stopIfTrue="1" operator="equal">
      <formula>"PESSOAL"</formula>
    </cfRule>
    <cfRule type="cellIs" dxfId="90" priority="413" stopIfTrue="1" operator="equal">
      <formula>"MATERIAL DE CONSUMO"</formula>
    </cfRule>
    <cfRule type="cellIs" dxfId="89" priority="414" stopIfTrue="1" operator="equal">
      <formula>"SERVIÇOS DE TERCEIROS"</formula>
    </cfRule>
    <cfRule type="cellIs" dxfId="88" priority="415" stopIfTrue="1" operator="equal">
      <formula>"DESPESAS GERAIS"</formula>
    </cfRule>
  </conditionalFormatting>
  <conditionalFormatting sqref="W72">
    <cfRule type="cellIs" dxfId="87" priority="408" stopIfTrue="1" operator="equal">
      <formula>"PESSOAL"</formula>
    </cfRule>
    <cfRule type="cellIs" dxfId="86" priority="409" stopIfTrue="1" operator="equal">
      <formula>"MATERIAL DE CONSUMO"</formula>
    </cfRule>
    <cfRule type="cellIs" dxfId="85" priority="410" stopIfTrue="1" operator="equal">
      <formula>"SERVIÇOS DE TERCEIROS"</formula>
    </cfRule>
    <cfRule type="cellIs" dxfId="84" priority="411" stopIfTrue="1" operator="equal">
      <formula>"DESPESAS GERAIS"</formula>
    </cfRule>
  </conditionalFormatting>
  <conditionalFormatting sqref="W73">
    <cfRule type="cellIs" dxfId="83" priority="404" stopIfTrue="1" operator="equal">
      <formula>"PESSOAL"</formula>
    </cfRule>
    <cfRule type="cellIs" dxfId="82" priority="405" stopIfTrue="1" operator="equal">
      <formula>"MATERIAL DE CONSUMO"</formula>
    </cfRule>
    <cfRule type="cellIs" dxfId="81" priority="406" stopIfTrue="1" operator="equal">
      <formula>"SERVIÇOS DE TERCEIROS"</formula>
    </cfRule>
    <cfRule type="cellIs" dxfId="80" priority="407" stopIfTrue="1" operator="equal">
      <formula>"DESPESAS GERAIS"</formula>
    </cfRule>
  </conditionalFormatting>
  <conditionalFormatting sqref="W74">
    <cfRule type="cellIs" dxfId="79" priority="400" stopIfTrue="1" operator="equal">
      <formula>"PESSOAL"</formula>
    </cfRule>
    <cfRule type="cellIs" dxfId="78" priority="401" stopIfTrue="1" operator="equal">
      <formula>"MATERIAL DE CONSUMO"</formula>
    </cfRule>
    <cfRule type="cellIs" dxfId="77" priority="402" stopIfTrue="1" operator="equal">
      <formula>"SERVIÇOS DE TERCEIROS"</formula>
    </cfRule>
    <cfRule type="cellIs" dxfId="76" priority="403" stopIfTrue="1" operator="equal">
      <formula>"DESPESAS GERAIS"</formula>
    </cfRule>
  </conditionalFormatting>
  <conditionalFormatting sqref="W75">
    <cfRule type="cellIs" dxfId="75" priority="396" stopIfTrue="1" operator="equal">
      <formula>"PESSOAL"</formula>
    </cfRule>
    <cfRule type="cellIs" dxfId="74" priority="397" stopIfTrue="1" operator="equal">
      <formula>"MATERIAL DE CONSUMO"</formula>
    </cfRule>
    <cfRule type="cellIs" dxfId="73" priority="398" stopIfTrue="1" operator="equal">
      <formula>"SERVIÇOS DE TERCEIROS"</formula>
    </cfRule>
    <cfRule type="cellIs" dxfId="72" priority="399" stopIfTrue="1" operator="equal">
      <formula>"DESPESAS GERAIS"</formula>
    </cfRule>
  </conditionalFormatting>
  <conditionalFormatting sqref="W76">
    <cfRule type="cellIs" dxfId="71" priority="392" stopIfTrue="1" operator="equal">
      <formula>"PESSOAL"</formula>
    </cfRule>
    <cfRule type="cellIs" dxfId="70" priority="393" stopIfTrue="1" operator="equal">
      <formula>"MATERIAL DE CONSUMO"</formula>
    </cfRule>
    <cfRule type="cellIs" dxfId="69" priority="394" stopIfTrue="1" operator="equal">
      <formula>"SERVIÇOS DE TERCEIROS"</formula>
    </cfRule>
    <cfRule type="cellIs" dxfId="68" priority="395" stopIfTrue="1" operator="equal">
      <formula>"DESPESAS GERAIS"</formula>
    </cfRule>
  </conditionalFormatting>
  <conditionalFormatting sqref="W77">
    <cfRule type="cellIs" dxfId="67" priority="388" stopIfTrue="1" operator="equal">
      <formula>"PESSOAL"</formula>
    </cfRule>
    <cfRule type="cellIs" dxfId="66" priority="389" stopIfTrue="1" operator="equal">
      <formula>"MATERIAL DE CONSUMO"</formula>
    </cfRule>
    <cfRule type="cellIs" dxfId="65" priority="390" stopIfTrue="1" operator="equal">
      <formula>"SERVIÇOS DE TERCEIROS"</formula>
    </cfRule>
    <cfRule type="cellIs" dxfId="64" priority="391" stopIfTrue="1" operator="equal">
      <formula>"DESPESAS GERAIS"</formula>
    </cfRule>
  </conditionalFormatting>
  <conditionalFormatting sqref="W79">
    <cfRule type="cellIs" dxfId="63" priority="384" stopIfTrue="1" operator="equal">
      <formula>"PESSOAL"</formula>
    </cfRule>
    <cfRule type="cellIs" dxfId="62" priority="385" stopIfTrue="1" operator="equal">
      <formula>"MATERIAL DE CONSUMO"</formula>
    </cfRule>
    <cfRule type="cellIs" dxfId="61" priority="386" stopIfTrue="1" operator="equal">
      <formula>"SERVIÇOS DE TERCEIROS"</formula>
    </cfRule>
    <cfRule type="cellIs" dxfId="60" priority="387" stopIfTrue="1" operator="equal">
      <formula>"DESPESAS GERAIS"</formula>
    </cfRule>
  </conditionalFormatting>
  <conditionalFormatting sqref="W80">
    <cfRule type="cellIs" dxfId="59" priority="380" stopIfTrue="1" operator="equal">
      <formula>"PESSOAL"</formula>
    </cfRule>
    <cfRule type="cellIs" dxfId="58" priority="381" stopIfTrue="1" operator="equal">
      <formula>"MATERIAL DE CONSUMO"</formula>
    </cfRule>
    <cfRule type="cellIs" dxfId="57" priority="382" stopIfTrue="1" operator="equal">
      <formula>"SERVIÇOS DE TERCEIROS"</formula>
    </cfRule>
    <cfRule type="cellIs" dxfId="56" priority="383" stopIfTrue="1" operator="equal">
      <formula>"DESPESAS GERAIS"</formula>
    </cfRule>
  </conditionalFormatting>
  <conditionalFormatting sqref="W81">
    <cfRule type="cellIs" dxfId="55" priority="376" stopIfTrue="1" operator="equal">
      <formula>"PESSOAL"</formula>
    </cfRule>
    <cfRule type="cellIs" dxfId="54" priority="377" stopIfTrue="1" operator="equal">
      <formula>"MATERIAL DE CONSUMO"</formula>
    </cfRule>
    <cfRule type="cellIs" dxfId="53" priority="378" stopIfTrue="1" operator="equal">
      <formula>"SERVIÇOS DE TERCEIROS"</formula>
    </cfRule>
    <cfRule type="cellIs" dxfId="52" priority="379" stopIfTrue="1" operator="equal">
      <formula>"DESPESAS GERAIS"</formula>
    </cfRule>
  </conditionalFormatting>
  <conditionalFormatting sqref="W82">
    <cfRule type="cellIs" dxfId="51" priority="372" stopIfTrue="1" operator="equal">
      <formula>"PESSOAL"</formula>
    </cfRule>
    <cfRule type="cellIs" dxfId="50" priority="373" stopIfTrue="1" operator="equal">
      <formula>"MATERIAL DE CONSUMO"</formula>
    </cfRule>
    <cfRule type="cellIs" dxfId="49" priority="374" stopIfTrue="1" operator="equal">
      <formula>"SERVIÇOS DE TERCEIROS"</formula>
    </cfRule>
    <cfRule type="cellIs" dxfId="48" priority="375" stopIfTrue="1" operator="equal">
      <formula>"DESPESAS GERAIS"</formula>
    </cfRule>
  </conditionalFormatting>
  <conditionalFormatting sqref="W83">
    <cfRule type="cellIs" dxfId="47" priority="368" stopIfTrue="1" operator="equal">
      <formula>"PESSOAL"</formula>
    </cfRule>
    <cfRule type="cellIs" dxfId="46" priority="369" stopIfTrue="1" operator="equal">
      <formula>"MATERIAL DE CONSUMO"</formula>
    </cfRule>
    <cfRule type="cellIs" dxfId="45" priority="370" stopIfTrue="1" operator="equal">
      <formula>"SERVIÇOS DE TERCEIROS"</formula>
    </cfRule>
    <cfRule type="cellIs" dxfId="44" priority="371" stopIfTrue="1" operator="equal">
      <formula>"DESPESAS GERAIS"</formula>
    </cfRule>
  </conditionalFormatting>
  <conditionalFormatting sqref="W84">
    <cfRule type="cellIs" dxfId="43" priority="364" stopIfTrue="1" operator="equal">
      <formula>"PESSOAL"</formula>
    </cfRule>
    <cfRule type="cellIs" dxfId="42" priority="365" stopIfTrue="1" operator="equal">
      <formula>"MATERIAL DE CONSUMO"</formula>
    </cfRule>
    <cfRule type="cellIs" dxfId="41" priority="366" stopIfTrue="1" operator="equal">
      <formula>"SERVIÇOS DE TERCEIROS"</formula>
    </cfRule>
    <cfRule type="cellIs" dxfId="40" priority="367" stopIfTrue="1" operator="equal">
      <formula>"DESPESAS GERAIS"</formula>
    </cfRule>
  </conditionalFormatting>
  <conditionalFormatting sqref="W85">
    <cfRule type="cellIs" dxfId="39" priority="360" stopIfTrue="1" operator="equal">
      <formula>"PESSOAL"</formula>
    </cfRule>
    <cfRule type="cellIs" dxfId="38" priority="361" stopIfTrue="1" operator="equal">
      <formula>"MATERIAL DE CONSUMO"</formula>
    </cfRule>
    <cfRule type="cellIs" dxfId="37" priority="362" stopIfTrue="1" operator="equal">
      <formula>"SERVIÇOS DE TERCEIROS"</formula>
    </cfRule>
    <cfRule type="cellIs" dxfId="36" priority="363" stopIfTrue="1" operator="equal">
      <formula>"DESPESAS GERAIS"</formula>
    </cfRule>
  </conditionalFormatting>
  <conditionalFormatting sqref="E24:G69 K24:K69">
    <cfRule type="expression" priority="258" stopIfTrue="1">
      <formula>P24="-"</formula>
    </cfRule>
  </conditionalFormatting>
  <conditionalFormatting sqref="I27:J29 J24 H44:I46 J39:J41 I55:J61 J52:J54 J66:J68">
    <cfRule type="expression" priority="3402" stopIfTrue="1">
      <formula>#REF!="-"</formula>
    </cfRule>
  </conditionalFormatting>
  <conditionalFormatting sqref="P24:Q38">
    <cfRule type="cellIs" priority="3406" stopIfTrue="1" operator="equal">
      <formula>"-"</formula>
    </cfRule>
    <cfRule type="cellIs" dxfId="35" priority="3407" stopIfTrue="1" operator="greaterThan">
      <formula>$T$25</formula>
    </cfRule>
  </conditionalFormatting>
  <conditionalFormatting sqref="N24:N38">
    <cfRule type="cellIs" priority="3408" stopIfTrue="1" operator="equal">
      <formula>"-"</formula>
    </cfRule>
    <cfRule type="expression" dxfId="34" priority="3409" stopIfTrue="1">
      <formula>P24&gt;=$T$25</formula>
    </cfRule>
  </conditionalFormatting>
  <conditionalFormatting sqref="E24:E38">
    <cfRule type="expression" dxfId="33" priority="3410" stopIfTrue="1">
      <formula>P24&gt;=$T$25</formula>
    </cfRule>
  </conditionalFormatting>
  <conditionalFormatting sqref="H24:I24 H39:I41 H52:I54 H66:I68">
    <cfRule type="expression" priority="3411" stopIfTrue="1">
      <formula>T25="-"</formula>
    </cfRule>
  </conditionalFormatting>
  <conditionalFormatting sqref="P39:Q51">
    <cfRule type="cellIs" priority="3445" stopIfTrue="1" operator="equal">
      <formula>"-"</formula>
    </cfRule>
    <cfRule type="cellIs" dxfId="32" priority="3446" stopIfTrue="1" operator="greaterThan">
      <formula>$T$42</formula>
    </cfRule>
  </conditionalFormatting>
  <conditionalFormatting sqref="N39:N51">
    <cfRule type="cellIs" priority="3447" stopIfTrue="1" operator="equal">
      <formula>"-"</formula>
    </cfRule>
    <cfRule type="expression" dxfId="31" priority="3448" stopIfTrue="1">
      <formula>P39&gt;=$T$42</formula>
    </cfRule>
  </conditionalFormatting>
  <conditionalFormatting sqref="E39:E51">
    <cfRule type="expression" dxfId="30" priority="3449" stopIfTrue="1">
      <formula>P39&gt;=$T$42</formula>
    </cfRule>
  </conditionalFormatting>
  <conditionalFormatting sqref="P52:Q65">
    <cfRule type="cellIs" priority="3506" stopIfTrue="1" operator="equal">
      <formula>"-"</formula>
    </cfRule>
    <cfRule type="cellIs" dxfId="29" priority="3507" stopIfTrue="1" operator="greaterThan">
      <formula>$T$55</formula>
    </cfRule>
  </conditionalFormatting>
  <conditionalFormatting sqref="N52:N65">
    <cfRule type="cellIs" priority="3508" stopIfTrue="1" operator="equal">
      <formula>"-"</formula>
    </cfRule>
    <cfRule type="expression" dxfId="28" priority="3509" stopIfTrue="1">
      <formula>P52&gt;=$T$55</formula>
    </cfRule>
  </conditionalFormatting>
  <conditionalFormatting sqref="E52:E65">
    <cfRule type="expression" dxfId="27" priority="3510" stopIfTrue="1">
      <formula>P52&gt;=$T$55</formula>
    </cfRule>
  </conditionalFormatting>
  <conditionalFormatting sqref="P66:Q70">
    <cfRule type="cellIs" priority="3528" stopIfTrue="1" operator="equal">
      <formula>"-"</formula>
    </cfRule>
    <cfRule type="cellIs" dxfId="26" priority="3529" stopIfTrue="1" operator="greaterThan">
      <formula>$T$69</formula>
    </cfRule>
  </conditionalFormatting>
  <conditionalFormatting sqref="N66:N69">
    <cfRule type="cellIs" priority="3532" stopIfTrue="1" operator="equal">
      <formula>"-"</formula>
    </cfRule>
    <cfRule type="expression" dxfId="25" priority="3533" stopIfTrue="1">
      <formula>P66&gt;=$T$69</formula>
    </cfRule>
  </conditionalFormatting>
  <conditionalFormatting sqref="E66:E69">
    <cfRule type="expression" dxfId="24" priority="3534" stopIfTrue="1">
      <formula>P66&gt;=$T$69</formula>
    </cfRule>
  </conditionalFormatting>
  <conditionalFormatting sqref="H27:H29 J44:J46 H55:H61 H25:J26 H30:J38 H42:J43 H47:J51 H62:J65 H69:J69">
    <cfRule type="expression" priority="3536" stopIfTrue="1">
      <formula>S26="-"</formula>
    </cfRule>
  </conditionalFormatting>
  <conditionalFormatting sqref="M35:M36 L24:L69">
    <cfRule type="expression" priority="3539" stopIfTrue="1">
      <formula>#REF!="-"</formula>
    </cfRule>
  </conditionalFormatting>
  <conditionalFormatting sqref="M37">
    <cfRule type="expression" priority="3540" stopIfTrue="1">
      <formula>#REF!="-"</formula>
    </cfRule>
  </conditionalFormatting>
  <conditionalFormatting sqref="M38:M69">
    <cfRule type="expression" priority="3541" stopIfTrue="1">
      <formula>W13="-"</formula>
    </cfRule>
  </conditionalFormatting>
  <conditionalFormatting sqref="M24">
    <cfRule type="expression" priority="3545" stopIfTrue="1">
      <formula>#REF!="-"</formula>
    </cfRule>
  </conditionalFormatting>
  <conditionalFormatting sqref="M25">
    <cfRule type="expression" priority="3547" stopIfTrue="1">
      <formula>#REF!="-"</formula>
    </cfRule>
  </conditionalFormatting>
  <conditionalFormatting sqref="M26">
    <cfRule type="expression" priority="3549" stopIfTrue="1">
      <formula>#REF!="-"</formula>
    </cfRule>
  </conditionalFormatting>
  <conditionalFormatting sqref="M27">
    <cfRule type="expression" priority="3551" stopIfTrue="1">
      <formula>#REF!="-"</formula>
    </cfRule>
  </conditionalFormatting>
  <conditionalFormatting sqref="M28">
    <cfRule type="expression" priority="3553" stopIfTrue="1">
      <formula>#REF!="-"</formula>
    </cfRule>
  </conditionalFormatting>
  <conditionalFormatting sqref="M29">
    <cfRule type="expression" priority="3555" stopIfTrue="1">
      <formula>#REF!="-"</formula>
    </cfRule>
  </conditionalFormatting>
  <conditionalFormatting sqref="M30">
    <cfRule type="expression" priority="3557" stopIfTrue="1">
      <formula>#REF!="-"</formula>
    </cfRule>
  </conditionalFormatting>
  <conditionalFormatting sqref="M31">
    <cfRule type="expression" priority="3559" stopIfTrue="1">
      <formula>#REF!="-"</formula>
    </cfRule>
  </conditionalFormatting>
  <conditionalFormatting sqref="M32">
    <cfRule type="expression" priority="3561" stopIfTrue="1">
      <formula>#REF!="-"</formula>
    </cfRule>
  </conditionalFormatting>
  <conditionalFormatting sqref="M33:M34">
    <cfRule type="expression" priority="3562" stopIfTrue="1">
      <formula>W11="-"</formula>
    </cfRule>
  </conditionalFormatting>
  <conditionalFormatting sqref="Q88:Q95">
    <cfRule type="cellIs" priority="74" stopIfTrue="1" operator="equal">
      <formula>"-"</formula>
    </cfRule>
    <cfRule type="cellIs" dxfId="23" priority="103" stopIfTrue="1" operator="greaterThan">
      <formula>$Q$87</formula>
    </cfRule>
  </conditionalFormatting>
  <conditionalFormatting sqref="B84 G84 L84">
    <cfRule type="containsBlanks" dxfId="22" priority="3563" stopIfTrue="1">
      <formula>LEN(TRIM(B84))=0</formula>
    </cfRule>
  </conditionalFormatting>
  <conditionalFormatting sqref="B8:Q8 E10:Q10">
    <cfRule type="containsBlanks" dxfId="21" priority="77" stopIfTrue="1">
      <formula>LEN(TRIM(B8))=0</formula>
    </cfRule>
  </conditionalFormatting>
  <conditionalFormatting sqref="B108:J108 B121:J121 B156:J156 B170:J170">
    <cfRule type="containsBlanks" dxfId="20" priority="75" stopIfTrue="1">
      <formula>LEN(TRIM(B108))=0</formula>
    </cfRule>
  </conditionalFormatting>
  <conditionalFormatting sqref="K88">
    <cfRule type="expression" dxfId="19" priority="24" stopIfTrue="1">
      <formula>$Q88&gt;$Q$87</formula>
    </cfRule>
  </conditionalFormatting>
  <conditionalFormatting sqref="K89">
    <cfRule type="expression" dxfId="18" priority="17" stopIfTrue="1">
      <formula>$Q89&gt;$Q$87</formula>
    </cfRule>
  </conditionalFormatting>
  <conditionalFormatting sqref="K90">
    <cfRule type="expression" dxfId="17" priority="16" stopIfTrue="1">
      <formula>$Q90&gt;$Q$87</formula>
    </cfRule>
  </conditionalFormatting>
  <conditionalFormatting sqref="K91">
    <cfRule type="expression" dxfId="16" priority="15" stopIfTrue="1">
      <formula>$Q91&gt;$Q$87</formula>
    </cfRule>
  </conditionalFormatting>
  <conditionalFormatting sqref="K92">
    <cfRule type="expression" dxfId="15" priority="14" stopIfTrue="1">
      <formula>$Q92&gt;$Q$87</formula>
    </cfRule>
  </conditionalFormatting>
  <conditionalFormatting sqref="K93">
    <cfRule type="expression" dxfId="14" priority="13" stopIfTrue="1">
      <formula>$Q93&gt;$Q$87</formula>
    </cfRule>
  </conditionalFormatting>
  <conditionalFormatting sqref="K94">
    <cfRule type="expression" dxfId="13" priority="12" stopIfTrue="1">
      <formula>$Q94&gt;$Q$87</formula>
    </cfRule>
  </conditionalFormatting>
  <conditionalFormatting sqref="K95">
    <cfRule type="expression" dxfId="12" priority="10" stopIfTrue="1">
      <formula>$Q95&gt;$Q$87</formula>
    </cfRule>
  </conditionalFormatting>
  <conditionalFormatting sqref="B90">
    <cfRule type="expression" dxfId="11" priority="9" stopIfTrue="1">
      <formula>$Q90&gt;$Q$87</formula>
    </cfRule>
  </conditionalFormatting>
  <conditionalFormatting sqref="B88">
    <cfRule type="expression" dxfId="10" priority="8" stopIfTrue="1">
      <formula>$Q88&gt;$Q$87</formula>
    </cfRule>
  </conditionalFormatting>
  <conditionalFormatting sqref="B89">
    <cfRule type="expression" dxfId="9" priority="7" stopIfTrue="1">
      <formula>$Q89&gt;$Q$87</formula>
    </cfRule>
  </conditionalFormatting>
  <conditionalFormatting sqref="B91">
    <cfRule type="expression" dxfId="8" priority="6" stopIfTrue="1">
      <formula>$Q91&gt;$Q$87</formula>
    </cfRule>
  </conditionalFormatting>
  <conditionalFormatting sqref="B92">
    <cfRule type="expression" dxfId="7" priority="5" stopIfTrue="1">
      <formula>$Q92&gt;$Q$87</formula>
    </cfRule>
  </conditionalFormatting>
  <conditionalFormatting sqref="B93">
    <cfRule type="expression" dxfId="6" priority="4" stopIfTrue="1">
      <formula>$Q93&gt;$Q$87</formula>
    </cfRule>
  </conditionalFormatting>
  <conditionalFormatting sqref="B94">
    <cfRule type="expression" dxfId="5" priority="3" stopIfTrue="1">
      <formula>$Q94&gt;$Q$87</formula>
    </cfRule>
  </conditionalFormatting>
  <conditionalFormatting sqref="B95">
    <cfRule type="expression" dxfId="4" priority="2" stopIfTrue="1">
      <formula>$Q95&gt;$Q$87</formula>
    </cfRule>
  </conditionalFormatting>
  <conditionalFormatting sqref="K88:L95">
    <cfRule type="cellIs" dxfId="3" priority="1" stopIfTrue="1" operator="equal">
      <formula>"-"</formula>
    </cfRule>
  </conditionalFormatting>
  <conditionalFormatting sqref="O108 Q108 O121 Q121 O156 Q156 O170 Q170">
    <cfRule type="cellIs" dxfId="2" priority="34" stopIfTrue="1" operator="greaterThan">
      <formula>$Q$87</formula>
    </cfRule>
    <cfRule type="cellIs" priority="33" stopIfTrue="1" operator="equal">
      <formula>"-"</formula>
    </cfRule>
  </conditionalFormatting>
  <dataValidations count="2">
    <dataValidation type="list" allowBlank="1" showInputMessage="1" showErrorMessage="1" sqref="B88:G95 B170:J170 B156:J156 B121:J121 B108:J108">
      <formula1>$AQ$90:$AQ$287</formula1>
    </dataValidation>
    <dataValidation type="list" allowBlank="1" showInputMessage="1" showErrorMessage="1" sqref="B84 G84 L84">
      <formula1>$W$14:$W$85</formula1>
    </dataValidation>
  </dataValidations>
  <hyperlinks>
    <hyperlink ref="M10" r:id="rId1"/>
  </hyperlinks>
  <printOptions horizontalCentered="1"/>
  <pageMargins left="0.39370078740157483" right="0.19685039370078741" top="0.19685039370078741" bottom="0.19685039370078741" header="0.19685039370078741" footer="0.19685039370078741"/>
  <pageSetup paperSize="9" scale="55" orientation="portrait" r:id="rId2"/>
  <rowBreaks count="2" manualBreakCount="2">
    <brk id="84" min="1" max="16" man="1"/>
    <brk id="157" min="1" max="16" man="1"/>
  </rowBreaks>
  <ignoredErrors>
    <ignoredError sqref="N38 N51 N65 N69 G18" formula="1"/>
  </ignoredError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28" stopIfTrue="1" operator="containsText" id="{2121925B-1496-4B7A-BDC5-FF2F3A31D791}">
            <xm:f>NOT(ISERROR(SEARCH("-",B10)))</xm:f>
            <xm:f>"-"</xm:f>
            <x14:dxf>
              <fill>
                <patternFill>
                  <bgColor rgb="FFFFFFCC"/>
                </patternFill>
              </fill>
            </x14:dxf>
          </x14:cfRule>
          <xm:sqref>B10:D10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CCFFCC"/>
  </sheetPr>
  <dimension ref="A1:P55"/>
  <sheetViews>
    <sheetView showGridLines="0" showRowColHeaders="0" zoomScale="69" zoomScaleNormal="69" zoomScaleSheetLayoutView="100" workbookViewId="0">
      <pane xSplit="13" ySplit="4" topLeftCell="N5" activePane="bottomRight" state="frozen"/>
      <selection activeCell="B11" sqref="B11:Q11"/>
      <selection pane="topRight" activeCell="B11" sqref="B11:Q11"/>
      <selection pane="bottomLeft" activeCell="B11" sqref="B11:Q11"/>
      <selection pane="bottomRight" activeCell="B3" sqref="B3:H3"/>
    </sheetView>
  </sheetViews>
  <sheetFormatPr defaultColWidth="8.88671875" defaultRowHeight="15" x14ac:dyDescent="0.2"/>
  <cols>
    <col min="1" max="1" width="52.77734375" style="81" customWidth="1"/>
    <col min="2" max="2" width="8.88671875" style="81"/>
    <col min="3" max="7" width="16.77734375" style="81" customWidth="1"/>
    <col min="8" max="8" width="11.77734375" style="81" customWidth="1"/>
    <col min="9" max="9" width="52.77734375" style="81" customWidth="1"/>
    <col min="10" max="13" width="12.77734375" style="81" hidden="1" customWidth="1"/>
    <col min="14" max="17" width="12.77734375" style="81" customWidth="1"/>
    <col min="18" max="47" width="8.88671875" style="81" customWidth="1"/>
    <col min="48" max="16384" width="8.88671875" style="81"/>
  </cols>
  <sheetData>
    <row r="1" spans="1:16" ht="27" customHeight="1" x14ac:dyDescent="0.2">
      <c r="A1" s="114"/>
      <c r="B1" s="606" t="str">
        <f>CONCATENATE("INDICADOR: VARIAÇÃO  DE  CUSTO  MÉDIO  E  PRODUÇÃO:  ", RELATÓRIO!$B$10)</f>
        <v>INDICADOR: VARIAÇÃO  DE  CUSTO  MÉDIO  E  PRODUÇÃO:  JAN/25  a  ABR/25</v>
      </c>
      <c r="C1" s="606"/>
      <c r="D1" s="606"/>
      <c r="E1" s="606"/>
      <c r="F1" s="606"/>
      <c r="G1" s="606"/>
      <c r="H1" s="606"/>
      <c r="I1" s="115"/>
      <c r="J1" s="99">
        <v>0.15</v>
      </c>
      <c r="K1" s="100">
        <v>0.15010000000000001</v>
      </c>
      <c r="L1" s="100">
        <v>0.3</v>
      </c>
      <c r="M1" s="101">
        <v>0.30009999999999998</v>
      </c>
    </row>
    <row r="2" spans="1:16" ht="15" customHeight="1" x14ac:dyDescent="0.2">
      <c r="A2" s="114"/>
      <c r="B2" s="743" t="s">
        <v>69</v>
      </c>
      <c r="C2" s="744"/>
      <c r="D2" s="744"/>
      <c r="E2" s="744"/>
      <c r="F2" s="744"/>
      <c r="G2" s="744"/>
      <c r="H2" s="745"/>
      <c r="I2" s="116"/>
    </row>
    <row r="3" spans="1:16" ht="21" customHeight="1" x14ac:dyDescent="0.2">
      <c r="A3" s="114"/>
      <c r="B3" s="746"/>
      <c r="C3" s="747"/>
      <c r="D3" s="747"/>
      <c r="E3" s="747"/>
      <c r="F3" s="747"/>
      <c r="G3" s="747"/>
      <c r="H3" s="748"/>
      <c r="I3" s="115"/>
      <c r="J3" s="734" t="str">
        <f xml:space="preserve"> CONCATENATE( "PRODUÇÃO:  ", J5)</f>
        <v xml:space="preserve">PRODUÇÃO:  </v>
      </c>
      <c r="K3" s="735"/>
      <c r="L3" s="735"/>
      <c r="M3" s="736"/>
    </row>
    <row r="4" spans="1:16" ht="9.9499999999999993" customHeight="1" x14ac:dyDescent="0.2">
      <c r="A4" s="114"/>
      <c r="B4" s="749"/>
      <c r="C4" s="749"/>
      <c r="D4" s="749"/>
      <c r="E4" s="749"/>
      <c r="F4" s="749"/>
      <c r="G4" s="749"/>
      <c r="H4" s="749"/>
      <c r="I4" s="117"/>
      <c r="J4" s="737"/>
      <c r="K4" s="738"/>
      <c r="L4" s="738"/>
      <c r="M4" s="739"/>
    </row>
    <row r="5" spans="1:16" ht="21" customHeight="1" thickBot="1" x14ac:dyDescent="0.25">
      <c r="A5" s="114"/>
      <c r="B5" s="118" t="s">
        <v>63</v>
      </c>
      <c r="C5" s="119" t="s">
        <v>30</v>
      </c>
      <c r="D5" s="120" t="s">
        <v>64</v>
      </c>
      <c r="E5" s="120" t="s">
        <v>65</v>
      </c>
      <c r="F5" s="120" t="s">
        <v>66</v>
      </c>
      <c r="G5" s="121" t="s">
        <v>67</v>
      </c>
      <c r="H5" s="122" t="s">
        <v>131</v>
      </c>
      <c r="I5" s="19"/>
      <c r="J5" s="123" t="str">
        <f>UPPER($B$3)</f>
        <v/>
      </c>
      <c r="K5" s="124" t="s">
        <v>30</v>
      </c>
      <c r="L5" s="110" t="s">
        <v>186</v>
      </c>
      <c r="M5" s="125" t="s">
        <v>71</v>
      </c>
    </row>
    <row r="6" spans="1:16" ht="21" customHeight="1" x14ac:dyDescent="0.2">
      <c r="A6" s="114"/>
      <c r="B6" s="336" t="str">
        <f>IF( RELATÓRIO!$AR$88= "-", "-", RELATÓRIO!$AR$88)</f>
        <v>JAN-25</v>
      </c>
      <c r="C6" s="126" t="str">
        <f xml:space="preserve"> IFERROR( VLOOKUP( $B$3, RELATÓRIO!$AQ$89:$AY$225, 2, 0), "-")</f>
        <v>-</v>
      </c>
      <c r="D6" s="127" t="s">
        <v>95</v>
      </c>
      <c r="E6" s="127" t="s">
        <v>95</v>
      </c>
      <c r="F6" s="127" t="s">
        <v>95</v>
      </c>
      <c r="G6" s="128" t="s">
        <v>95</v>
      </c>
      <c r="H6" s="112" t="s">
        <v>95</v>
      </c>
      <c r="I6" s="19"/>
      <c r="J6" s="129" t="str">
        <f>$B$12</f>
        <v>JAN-25</v>
      </c>
      <c r="K6" s="130" t="str">
        <f>$C$6</f>
        <v>-</v>
      </c>
      <c r="L6" s="109" t="str">
        <f>E6</f>
        <v>-</v>
      </c>
      <c r="M6" s="131" t="str">
        <f>$H$6</f>
        <v>-</v>
      </c>
      <c r="P6" s="132"/>
    </row>
    <row r="7" spans="1:16" ht="21" customHeight="1" x14ac:dyDescent="0.2">
      <c r="A7" s="114"/>
      <c r="B7" s="337" t="str">
        <f>IF( RELATÓRIO!$AS$88= "-", "-", RELATÓRIO!$AS$88)</f>
        <v>FEV-25</v>
      </c>
      <c r="C7" s="133" t="str">
        <f xml:space="preserve"> IFERROR( VLOOKUP( $B$3, RELATÓRIO!$AQ$89:$AY$225, 3, 0), "-")</f>
        <v>-</v>
      </c>
      <c r="D7" s="134" t="str">
        <f xml:space="preserve"> IFERROR( IF( C7="-", "-", AVERAGE( $C$6:C7)), "-")</f>
        <v>-</v>
      </c>
      <c r="E7" s="134" t="str">
        <f xml:space="preserve"> IFERROR( IF( C7="-", "-", STDEV( $C$6:C7)), "-")</f>
        <v>-</v>
      </c>
      <c r="F7" s="134" t="str">
        <f xml:space="preserve"> IFERROR( IF( C7="-", "-", SUM( D7:E7)), "-")</f>
        <v>-</v>
      </c>
      <c r="G7" s="135" t="str">
        <f xml:space="preserve"> IFERROR( IF( C7="-", "-", D7-E7), "-")</f>
        <v>-</v>
      </c>
      <c r="H7" s="365" t="str">
        <f xml:space="preserve"> IFERROR( IF( C7="-", "-", E7 / D7), "-")</f>
        <v>-</v>
      </c>
      <c r="I7" s="19"/>
      <c r="J7" s="136" t="str">
        <f>$B$13</f>
        <v>FEV-25</v>
      </c>
      <c r="K7" s="137" t="str">
        <f>$C$7</f>
        <v>-</v>
      </c>
      <c r="L7" s="102" t="str">
        <f>E7</f>
        <v>-</v>
      </c>
      <c r="M7" s="138" t="str">
        <f>$H$7</f>
        <v>-</v>
      </c>
      <c r="P7" s="139"/>
    </row>
    <row r="8" spans="1:16" ht="21" customHeight="1" thickBot="1" x14ac:dyDescent="0.25">
      <c r="A8" s="114"/>
      <c r="B8" s="338" t="str">
        <f>IF( RELATÓRIO!$AT$88= "-", "-", RELATÓRIO!$AT$88)</f>
        <v>MAR-25</v>
      </c>
      <c r="C8" s="140" t="str">
        <f xml:space="preserve"> IFERROR( VLOOKUP( $B$3, RELATÓRIO!$AQ$89:$AY$225, 4, 0), "-")</f>
        <v>-</v>
      </c>
      <c r="D8" s="141" t="str">
        <f xml:space="preserve"> IFERROR( IF( C8="-", "-", AVERAGE( $C$6:C8)), "-")</f>
        <v>-</v>
      </c>
      <c r="E8" s="141" t="str">
        <f xml:space="preserve"> IFERROR( IF( C8="-", "-", STDEV( $C$6:C8)), "-")</f>
        <v>-</v>
      </c>
      <c r="F8" s="141" t="str">
        <f xml:space="preserve"> IFERROR( IF( C8="-", "-", SUM( D8:E8)), "-")</f>
        <v>-</v>
      </c>
      <c r="G8" s="142" t="str">
        <f xml:space="preserve"> IFERROR( IF( C8="-", "-", D8-E8), "-")</f>
        <v>-</v>
      </c>
      <c r="H8" s="366" t="str">
        <f xml:space="preserve"> IFERROR( IF( C8="-", "-", E8 / D8), "-")</f>
        <v>-</v>
      </c>
      <c r="I8" s="19"/>
      <c r="J8" s="143" t="str">
        <f>$B$14</f>
        <v>MAR-25</v>
      </c>
      <c r="K8" s="144" t="str">
        <f>$C$8</f>
        <v>-</v>
      </c>
      <c r="L8" s="104" t="str">
        <f>E8</f>
        <v>-</v>
      </c>
      <c r="M8" s="145" t="str">
        <f>$H$8</f>
        <v>-</v>
      </c>
      <c r="P8" s="139"/>
    </row>
    <row r="9" spans="1:16" ht="21" customHeight="1" x14ac:dyDescent="0.2">
      <c r="A9" s="114"/>
      <c r="B9" s="111" t="str">
        <f>IF( RELATÓRIO!$AU$88= "-", "-", RELATÓRIO!$AU$88)</f>
        <v>ABR-25</v>
      </c>
      <c r="C9" s="339" t="str">
        <f xml:space="preserve"> IFERROR( VLOOKUP( $B$3, RELATÓRIO!$AQ$89:$AY$225, 5, 0), "-")</f>
        <v>-</v>
      </c>
      <c r="D9" s="146" t="str">
        <f xml:space="preserve"> IFERROR( IF( C9="-", "-", AVERAGE( $C$6:C9)), "-")</f>
        <v>-</v>
      </c>
      <c r="E9" s="146" t="str">
        <f xml:space="preserve"> IFERROR( IF( C9="-", "-", STDEV( $C$6:C9)), "-")</f>
        <v>-</v>
      </c>
      <c r="F9" s="146" t="str">
        <f xml:space="preserve"> IFERROR( IF( C9="-", "-", SUM( D9:E9)), "-")</f>
        <v>-</v>
      </c>
      <c r="G9" s="147" t="str">
        <f xml:space="preserve"> IFERROR( IF( C9="-", "-", D9-E9), "-")</f>
        <v>-</v>
      </c>
      <c r="H9" s="367" t="str">
        <f xml:space="preserve"> IFERROR( IF( C9="-", "-", E9 / D9), "-")</f>
        <v>-</v>
      </c>
      <c r="I9" s="19"/>
      <c r="J9" s="148" t="str">
        <f>$B$15</f>
        <v>ABR-25</v>
      </c>
      <c r="K9" s="149" t="str">
        <f>$C$9</f>
        <v>-</v>
      </c>
      <c r="L9" s="106" t="str">
        <f>E9</f>
        <v>-</v>
      </c>
      <c r="M9" s="150" t="str">
        <f>$H$9</f>
        <v>-</v>
      </c>
      <c r="P9" s="139"/>
    </row>
    <row r="10" spans="1:16" ht="9.9499999999999993" customHeight="1" x14ac:dyDescent="0.2">
      <c r="A10" s="114"/>
      <c r="I10" s="19"/>
      <c r="J10" s="151"/>
      <c r="K10" s="152"/>
      <c r="L10" s="108"/>
      <c r="M10" s="153"/>
      <c r="P10" s="132"/>
    </row>
    <row r="11" spans="1:16" ht="21" customHeight="1" thickBot="1" x14ac:dyDescent="0.25">
      <c r="A11" s="114"/>
      <c r="B11" s="118" t="s">
        <v>63</v>
      </c>
      <c r="C11" s="119" t="s">
        <v>31</v>
      </c>
      <c r="D11" s="120" t="s">
        <v>64</v>
      </c>
      <c r="E11" s="120" t="s">
        <v>65</v>
      </c>
      <c r="F11" s="120" t="s">
        <v>66</v>
      </c>
      <c r="G11" s="121" t="s">
        <v>67</v>
      </c>
      <c r="H11" s="122" t="s">
        <v>131</v>
      </c>
      <c r="I11" s="19"/>
      <c r="J11" s="740" t="str">
        <f xml:space="preserve"> CONCATENATE( "CUSTO:  ", J5)</f>
        <v xml:space="preserve">CUSTO:  </v>
      </c>
      <c r="K11" s="741"/>
      <c r="L11" s="741"/>
      <c r="M11" s="742"/>
      <c r="P11" s="132"/>
    </row>
    <row r="12" spans="1:16" ht="21" customHeight="1" thickBot="1" x14ac:dyDescent="0.25">
      <c r="A12" s="114"/>
      <c r="B12" s="336" t="str">
        <f>IF( RELATÓRIO!$AV$88= "-", "-", RELATÓRIO!$AV$88)</f>
        <v>JAN-25</v>
      </c>
      <c r="C12" s="154" t="str">
        <f xml:space="preserve"> IFERROR( VLOOKUP( $B$3, RELATÓRIO!$AQ$89:$AY$225, 6, 0), "-")</f>
        <v>-</v>
      </c>
      <c r="D12" s="127" t="s">
        <v>95</v>
      </c>
      <c r="E12" s="127" t="s">
        <v>95</v>
      </c>
      <c r="F12" s="127" t="s">
        <v>95</v>
      </c>
      <c r="G12" s="128" t="s">
        <v>95</v>
      </c>
      <c r="H12" s="113" t="s">
        <v>95</v>
      </c>
      <c r="I12" s="19"/>
      <c r="J12" s="123" t="str">
        <f>UPPER($B$3)</f>
        <v/>
      </c>
      <c r="K12" s="124" t="s">
        <v>31</v>
      </c>
      <c r="L12" s="110" t="s">
        <v>187</v>
      </c>
      <c r="M12" s="125" t="s">
        <v>71</v>
      </c>
      <c r="P12" s="132"/>
    </row>
    <row r="13" spans="1:16" ht="21" customHeight="1" x14ac:dyDescent="0.2">
      <c r="A13" s="114"/>
      <c r="B13" s="337" t="str">
        <f>IF( RELATÓRIO!$AW$88= "-", "-", RELATÓRIO!$AW$88)</f>
        <v>FEV-25</v>
      </c>
      <c r="C13" s="155" t="str">
        <f xml:space="preserve"> IFERROR( VLOOKUP( $B$3, RELATÓRIO!$AQ$89:$AY$225, 7, 0), "-")</f>
        <v>-</v>
      </c>
      <c r="D13" s="156" t="str">
        <f xml:space="preserve"> IFERROR( IF( C13="-", "-", AVERAGE( $C$12:C13)), "-")</f>
        <v>-</v>
      </c>
      <c r="E13" s="156" t="str">
        <f xml:space="preserve"> IFERROR( IF( C13="-", "-", STDEV( $C$12:C13)), "-")</f>
        <v>-</v>
      </c>
      <c r="F13" s="156" t="str">
        <f xml:space="preserve"> IFERROR( IF( C13="-", "-", SUM( D13:E13)), "-")</f>
        <v>-</v>
      </c>
      <c r="G13" s="157" t="str">
        <f xml:space="preserve"> IFERROR( IF( C13="-", "-", D13-E13), "-")</f>
        <v>-</v>
      </c>
      <c r="H13" s="365" t="str">
        <f xml:space="preserve"> IFERROR( IF( C13="-", "-", E13 / D13), "-")</f>
        <v>-</v>
      </c>
      <c r="I13" s="19"/>
      <c r="J13" s="129" t="str">
        <f>$B$12</f>
        <v>JAN-25</v>
      </c>
      <c r="K13" s="158" t="str">
        <f>$C$12</f>
        <v>-</v>
      </c>
      <c r="L13" s="109" t="str">
        <f>E12</f>
        <v>-</v>
      </c>
      <c r="M13" s="131" t="str">
        <f>$H$12</f>
        <v>-</v>
      </c>
      <c r="N13" s="159"/>
      <c r="O13" s="159"/>
      <c r="P13" s="139"/>
    </row>
    <row r="14" spans="1:16" ht="21" customHeight="1" thickBot="1" x14ac:dyDescent="0.25">
      <c r="A14" s="114"/>
      <c r="B14" s="338" t="str">
        <f>IF( RELATÓRIO!$AX$88= "-", "-", RELATÓRIO!$AX$88)</f>
        <v>MAR-25</v>
      </c>
      <c r="C14" s="160" t="str">
        <f xml:space="preserve"> IFERROR( VLOOKUP( $B$3, RELATÓRIO!$AQ$89:$AY$225, 8, 0), "-")</f>
        <v>-</v>
      </c>
      <c r="D14" s="161" t="str">
        <f xml:space="preserve"> IFERROR( IF( C14="-", "-", AVERAGE( $C$12:C14)), "-")</f>
        <v>-</v>
      </c>
      <c r="E14" s="161" t="str">
        <f xml:space="preserve"> IFERROR( IF( C14="-", "-", STDEV( $C$12:C14)), "-")</f>
        <v>-</v>
      </c>
      <c r="F14" s="161" t="str">
        <f xml:space="preserve"> IFERROR( IF( C14="-", "-", SUM( D14:E14)), "-")</f>
        <v>-</v>
      </c>
      <c r="G14" s="162" t="str">
        <f xml:space="preserve"> IFERROR( IF( C14="-", "-", D14-E14), "-")</f>
        <v>-</v>
      </c>
      <c r="H14" s="366" t="str">
        <f xml:space="preserve"> IFERROR( IF( C14="-", "-", E14 / D14), "-")</f>
        <v>-</v>
      </c>
      <c r="I14" s="19"/>
      <c r="J14" s="136" t="str">
        <f>$B$13</f>
        <v>FEV-25</v>
      </c>
      <c r="K14" s="163" t="str">
        <f>$C$13</f>
        <v>-</v>
      </c>
      <c r="L14" s="103" t="str">
        <f>E13</f>
        <v>-</v>
      </c>
      <c r="M14" s="138" t="str">
        <f>$H$13</f>
        <v>-</v>
      </c>
      <c r="N14" s="159"/>
      <c r="O14" s="159"/>
      <c r="P14" s="139"/>
    </row>
    <row r="15" spans="1:16" ht="21" customHeight="1" thickBot="1" x14ac:dyDescent="0.25">
      <c r="A15" s="114"/>
      <c r="B15" s="111" t="str">
        <f>IF( RELATÓRIO!$AY$88= "-", "-", RELATÓRIO!$AY$88)</f>
        <v>ABR-25</v>
      </c>
      <c r="C15" s="340" t="str">
        <f xml:space="preserve"> IFERROR( VLOOKUP( $B$3, RELATÓRIO!$AQ$89:$AY$225, 9, 0), "-")</f>
        <v>-</v>
      </c>
      <c r="D15" s="164" t="str">
        <f xml:space="preserve"> IFERROR( IF( C15="-", "-", AVERAGE( $C$12:C15)), "-")</f>
        <v>-</v>
      </c>
      <c r="E15" s="164" t="str">
        <f xml:space="preserve"> IFERROR( IF( C15="-", "-", STDEV( $C$12:C15)), "-")</f>
        <v>-</v>
      </c>
      <c r="F15" s="164" t="str">
        <f xml:space="preserve"> IFERROR( IF( C15="-", "-", SUM( D15:E15)), "-")</f>
        <v>-</v>
      </c>
      <c r="G15" s="165" t="str">
        <f xml:space="preserve"> IFERROR( IF( C15="-", "-", D15-E15), "-")</f>
        <v>-</v>
      </c>
      <c r="H15" s="367" t="str">
        <f xml:space="preserve"> IFERROR( IF( C15="-", "-", E15 / D15), "-")</f>
        <v>-</v>
      </c>
      <c r="I15" s="166"/>
      <c r="J15" s="143" t="str">
        <f>$B$14</f>
        <v>MAR-25</v>
      </c>
      <c r="K15" s="167" t="str">
        <f>$C$14</f>
        <v>-</v>
      </c>
      <c r="L15" s="105" t="str">
        <f>E14</f>
        <v>-</v>
      </c>
      <c r="M15" s="145" t="str">
        <f>$H$14</f>
        <v>-</v>
      </c>
      <c r="N15" s="159"/>
      <c r="O15" s="159"/>
      <c r="P15" s="139"/>
    </row>
    <row r="16" spans="1:16" ht="20.100000000000001" customHeight="1" x14ac:dyDescent="0.2">
      <c r="A16" s="114"/>
      <c r="B16" s="720" t="s">
        <v>188</v>
      </c>
      <c r="C16" s="720"/>
      <c r="D16" s="720"/>
      <c r="E16" s="720"/>
      <c r="F16" s="720"/>
      <c r="G16" s="720"/>
      <c r="H16" s="720"/>
      <c r="I16" s="114"/>
      <c r="J16" s="148" t="str">
        <f>$B$15</f>
        <v>ABR-25</v>
      </c>
      <c r="K16" s="107" t="str">
        <f>$C$15</f>
        <v>-</v>
      </c>
      <c r="L16" s="107" t="str">
        <f>E15</f>
        <v>-</v>
      </c>
      <c r="M16" s="150" t="str">
        <f>$H$15</f>
        <v>-</v>
      </c>
      <c r="N16" s="159"/>
      <c r="O16" s="159"/>
    </row>
    <row r="17" spans="1:15" ht="12.95" customHeight="1" x14ac:dyDescent="0.2">
      <c r="A17" s="114"/>
      <c r="B17" s="720"/>
      <c r="C17" s="720"/>
      <c r="D17" s="720"/>
      <c r="E17" s="720"/>
      <c r="F17" s="720"/>
      <c r="G17" s="720"/>
      <c r="H17" s="720"/>
      <c r="I17" s="114"/>
      <c r="M17" s="159"/>
      <c r="N17" s="159"/>
      <c r="O17" s="159"/>
    </row>
    <row r="18" spans="1:15" ht="12.95" customHeight="1" x14ac:dyDescent="0.2">
      <c r="A18" s="114"/>
      <c r="B18" s="720"/>
      <c r="C18" s="720"/>
      <c r="D18" s="720"/>
      <c r="E18" s="720"/>
      <c r="F18" s="720"/>
      <c r="G18" s="720"/>
      <c r="H18" s="720"/>
      <c r="I18" s="114"/>
      <c r="M18" s="159"/>
      <c r="N18" s="159"/>
      <c r="O18" s="159"/>
    </row>
    <row r="19" spans="1:15" ht="12.95" customHeight="1" x14ac:dyDescent="0.2">
      <c r="A19" s="114"/>
      <c r="B19" s="720"/>
      <c r="C19" s="720"/>
      <c r="D19" s="720"/>
      <c r="E19" s="720"/>
      <c r="F19" s="720"/>
      <c r="G19" s="720"/>
      <c r="H19" s="720"/>
      <c r="I19" s="114"/>
      <c r="M19" s="159"/>
    </row>
    <row r="20" spans="1:15" ht="12.95" customHeight="1" x14ac:dyDescent="0.2">
      <c r="A20" s="114"/>
      <c r="I20" s="114"/>
    </row>
    <row r="21" spans="1:15" ht="20.100000000000001" customHeight="1" x14ac:dyDescent="0.2">
      <c r="A21" s="114"/>
      <c r="I21" s="114"/>
    </row>
    <row r="22" spans="1:15" ht="20.100000000000001" customHeight="1" x14ac:dyDescent="0.2">
      <c r="A22" s="114"/>
      <c r="I22" s="114"/>
    </row>
    <row r="23" spans="1:15" ht="20.100000000000001" customHeight="1" x14ac:dyDescent="0.2">
      <c r="A23" s="114"/>
      <c r="I23" s="114"/>
    </row>
    <row r="24" spans="1:15" ht="20.100000000000001" customHeight="1" x14ac:dyDescent="0.2">
      <c r="A24" s="114"/>
      <c r="I24" s="114"/>
    </row>
    <row r="25" spans="1:15" ht="20.100000000000001" customHeight="1" x14ac:dyDescent="0.2">
      <c r="A25" s="114"/>
      <c r="I25" s="114"/>
    </row>
    <row r="26" spans="1:15" ht="20.100000000000001" customHeight="1" x14ac:dyDescent="0.2">
      <c r="A26" s="114"/>
      <c r="I26" s="114"/>
    </row>
    <row r="27" spans="1:15" ht="20.100000000000001" customHeight="1" x14ac:dyDescent="0.2">
      <c r="A27" s="114"/>
      <c r="I27" s="114"/>
    </row>
    <row r="28" spans="1:15" ht="20.100000000000001" customHeight="1" x14ac:dyDescent="0.2">
      <c r="A28" s="114"/>
      <c r="I28" s="114"/>
    </row>
    <row r="29" spans="1:15" ht="20.100000000000001" customHeight="1" x14ac:dyDescent="0.2">
      <c r="A29" s="114"/>
      <c r="I29" s="114"/>
    </row>
    <row r="30" spans="1:15" ht="20.100000000000001" customHeight="1" x14ac:dyDescent="0.2">
      <c r="A30" s="114"/>
      <c r="I30" s="114"/>
    </row>
    <row r="31" spans="1:15" ht="20.100000000000001" customHeight="1" x14ac:dyDescent="0.2">
      <c r="A31" s="114"/>
      <c r="B31" s="727"/>
      <c r="C31" s="727"/>
      <c r="D31" s="727"/>
      <c r="E31" s="727"/>
      <c r="F31" s="727"/>
      <c r="G31" s="727"/>
      <c r="H31" s="727"/>
      <c r="I31" s="114"/>
    </row>
    <row r="32" spans="1:15" ht="15" customHeight="1" x14ac:dyDescent="0.2">
      <c r="A32" s="114"/>
      <c r="B32" s="728" t="s">
        <v>68</v>
      </c>
      <c r="C32" s="729"/>
      <c r="D32" s="729"/>
      <c r="E32" s="729"/>
      <c r="F32" s="729"/>
      <c r="G32" s="729"/>
      <c r="H32" s="730"/>
      <c r="I32" s="114"/>
    </row>
    <row r="33" spans="1:9" ht="21.95" customHeight="1" x14ac:dyDescent="0.2">
      <c r="A33" s="114"/>
      <c r="B33" s="731"/>
      <c r="C33" s="732"/>
      <c r="D33" s="732"/>
      <c r="E33" s="732"/>
      <c r="F33" s="732"/>
      <c r="G33" s="732"/>
      <c r="H33" s="733"/>
      <c r="I33" s="114"/>
    </row>
    <row r="34" spans="1:9" ht="21.95" customHeight="1" x14ac:dyDescent="0.2">
      <c r="A34" s="114"/>
      <c r="B34" s="717"/>
      <c r="C34" s="718"/>
      <c r="D34" s="718"/>
      <c r="E34" s="718"/>
      <c r="F34" s="718"/>
      <c r="G34" s="718"/>
      <c r="H34" s="719"/>
      <c r="I34" s="114"/>
    </row>
    <row r="35" spans="1:9" ht="21.95" customHeight="1" x14ac:dyDescent="0.2">
      <c r="A35" s="114"/>
      <c r="B35" s="717"/>
      <c r="C35" s="718"/>
      <c r="D35" s="718"/>
      <c r="E35" s="718"/>
      <c r="F35" s="718"/>
      <c r="G35" s="718"/>
      <c r="H35" s="719"/>
      <c r="I35" s="114"/>
    </row>
    <row r="36" spans="1:9" ht="21.95" customHeight="1" x14ac:dyDescent="0.2">
      <c r="A36" s="114"/>
      <c r="B36" s="717"/>
      <c r="C36" s="718"/>
      <c r="D36" s="718"/>
      <c r="E36" s="718"/>
      <c r="F36" s="718"/>
      <c r="G36" s="718"/>
      <c r="H36" s="719"/>
      <c r="I36" s="114"/>
    </row>
    <row r="37" spans="1:9" ht="21.95" customHeight="1" x14ac:dyDescent="0.2">
      <c r="A37" s="114"/>
      <c r="B37" s="717"/>
      <c r="C37" s="718"/>
      <c r="D37" s="718"/>
      <c r="E37" s="718"/>
      <c r="F37" s="718"/>
      <c r="G37" s="718"/>
      <c r="H37" s="719"/>
      <c r="I37" s="114"/>
    </row>
    <row r="38" spans="1:9" ht="21.95" customHeight="1" x14ac:dyDescent="0.2">
      <c r="A38" s="114"/>
      <c r="B38" s="717"/>
      <c r="C38" s="718"/>
      <c r="D38" s="718"/>
      <c r="E38" s="718"/>
      <c r="F38" s="718"/>
      <c r="G38" s="718"/>
      <c r="H38" s="719"/>
      <c r="I38" s="114"/>
    </row>
    <row r="39" spans="1:9" ht="21.95" customHeight="1" x14ac:dyDescent="0.2">
      <c r="A39" s="114"/>
      <c r="B39" s="717"/>
      <c r="C39" s="718"/>
      <c r="D39" s="718"/>
      <c r="E39" s="718"/>
      <c r="F39" s="718"/>
      <c r="G39" s="718"/>
      <c r="H39" s="719"/>
      <c r="I39" s="114"/>
    </row>
    <row r="40" spans="1:9" ht="21.95" customHeight="1" x14ac:dyDescent="0.2">
      <c r="A40" s="114"/>
      <c r="B40" s="717"/>
      <c r="C40" s="718"/>
      <c r="D40" s="718"/>
      <c r="E40" s="718"/>
      <c r="F40" s="718"/>
      <c r="G40" s="718"/>
      <c r="H40" s="719"/>
      <c r="I40" s="114"/>
    </row>
    <row r="41" spans="1:9" ht="21.95" customHeight="1" x14ac:dyDescent="0.2">
      <c r="A41" s="114"/>
      <c r="B41" s="717"/>
      <c r="C41" s="718"/>
      <c r="D41" s="718"/>
      <c r="E41" s="718"/>
      <c r="F41" s="718"/>
      <c r="G41" s="718"/>
      <c r="H41" s="719"/>
      <c r="I41" s="114"/>
    </row>
    <row r="42" spans="1:9" ht="21.95" customHeight="1" x14ac:dyDescent="0.2">
      <c r="A42" s="114"/>
      <c r="B42" s="717"/>
      <c r="C42" s="718"/>
      <c r="D42" s="718"/>
      <c r="E42" s="718"/>
      <c r="F42" s="718"/>
      <c r="G42" s="718"/>
      <c r="H42" s="719"/>
      <c r="I42" s="114"/>
    </row>
    <row r="43" spans="1:9" ht="21.95" customHeight="1" x14ac:dyDescent="0.2">
      <c r="A43" s="114"/>
      <c r="B43" s="717"/>
      <c r="C43" s="718"/>
      <c r="D43" s="718"/>
      <c r="E43" s="718"/>
      <c r="F43" s="718"/>
      <c r="G43" s="718"/>
      <c r="H43" s="719"/>
      <c r="I43" s="114"/>
    </row>
    <row r="44" spans="1:9" ht="21.95" customHeight="1" x14ac:dyDescent="0.2">
      <c r="A44" s="114"/>
      <c r="B44" s="717"/>
      <c r="C44" s="718"/>
      <c r="D44" s="718"/>
      <c r="E44" s="718"/>
      <c r="F44" s="718"/>
      <c r="G44" s="718"/>
      <c r="H44" s="719"/>
      <c r="I44" s="114"/>
    </row>
    <row r="45" spans="1:9" ht="21.95" customHeight="1" x14ac:dyDescent="0.2">
      <c r="A45" s="114"/>
      <c r="B45" s="717"/>
      <c r="C45" s="718"/>
      <c r="D45" s="718"/>
      <c r="E45" s="718"/>
      <c r="F45" s="718"/>
      <c r="G45" s="718"/>
      <c r="H45" s="719"/>
      <c r="I45" s="114"/>
    </row>
    <row r="46" spans="1:9" ht="21.95" customHeight="1" x14ac:dyDescent="0.2">
      <c r="A46" s="114"/>
      <c r="B46" s="717"/>
      <c r="C46" s="718"/>
      <c r="D46" s="718"/>
      <c r="E46" s="718"/>
      <c r="F46" s="718"/>
      <c r="G46" s="718"/>
      <c r="H46" s="719"/>
      <c r="I46" s="114"/>
    </row>
    <row r="47" spans="1:9" ht="21.95" customHeight="1" x14ac:dyDescent="0.2">
      <c r="A47" s="114"/>
      <c r="B47" s="717"/>
      <c r="C47" s="718"/>
      <c r="D47" s="718"/>
      <c r="E47" s="718"/>
      <c r="F47" s="718"/>
      <c r="G47" s="718"/>
      <c r="H47" s="719"/>
      <c r="I47" s="114"/>
    </row>
    <row r="48" spans="1:9" ht="21.95" customHeight="1" x14ac:dyDescent="0.2">
      <c r="A48" s="114"/>
      <c r="B48" s="717"/>
      <c r="C48" s="718"/>
      <c r="D48" s="718"/>
      <c r="E48" s="718"/>
      <c r="F48" s="718"/>
      <c r="G48" s="718"/>
      <c r="H48" s="719"/>
      <c r="I48" s="114"/>
    </row>
    <row r="49" spans="1:9" ht="21.95" customHeight="1" x14ac:dyDescent="0.2">
      <c r="A49" s="114"/>
      <c r="B49" s="717"/>
      <c r="C49" s="718"/>
      <c r="D49" s="718"/>
      <c r="E49" s="718"/>
      <c r="F49" s="718"/>
      <c r="G49" s="718"/>
      <c r="H49" s="719"/>
      <c r="I49" s="114"/>
    </row>
    <row r="50" spans="1:9" ht="21.95" customHeight="1" x14ac:dyDescent="0.2">
      <c r="A50" s="114"/>
      <c r="B50" s="721" t="s">
        <v>132</v>
      </c>
      <c r="C50" s="722"/>
      <c r="D50" s="722"/>
      <c r="E50" s="722"/>
      <c r="F50" s="722"/>
      <c r="G50" s="722"/>
      <c r="H50" s="723"/>
      <c r="I50" s="114"/>
    </row>
    <row r="51" spans="1:9" ht="21.95" customHeight="1" x14ac:dyDescent="0.2">
      <c r="A51" s="114"/>
      <c r="B51" s="724"/>
      <c r="C51" s="725"/>
      <c r="D51" s="725"/>
      <c r="E51" s="725"/>
      <c r="F51" s="725"/>
      <c r="G51" s="725"/>
      <c r="H51" s="726"/>
      <c r="I51" s="114"/>
    </row>
    <row r="52" spans="1:9" ht="21.95" customHeight="1" x14ac:dyDescent="0.2">
      <c r="A52" s="114"/>
      <c r="I52" s="114"/>
    </row>
    <row r="53" spans="1:9" ht="1.5" customHeight="1" x14ac:dyDescent="0.2">
      <c r="A53" s="114"/>
      <c r="B53" s="114"/>
      <c r="C53" s="114"/>
      <c r="D53" s="114"/>
      <c r="E53" s="114"/>
      <c r="F53" s="114"/>
      <c r="G53" s="114"/>
      <c r="H53" s="114"/>
      <c r="I53" s="114"/>
    </row>
    <row r="54" spans="1:9" ht="20.100000000000001" customHeight="1" x14ac:dyDescent="0.2">
      <c r="A54" s="114"/>
      <c r="B54" s="114"/>
      <c r="C54" s="114"/>
      <c r="D54" s="114"/>
      <c r="E54" s="114"/>
      <c r="F54" s="114"/>
      <c r="G54" s="114"/>
      <c r="H54" s="114"/>
      <c r="I54" s="114"/>
    </row>
    <row r="55" spans="1:9" ht="20.100000000000001" customHeight="1" x14ac:dyDescent="0.2"/>
  </sheetData>
  <sheetProtection algorithmName="SHA-512" hashValue="jLrXnsABtTxC1cGfNdLy4YY+Rk1QXUlmO3dbM/hTzx46CtXQoz5V/Oxib+O3JF8k7MZXYiMncNE2Gy0V3lLpkA==" saltValue="urWmKCmJ9Y1zl3PforLMpw==" spinCount="100000" sheet="1" objects="1" scenarios="1"/>
  <mergeCells count="28">
    <mergeCell ref="J3:M4"/>
    <mergeCell ref="J11:M11"/>
    <mergeCell ref="B1:H1"/>
    <mergeCell ref="B2:H2"/>
    <mergeCell ref="B3:H3"/>
    <mergeCell ref="B4:H4"/>
    <mergeCell ref="B16:H19"/>
    <mergeCell ref="B50:H50"/>
    <mergeCell ref="B51:H51"/>
    <mergeCell ref="B31:H31"/>
    <mergeCell ref="B32:H32"/>
    <mergeCell ref="B33:H33"/>
    <mergeCell ref="B34:H34"/>
    <mergeCell ref="B35:H35"/>
    <mergeCell ref="B36:H36"/>
    <mergeCell ref="B37:H37"/>
    <mergeCell ref="B38:H38"/>
    <mergeCell ref="B39:H39"/>
    <mergeCell ref="B40:H40"/>
    <mergeCell ref="B41:H41"/>
    <mergeCell ref="B42:H42"/>
    <mergeCell ref="B48:H48"/>
    <mergeCell ref="B49:H49"/>
    <mergeCell ref="B43:H43"/>
    <mergeCell ref="B44:H44"/>
    <mergeCell ref="B45:H45"/>
    <mergeCell ref="B46:H46"/>
    <mergeCell ref="B47:H47"/>
  </mergeCells>
  <conditionalFormatting sqref="B3:H3">
    <cfRule type="containsBlanks" dxfId="0" priority="5" stopIfTrue="1">
      <formula>LEN(TRIM(B3))=0</formula>
    </cfRule>
  </conditionalFormatting>
  <printOptions horizontalCentered="1"/>
  <pageMargins left="0.59055118110236227" right="0.59055118110236227" top="0.59055118110236227" bottom="0.59055118110236227" header="0.59055118110236227" footer="0.59055118110236227"/>
  <pageSetup paperSize="9"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Selecione  Uma  das  Opções  Utilizando  a  SETA  À  EQUERDA  da  Célula._x000a__x000a_Tecle ESC  Para Voltar._x000a_">
          <x14:formula1>
            <xm:f>RELATÓRIO!$AQ$89:$AQ$225</xm:f>
          </x14:formula1>
          <xm:sqref>B3:H3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6:Q15"/>
  <sheetViews>
    <sheetView showGridLines="0" zoomScale="85" zoomScaleNormal="85" workbookViewId="0">
      <selection activeCell="I28" sqref="I28"/>
    </sheetView>
  </sheetViews>
  <sheetFormatPr defaultRowHeight="15" x14ac:dyDescent="0.2"/>
  <cols>
    <col min="1" max="1" width="3.77734375" customWidth="1"/>
    <col min="2" max="2" width="3" bestFit="1" customWidth="1"/>
    <col min="3" max="3" width="34.88671875" customWidth="1"/>
    <col min="4" max="4" width="18.88671875" bestFit="1" customWidth="1"/>
    <col min="5" max="5" width="9.5546875" bestFit="1" customWidth="1"/>
    <col min="6" max="6" width="14.6640625" customWidth="1"/>
    <col min="7" max="7" width="14.33203125" customWidth="1"/>
    <col min="8" max="8" width="12.33203125" bestFit="1" customWidth="1"/>
    <col min="9" max="9" width="11.44140625" customWidth="1"/>
    <col min="10" max="10" width="12.6640625" bestFit="1" customWidth="1"/>
    <col min="11" max="11" width="12.33203125" bestFit="1" customWidth="1"/>
    <col min="12" max="12" width="10.6640625" customWidth="1"/>
    <col min="13" max="13" width="12.6640625" bestFit="1" customWidth="1"/>
    <col min="14" max="14" width="12.33203125" bestFit="1" customWidth="1"/>
    <col min="15" max="15" width="11.77734375" customWidth="1"/>
    <col min="16" max="16" width="12.6640625" bestFit="1" customWidth="1"/>
    <col min="17" max="17" width="12.33203125" bestFit="1" customWidth="1"/>
  </cols>
  <sheetData>
    <row r="6" spans="2:17" x14ac:dyDescent="0.2">
      <c r="B6" s="750" t="s">
        <v>156</v>
      </c>
      <c r="C6" s="751" t="s">
        <v>143</v>
      </c>
      <c r="D6" s="751" t="s">
        <v>144</v>
      </c>
      <c r="E6" s="751" t="s">
        <v>157</v>
      </c>
      <c r="F6" s="753" t="s">
        <v>159</v>
      </c>
      <c r="G6" s="751"/>
      <c r="H6" s="754"/>
      <c r="I6" s="753" t="s">
        <v>160</v>
      </c>
      <c r="J6" s="751"/>
      <c r="K6" s="754"/>
      <c r="L6" s="753" t="s">
        <v>161</v>
      </c>
      <c r="M6" s="751"/>
      <c r="N6" s="754"/>
      <c r="O6" s="753" t="s">
        <v>160</v>
      </c>
      <c r="P6" s="751"/>
      <c r="Q6" s="754"/>
    </row>
    <row r="7" spans="2:17" x14ac:dyDescent="0.2">
      <c r="B7" s="750"/>
      <c r="C7" s="751"/>
      <c r="D7" s="751"/>
      <c r="E7" s="752"/>
      <c r="F7" s="64" t="s">
        <v>145</v>
      </c>
      <c r="G7" s="65" t="s">
        <v>146</v>
      </c>
      <c r="H7" s="66" t="s">
        <v>147</v>
      </c>
      <c r="I7" s="64" t="s">
        <v>145</v>
      </c>
      <c r="J7" s="65" t="s">
        <v>146</v>
      </c>
      <c r="K7" s="66" t="s">
        <v>147</v>
      </c>
      <c r="L7" s="64" t="s">
        <v>145</v>
      </c>
      <c r="M7" s="65" t="s">
        <v>146</v>
      </c>
      <c r="N7" s="66" t="s">
        <v>147</v>
      </c>
      <c r="O7" s="64" t="s">
        <v>145</v>
      </c>
      <c r="P7" s="65" t="s">
        <v>146</v>
      </c>
      <c r="Q7" s="66" t="s">
        <v>147</v>
      </c>
    </row>
    <row r="8" spans="2:17" x14ac:dyDescent="0.2">
      <c r="B8" s="51" t="s">
        <v>148</v>
      </c>
      <c r="C8" s="52"/>
      <c r="D8" s="52"/>
      <c r="E8" s="60" t="s">
        <v>158</v>
      </c>
      <c r="F8" s="67"/>
      <c r="G8" s="53"/>
      <c r="H8" s="68"/>
      <c r="I8" s="67"/>
      <c r="J8" s="53"/>
      <c r="K8" s="68"/>
      <c r="L8" s="67"/>
      <c r="M8" s="53"/>
      <c r="N8" s="68"/>
      <c r="O8" s="67"/>
      <c r="P8" s="53"/>
      <c r="Q8" s="68"/>
    </row>
    <row r="9" spans="2:17" x14ac:dyDescent="0.2">
      <c r="B9" s="54" t="s">
        <v>149</v>
      </c>
      <c r="C9" s="55"/>
      <c r="D9" s="55"/>
      <c r="E9" s="61" t="s">
        <v>158</v>
      </c>
      <c r="F9" s="69"/>
      <c r="G9" s="56"/>
      <c r="H9" s="70"/>
      <c r="I9" s="69"/>
      <c r="J9" s="56"/>
      <c r="K9" s="70"/>
      <c r="L9" s="69"/>
      <c r="M9" s="56"/>
      <c r="N9" s="70"/>
      <c r="O9" s="69"/>
      <c r="P9" s="56"/>
      <c r="Q9" s="70"/>
    </row>
    <row r="10" spans="2:17" x14ac:dyDescent="0.2">
      <c r="B10" s="54" t="s">
        <v>150</v>
      </c>
      <c r="C10" s="55"/>
      <c r="D10" s="55"/>
      <c r="E10" s="61" t="s">
        <v>158</v>
      </c>
      <c r="F10" s="69"/>
      <c r="G10" s="56"/>
      <c r="H10" s="70"/>
      <c r="I10" s="69"/>
      <c r="J10" s="56"/>
      <c r="K10" s="70"/>
      <c r="L10" s="69"/>
      <c r="M10" s="56"/>
      <c r="N10" s="70"/>
      <c r="O10" s="69"/>
      <c r="P10" s="56"/>
      <c r="Q10" s="70"/>
    </row>
    <row r="11" spans="2:17" x14ac:dyDescent="0.2">
      <c r="B11" s="54" t="s">
        <v>151</v>
      </c>
      <c r="C11" s="55"/>
      <c r="D11" s="55"/>
      <c r="E11" s="61" t="s">
        <v>158</v>
      </c>
      <c r="F11" s="69"/>
      <c r="G11" s="56"/>
      <c r="H11" s="70"/>
      <c r="I11" s="69"/>
      <c r="J11" s="56"/>
      <c r="K11" s="70"/>
      <c r="L11" s="69"/>
      <c r="M11" s="56"/>
      <c r="N11" s="70"/>
      <c r="O11" s="69"/>
      <c r="P11" s="56"/>
      <c r="Q11" s="70"/>
    </row>
    <row r="12" spans="2:17" x14ac:dyDescent="0.2">
      <c r="B12" s="54" t="s">
        <v>152</v>
      </c>
      <c r="C12" s="55"/>
      <c r="D12" s="55"/>
      <c r="E12" s="62"/>
      <c r="F12" s="69"/>
      <c r="G12" s="56"/>
      <c r="H12" s="70"/>
      <c r="I12" s="69"/>
      <c r="J12" s="56"/>
      <c r="K12" s="70"/>
      <c r="L12" s="69"/>
      <c r="M12" s="56"/>
      <c r="N12" s="70"/>
      <c r="O12" s="69"/>
      <c r="P12" s="56"/>
      <c r="Q12" s="70"/>
    </row>
    <row r="13" spans="2:17" x14ac:dyDescent="0.2">
      <c r="B13" s="54" t="s">
        <v>153</v>
      </c>
      <c r="C13" s="55"/>
      <c r="D13" s="55"/>
      <c r="E13" s="62"/>
      <c r="F13" s="69"/>
      <c r="G13" s="56"/>
      <c r="H13" s="70"/>
      <c r="I13" s="69"/>
      <c r="J13" s="56"/>
      <c r="K13" s="70"/>
      <c r="L13" s="69"/>
      <c r="M13" s="56"/>
      <c r="N13" s="70"/>
      <c r="O13" s="69"/>
      <c r="P13" s="56"/>
      <c r="Q13" s="70"/>
    </row>
    <row r="14" spans="2:17" x14ac:dyDescent="0.2">
      <c r="B14" s="54" t="s">
        <v>154</v>
      </c>
      <c r="C14" s="55"/>
      <c r="D14" s="55"/>
      <c r="E14" s="62"/>
      <c r="F14" s="69"/>
      <c r="G14" s="56"/>
      <c r="H14" s="70"/>
      <c r="I14" s="69"/>
      <c r="J14" s="56"/>
      <c r="K14" s="70"/>
      <c r="L14" s="69"/>
      <c r="M14" s="56"/>
      <c r="N14" s="70"/>
      <c r="O14" s="69"/>
      <c r="P14" s="56"/>
      <c r="Q14" s="70"/>
    </row>
    <row r="15" spans="2:17" x14ac:dyDescent="0.2">
      <c r="B15" s="57" t="s">
        <v>155</v>
      </c>
      <c r="C15" s="58"/>
      <c r="D15" s="58"/>
      <c r="E15" s="63"/>
      <c r="F15" s="71"/>
      <c r="G15" s="59"/>
      <c r="H15" s="72"/>
      <c r="I15" s="71"/>
      <c r="J15" s="59"/>
      <c r="K15" s="72"/>
      <c r="L15" s="71"/>
      <c r="M15" s="59"/>
      <c r="N15" s="72"/>
      <c r="O15" s="71"/>
      <c r="P15" s="59"/>
      <c r="Q15" s="72"/>
    </row>
  </sheetData>
  <mergeCells count="8">
    <mergeCell ref="B6:B7"/>
    <mergeCell ref="E6:E7"/>
    <mergeCell ref="I6:K6"/>
    <mergeCell ref="L6:N6"/>
    <mergeCell ref="O6:Q6"/>
    <mergeCell ref="F6:H6"/>
    <mergeCell ref="C6:C7"/>
    <mergeCell ref="D6:D7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28</vt:i4>
      </vt:variant>
    </vt:vector>
  </HeadingPairs>
  <TitlesOfParts>
    <vt:vector size="41" baseType="lpstr">
      <vt:lpstr>CRÉDITOS</vt:lpstr>
      <vt:lpstr>ORIENTAÇÕES</vt:lpstr>
      <vt:lpstr>INSTRUÇÕES</vt:lpstr>
      <vt:lpstr>CUSTO  TOTAL - QUADRIM.</vt:lpstr>
      <vt:lpstr>PROD. 1º MÊS</vt:lpstr>
      <vt:lpstr>PROD. 2º MÊS</vt:lpstr>
      <vt:lpstr>PROD. 3º MÊS</vt:lpstr>
      <vt:lpstr>PROD. 4º MÊS</vt:lpstr>
      <vt:lpstr>C.  EXTERNO - QUADRIM.</vt:lpstr>
      <vt:lpstr>SES - CMU</vt:lpstr>
      <vt:lpstr>RELATÓRIO</vt:lpstr>
      <vt:lpstr>VARIAÇÃO</vt:lpstr>
      <vt:lpstr>VALIDAÇÃO</vt:lpstr>
      <vt:lpstr>'C.  EXTERNO - QUADRIM.'!_1_PROD</vt:lpstr>
      <vt:lpstr>'PROD. 1º MÊS'!_1_PROD</vt:lpstr>
      <vt:lpstr>_1_PROD_ATUAL</vt:lpstr>
      <vt:lpstr>_2_PROD_ANTER_</vt:lpstr>
      <vt:lpstr>_3_PROD_2m_</vt:lpstr>
      <vt:lpstr>'C.  EXTERNO - QUADRIM.'!_4_PROD_3m_</vt:lpstr>
      <vt:lpstr>_4_PROD_3m_</vt:lpstr>
      <vt:lpstr>_CUST_TOT_4m</vt:lpstr>
      <vt:lpstr>_CUST_TOT_4m_</vt:lpstr>
      <vt:lpstr>RELATÓRIO!Area_de_extracao</vt:lpstr>
      <vt:lpstr>'C.  EXTERNO - QUADRIM.'!Area_de_impressao</vt:lpstr>
      <vt:lpstr>'CUSTO  TOTAL - QUADRIM.'!Area_de_impressao</vt:lpstr>
      <vt:lpstr>INSTRUÇÕES!Area_de_impressao</vt:lpstr>
      <vt:lpstr>ORIENTAÇÕES!Area_de_impressao</vt:lpstr>
      <vt:lpstr>'PROD. 1º MÊS'!Area_de_impressao</vt:lpstr>
      <vt:lpstr>'PROD. 2º MÊS'!Area_de_impressao</vt:lpstr>
      <vt:lpstr>'PROD. 3º MÊS'!Area_de_impressao</vt:lpstr>
      <vt:lpstr>'PROD. 4º MÊS'!Area_de_impressao</vt:lpstr>
      <vt:lpstr>RELATÓRIO!Area_de_impressao</vt:lpstr>
      <vt:lpstr>'SES - CMU'!Area_de_impressao</vt:lpstr>
      <vt:lpstr>VARIAÇÃO!Area_de_impressao</vt:lpstr>
      <vt:lpstr>'C.  EXTERNO - QUADRIM.'!Titulos_de_impressao</vt:lpstr>
      <vt:lpstr>'CUSTO  TOTAL - QUADRIM.'!Titulos_de_impressao</vt:lpstr>
      <vt:lpstr>'PROD. 1º MÊS'!Titulos_de_impressao</vt:lpstr>
      <vt:lpstr>'PROD. 2º MÊS'!Titulos_de_impressao</vt:lpstr>
      <vt:lpstr>'PROD. 3º MÊS'!Titulos_de_impressao</vt:lpstr>
      <vt:lpstr>'PROD. 4º MÊS'!Titulos_de_impressao</vt:lpstr>
      <vt:lpstr>RELATÓRIO!Titulos_de_impressao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Marcelino dos santos Andrade - HAB</dc:creator>
  <cp:lastModifiedBy>Geanne Freire da Silva</cp:lastModifiedBy>
  <cp:lastPrinted>2025-07-15T18:07:37Z</cp:lastPrinted>
  <dcterms:created xsi:type="dcterms:W3CDTF">2019-03-21T16:18:20Z</dcterms:created>
  <dcterms:modified xsi:type="dcterms:W3CDTF">2025-07-15T18:08:54Z</dcterms:modified>
</cp:coreProperties>
</file>
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rv-fs\DGR_RESTRITO\GEMAC - Gestão de Custos\CUSTOS 2024\12 - Monitoramento das Unidades - IMD\1 - IMD 2024\"/>
    </mc:Choice>
  </mc:AlternateContent>
  <bookViews>
    <workbookView xWindow="0" yWindow="0" windowWidth="16380" windowHeight="8190" tabRatio="919" activeTab="3"/>
  </bookViews>
  <sheets>
    <sheet name="Dashboard-IMD  " sheetId="1" r:id="rId1"/>
    <sheet name="IMD-Estratificado" sheetId="2" r:id="rId2"/>
    <sheet name="APS.Oeste" sheetId="3" r:id="rId3"/>
    <sheet name="Relatório Analítico - HRC " sheetId="4" r:id="rId4"/>
    <sheet name="Relatório Analítico - HRBZ " sheetId="5" r:id="rId5"/>
    <sheet name="Policlinica Ceilandia II" sheetId="6" r:id="rId6"/>
    <sheet name="Policlínica Brazlândia" sheetId="7" r:id="rId7"/>
    <sheet name="Policlínica Ceilândia I" sheetId="8" r:id="rId8"/>
    <sheet name="CEILÂNDIA - UBS 11 (TIPO II (2" sheetId="9" r:id="rId9"/>
    <sheet name="BRAZLÂNDIA - UBS Nº 05  (2)" sheetId="10" r:id="rId10"/>
    <sheet name="BRAZLÂNDIA - UBS 03 (2)" sheetId="11" r:id="rId11"/>
    <sheet name=" CEILÂNDIA - UBS 18 (2)" sheetId="12" r:id="rId12"/>
    <sheet name=" BRAZLÂNDIA - UBS Nº 07 (2)" sheetId="13" r:id="rId13"/>
    <sheet name="CEILÂNDIA - UBS 14 (2)" sheetId="14" r:id="rId14"/>
    <sheet name="CEILÂNDIA - UBS 13  (2)" sheetId="15" r:id="rId15"/>
    <sheet name="BRAZLÂNDIA - UBS Nº 01  (2)" sheetId="16" r:id="rId16"/>
    <sheet name="BRAZLÂNDIA - UBS 02 (TIPOII (2" sheetId="17" r:id="rId17"/>
    <sheet name="CEILÂNDIA - UBS 09 (TIPO II (2" sheetId="18" r:id="rId18"/>
    <sheet name="CEILÂNDIA - UBS 08 (TIPO II (2" sheetId="19" r:id="rId19"/>
    <sheet name="BRAZLÂNDIA - UBS 04 (2)" sheetId="20" r:id="rId20"/>
    <sheet name="CEILÂNDIA - UBS 17 (2)" sheetId="21" r:id="rId21"/>
    <sheet name=" CEILÂNDIA - UBS 03 (TIPO I (2" sheetId="22" r:id="rId22"/>
    <sheet name="BRAZLÂNDIA - UBS 08 (2)" sheetId="23" r:id="rId23"/>
    <sheet name="BRAZLÂNDIA - UBS 09" sheetId="24" r:id="rId24"/>
    <sheet name="CEILÂNDIA UBS 05 (2)" sheetId="25" r:id="rId25"/>
    <sheet name="CEILANDIA UBS 10 TIPO II (2)" sheetId="26" r:id="rId26"/>
    <sheet name="CEILANDIA UBS 12 " sheetId="27" r:id="rId27"/>
    <sheet name="BRAZLÂNDIA - UBS 06 (TIPO I)" sheetId="28" r:id="rId28"/>
    <sheet name="Legenda HRBZ" sheetId="29" r:id="rId29"/>
    <sheet name=" Legenda HRC" sheetId="30" r:id="rId30"/>
    <sheet name="Calendário 2023" sheetId="31" r:id="rId31"/>
    <sheet name="CEILÂNDIA - UBS 11 (TIPO II)" sheetId="32" r:id="rId32"/>
    <sheet name="BRAZLÂNDIA - UBS Nº 05 " sheetId="33" r:id="rId33"/>
    <sheet name="BRAZLÂNDIA - UBS 03" sheetId="34" r:id="rId34"/>
    <sheet name=" CEILÂNDIA - UBS 18" sheetId="35" r:id="rId35"/>
    <sheet name=" BRAZLÂNDIA - UBS Nº 07" sheetId="36" r:id="rId36"/>
    <sheet name="CEILÂNDIA - UBS 14" sheetId="37" r:id="rId37"/>
    <sheet name="CEILÂNDIA - UBS 13 " sheetId="38" r:id="rId38"/>
    <sheet name="BRAZLÂNDIA - UBS Nº 01 " sheetId="39" r:id="rId39"/>
    <sheet name="BRAZLÂNDIA - UBS 02 (TIPOII)" sheetId="40" r:id="rId40"/>
    <sheet name="CEILÂNDIA - UBS 09 (TIPO II)" sheetId="41" r:id="rId41"/>
    <sheet name="CEILÂNDIA - UBS 08 (TIPO II)" sheetId="42" r:id="rId42"/>
    <sheet name="CEILANDIA - UBS 15 (TIPO II)" sheetId="43" r:id="rId43"/>
    <sheet name="CEILÂNDIA - UBS 01 (TIPO II)" sheetId="44" r:id="rId44"/>
    <sheet name="SOL NASCENTE- UBS 01 (TIPO II)" sheetId="45" r:id="rId45"/>
    <sheet name="CEILÂNDIA - UBS 02  (TIPO II)" sheetId="46" r:id="rId46"/>
    <sheet name="CEILÂNDIA - UBS 07 (TIPO II)" sheetId="47" r:id="rId47"/>
    <sheet name="CEILÂNDIA - UBS 06 (TIPO II)" sheetId="48" r:id="rId48"/>
    <sheet name="CEILÂNDIA - UBS 04 " sheetId="49" r:id="rId49"/>
    <sheet name="BRAZLÂNDIA - UBS 04" sheetId="50" r:id="rId50"/>
    <sheet name="CEILÂNDIA - UBS 17" sheetId="51" r:id="rId51"/>
    <sheet name=" CEILÂNDIA - UBS 03 (TIPO II)" sheetId="52" r:id="rId52"/>
    <sheet name="BRAZLÂNDIA - UBS 08" sheetId="53" r:id="rId53"/>
    <sheet name="BRAZLANDIA - UBS 09" sheetId="54" r:id="rId54"/>
    <sheet name="CEILÂNDIA UBS 05" sheetId="55" r:id="rId55"/>
    <sheet name="CEILANDIA UBS 10 TIPO II" sheetId="56" r:id="rId56"/>
    <sheet name="CEILANDIA UBS 12" sheetId="57" r:id="rId57"/>
    <sheet name="BRAZLANDIA- UBS 06 (TIPO I)" sheetId="58" r:id="rId58"/>
    <sheet name="Planilha9" sheetId="59" r:id="rId59"/>
  </sheets>
  <externalReferences>
    <externalReference r:id="rId60"/>
    <externalReference r:id="rId61"/>
    <externalReference r:id="rId62"/>
  </externalReferences>
  <definedNames>
    <definedName name="Lista_Bimestres">[1]Apoio!$A$2:$A$8</definedName>
    <definedName name="Lista_Controle">[1]Apoio!$A$31:$A$34</definedName>
  </definedNames>
  <calcPr calcId="162913"/>
</workbook>
</file>

<file path=xl/calcChain.xml><?xml version="1.0" encoding="utf-8"?>
<calcChain xmlns="http://schemas.openxmlformats.org/spreadsheetml/2006/main">
  <c r="M7" i="1" l="1"/>
  <c r="M8" i="1"/>
  <c r="T35" i="3"/>
  <c r="S35" i="3"/>
  <c r="R35" i="3"/>
  <c r="U35" i="3" s="1"/>
  <c r="P35" i="3"/>
  <c r="O35" i="3"/>
  <c r="N35" i="3"/>
  <c r="Q35" i="3" s="1"/>
  <c r="X35" i="3" s="1"/>
  <c r="M35" i="3"/>
  <c r="K35" i="3"/>
  <c r="W35" i="3" s="1"/>
  <c r="H35" i="3"/>
  <c r="T34" i="3"/>
  <c r="S34" i="3"/>
  <c r="R34" i="3"/>
  <c r="U34" i="3" s="1"/>
  <c r="P34" i="3"/>
  <c r="O34" i="3"/>
  <c r="N34" i="3"/>
  <c r="M34" i="3"/>
  <c r="Q34" i="3" s="1"/>
  <c r="X34" i="3" s="1"/>
  <c r="K34" i="3"/>
  <c r="H34" i="3"/>
  <c r="W34" i="3" s="1"/>
  <c r="T33" i="3"/>
  <c r="S33" i="3"/>
  <c r="R33" i="3"/>
  <c r="U33" i="3" s="1"/>
  <c r="P33" i="3"/>
  <c r="O33" i="3"/>
  <c r="N33" i="3"/>
  <c r="M33" i="3"/>
  <c r="Q33" i="3" s="1"/>
  <c r="X33" i="3" s="1"/>
  <c r="K33" i="3"/>
  <c r="H33" i="3"/>
  <c r="W33" i="3" s="1"/>
  <c r="U32" i="3"/>
  <c r="T32" i="3"/>
  <c r="S32" i="3"/>
  <c r="R32" i="3"/>
  <c r="P32" i="3"/>
  <c r="O32" i="3"/>
  <c r="N32" i="3"/>
  <c r="M32" i="3"/>
  <c r="Q32" i="3" s="1"/>
  <c r="X32" i="3" s="1"/>
  <c r="K32" i="3"/>
  <c r="H32" i="3"/>
  <c r="W32" i="3" s="1"/>
  <c r="W31" i="3"/>
  <c r="T31" i="3"/>
  <c r="S31" i="3"/>
  <c r="R31" i="3"/>
  <c r="U31" i="3" s="1"/>
  <c r="P31" i="3"/>
  <c r="O31" i="3"/>
  <c r="N31" i="3"/>
  <c r="M31" i="3"/>
  <c r="Q31" i="3" s="1"/>
  <c r="X31" i="3" s="1"/>
  <c r="K31" i="3"/>
  <c r="H31" i="3"/>
  <c r="U30" i="3"/>
  <c r="T30" i="3"/>
  <c r="S30" i="3"/>
  <c r="R30" i="3"/>
  <c r="Q30" i="3"/>
  <c r="X30" i="3" s="1"/>
  <c r="P30" i="3"/>
  <c r="O30" i="3"/>
  <c r="N30" i="3"/>
  <c r="M30" i="3"/>
  <c r="K30" i="3"/>
  <c r="H30" i="3"/>
  <c r="W30" i="3" s="1"/>
  <c r="T29" i="3"/>
  <c r="S29" i="3"/>
  <c r="R29" i="3"/>
  <c r="U29" i="3" s="1"/>
  <c r="P29" i="3"/>
  <c r="Q29" i="3" s="1"/>
  <c r="X29" i="3" s="1"/>
  <c r="O29" i="3"/>
  <c r="N29" i="3"/>
  <c r="M29" i="3"/>
  <c r="K29" i="3"/>
  <c r="W29" i="3" s="1"/>
  <c r="H29" i="3"/>
  <c r="T28" i="3"/>
  <c r="S28" i="3"/>
  <c r="R28" i="3"/>
  <c r="U28" i="3" s="1"/>
  <c r="P28" i="3"/>
  <c r="O28" i="3"/>
  <c r="N28" i="3"/>
  <c r="M28" i="3"/>
  <c r="Q28" i="3" s="1"/>
  <c r="X28" i="3" s="1"/>
  <c r="K28" i="3"/>
  <c r="H28" i="3"/>
  <c r="W28" i="3" s="1"/>
  <c r="T27" i="3"/>
  <c r="S27" i="3"/>
  <c r="R27" i="3"/>
  <c r="U27" i="3" s="1"/>
  <c r="P27" i="3"/>
  <c r="O27" i="3"/>
  <c r="N27" i="3"/>
  <c r="M27" i="3"/>
  <c r="Q27" i="3" s="1"/>
  <c r="X27" i="3" s="1"/>
  <c r="K27" i="3"/>
  <c r="H27" i="3"/>
  <c r="W27" i="3" s="1"/>
  <c r="U26" i="3"/>
  <c r="T26" i="3"/>
  <c r="S26" i="3"/>
  <c r="R26" i="3"/>
  <c r="P26" i="3"/>
  <c r="O26" i="3"/>
  <c r="N26" i="3"/>
  <c r="M26" i="3"/>
  <c r="Q26" i="3" s="1"/>
  <c r="X26" i="3" s="1"/>
  <c r="K26" i="3"/>
  <c r="H26" i="3"/>
  <c r="W26" i="3" s="1"/>
  <c r="W25" i="3"/>
  <c r="T25" i="3"/>
  <c r="S25" i="3"/>
  <c r="R25" i="3"/>
  <c r="U25" i="3" s="1"/>
  <c r="P25" i="3"/>
  <c r="O25" i="3"/>
  <c r="N25" i="3"/>
  <c r="M25" i="3"/>
  <c r="Q25" i="3" s="1"/>
  <c r="X25" i="3" s="1"/>
  <c r="K25" i="3"/>
  <c r="H25" i="3"/>
  <c r="U24" i="3"/>
  <c r="T24" i="3"/>
  <c r="S24" i="3"/>
  <c r="R24" i="3"/>
  <c r="Q24" i="3"/>
  <c r="X24" i="3" s="1"/>
  <c r="P24" i="3"/>
  <c r="O24" i="3"/>
  <c r="N24" i="3"/>
  <c r="M24" i="3"/>
  <c r="K24" i="3"/>
  <c r="H24" i="3"/>
  <c r="W24" i="3" s="1"/>
  <c r="T23" i="3"/>
  <c r="S23" i="3"/>
  <c r="R23" i="3"/>
  <c r="U23" i="3" s="1"/>
  <c r="P23" i="3"/>
  <c r="O23" i="3"/>
  <c r="N23" i="3"/>
  <c r="Q23" i="3" s="1"/>
  <c r="X23" i="3" s="1"/>
  <c r="M23" i="3"/>
  <c r="K23" i="3"/>
  <c r="W23" i="3" s="1"/>
  <c r="H23" i="3"/>
  <c r="X22" i="3"/>
  <c r="U22" i="3"/>
  <c r="T22" i="3"/>
  <c r="S22" i="3"/>
  <c r="R22" i="3"/>
  <c r="P22" i="3"/>
  <c r="O22" i="3"/>
  <c r="N22" i="3"/>
  <c r="M22" i="3"/>
  <c r="Q22" i="3" s="1"/>
  <c r="K22" i="3"/>
  <c r="H22" i="3"/>
  <c r="W22" i="3" s="1"/>
  <c r="X21" i="3"/>
  <c r="T21" i="3"/>
  <c r="S21" i="3"/>
  <c r="R21" i="3"/>
  <c r="U21" i="3" s="1"/>
  <c r="P21" i="3"/>
  <c r="O21" i="3"/>
  <c r="N21" i="3"/>
  <c r="M21" i="3"/>
  <c r="Q21" i="3" s="1"/>
  <c r="K21" i="3"/>
  <c r="W21" i="3" s="1"/>
  <c r="H21" i="3"/>
  <c r="U20" i="3"/>
  <c r="T20" i="3"/>
  <c r="S20" i="3"/>
  <c r="R20" i="3"/>
  <c r="P20" i="3"/>
  <c r="O20" i="3"/>
  <c r="N20" i="3"/>
  <c r="M20" i="3"/>
  <c r="Q20" i="3" s="1"/>
  <c r="X20" i="3" s="1"/>
  <c r="K20" i="3"/>
  <c r="H20" i="3"/>
  <c r="W20" i="3" s="1"/>
  <c r="W19" i="3"/>
  <c r="T19" i="3"/>
  <c r="S19" i="3"/>
  <c r="R19" i="3"/>
  <c r="U19" i="3" s="1"/>
  <c r="P19" i="3"/>
  <c r="O19" i="3"/>
  <c r="N19" i="3"/>
  <c r="M19" i="3"/>
  <c r="Q19" i="3" s="1"/>
  <c r="X19" i="3" s="1"/>
  <c r="K19" i="3"/>
  <c r="H19" i="3"/>
  <c r="U18" i="3"/>
  <c r="T18" i="3"/>
  <c r="S18" i="3"/>
  <c r="R18" i="3"/>
  <c r="Q18" i="3"/>
  <c r="X18" i="3" s="1"/>
  <c r="P18" i="3"/>
  <c r="O18" i="3"/>
  <c r="N18" i="3"/>
  <c r="M18" i="3"/>
  <c r="K18" i="3"/>
  <c r="H18" i="3"/>
  <c r="W18" i="3" s="1"/>
  <c r="T17" i="3"/>
  <c r="S17" i="3"/>
  <c r="R17" i="3"/>
  <c r="U17" i="3" s="1"/>
  <c r="P17" i="3"/>
  <c r="O17" i="3"/>
  <c r="N17" i="3"/>
  <c r="Q17" i="3" s="1"/>
  <c r="X17" i="3" s="1"/>
  <c r="M17" i="3"/>
  <c r="K17" i="3"/>
  <c r="W17" i="3" s="1"/>
  <c r="H17" i="3"/>
  <c r="U16" i="3"/>
  <c r="T16" i="3"/>
  <c r="S16" i="3"/>
  <c r="R16" i="3"/>
  <c r="P16" i="3"/>
  <c r="O16" i="3"/>
  <c r="N16" i="3"/>
  <c r="M16" i="3"/>
  <c r="Q16" i="3" s="1"/>
  <c r="X16" i="3" s="1"/>
  <c r="K16" i="3"/>
  <c r="H16" i="3"/>
  <c r="W16" i="3" s="1"/>
  <c r="T15" i="3"/>
  <c r="S15" i="3"/>
  <c r="R15" i="3"/>
  <c r="U15" i="3" s="1"/>
  <c r="P15" i="3"/>
  <c r="O15" i="3"/>
  <c r="N15" i="3"/>
  <c r="M15" i="3"/>
  <c r="Q15" i="3" s="1"/>
  <c r="X15" i="3" s="1"/>
  <c r="K15" i="3"/>
  <c r="W15" i="3" s="1"/>
  <c r="H15" i="3"/>
  <c r="U14" i="3"/>
  <c r="T14" i="3"/>
  <c r="S14" i="3"/>
  <c r="R14" i="3"/>
  <c r="P14" i="3"/>
  <c r="O14" i="3"/>
  <c r="N14" i="3"/>
  <c r="M14" i="3"/>
  <c r="Q14" i="3" s="1"/>
  <c r="X14" i="3" s="1"/>
  <c r="K14" i="3"/>
  <c r="H14" i="3"/>
  <c r="W14" i="3" s="1"/>
  <c r="W13" i="3"/>
  <c r="T13" i="3"/>
  <c r="S13" i="3"/>
  <c r="R13" i="3"/>
  <c r="U13" i="3" s="1"/>
  <c r="P13" i="3"/>
  <c r="O13" i="3"/>
  <c r="N13" i="3"/>
  <c r="M13" i="3"/>
  <c r="Q13" i="3" s="1"/>
  <c r="X13" i="3" s="1"/>
  <c r="K13" i="3"/>
  <c r="H13" i="3"/>
  <c r="X12" i="3"/>
  <c r="U12" i="3"/>
  <c r="T12" i="3"/>
  <c r="S12" i="3"/>
  <c r="R12" i="3"/>
  <c r="Q12" i="3"/>
  <c r="P12" i="3"/>
  <c r="O12" i="3"/>
  <c r="N12" i="3"/>
  <c r="M12" i="3"/>
  <c r="K12" i="3"/>
  <c r="H12" i="3"/>
  <c r="W12" i="3" s="1"/>
  <c r="T11" i="3"/>
  <c r="S11" i="3"/>
  <c r="R11" i="3"/>
  <c r="U11" i="3" s="1"/>
  <c r="P11" i="3"/>
  <c r="O11" i="3"/>
  <c r="N11" i="3"/>
  <c r="Q11" i="3" s="1"/>
  <c r="X11" i="3" s="1"/>
  <c r="M11" i="3"/>
  <c r="K11" i="3"/>
  <c r="W11" i="3" s="1"/>
  <c r="H11" i="3"/>
  <c r="U10" i="3"/>
  <c r="T10" i="3"/>
  <c r="S10" i="3"/>
  <c r="R10" i="3"/>
  <c r="P10" i="3"/>
  <c r="O10" i="3"/>
  <c r="N10" i="3"/>
  <c r="M10" i="3"/>
  <c r="Q10" i="3" s="1"/>
  <c r="X10" i="3" s="1"/>
  <c r="K10" i="3"/>
  <c r="H10" i="3"/>
  <c r="W10" i="3" s="1"/>
  <c r="T9" i="3"/>
  <c r="S9" i="3"/>
  <c r="R9" i="3"/>
  <c r="U9" i="3" s="1"/>
  <c r="P9" i="3"/>
  <c r="O9" i="3"/>
  <c r="N9" i="3"/>
  <c r="M9" i="3"/>
  <c r="Q9" i="3" s="1"/>
  <c r="X9" i="3" s="1"/>
  <c r="K9" i="3"/>
  <c r="W9" i="3" s="1"/>
  <c r="H9" i="3"/>
  <c r="U8" i="3"/>
  <c r="T8" i="3"/>
  <c r="S8" i="3"/>
  <c r="R8" i="3"/>
  <c r="P8" i="3"/>
  <c r="O8" i="3"/>
  <c r="N8" i="3"/>
  <c r="M8" i="3"/>
  <c r="Q8" i="3" s="1"/>
  <c r="X8" i="3" s="1"/>
  <c r="K8" i="3"/>
  <c r="H8" i="3"/>
  <c r="W8" i="3" s="1"/>
  <c r="W7" i="3"/>
  <c r="T7" i="3"/>
  <c r="S7" i="3"/>
  <c r="R7" i="3"/>
  <c r="U7" i="3" s="1"/>
  <c r="P7" i="3"/>
  <c r="O7" i="3"/>
  <c r="N7" i="3"/>
  <c r="M7" i="3"/>
  <c r="Q7" i="3" s="1"/>
  <c r="X7" i="3" s="1"/>
  <c r="K7" i="3"/>
  <c r="H7" i="3"/>
  <c r="AA4" i="3"/>
  <c r="AA3" i="3"/>
  <c r="AA5" i="3" s="1"/>
  <c r="AA6" i="3" s="1"/>
  <c r="F25" i="2"/>
  <c r="C19" i="2"/>
  <c r="W18" i="2"/>
  <c r="V18" i="2"/>
  <c r="T18" i="2"/>
  <c r="S18" i="2"/>
  <c r="R18" i="2"/>
  <c r="U18" i="2" s="1"/>
  <c r="P18" i="2"/>
  <c r="O18" i="2"/>
  <c r="N18" i="2"/>
  <c r="Q18" i="2" s="1"/>
  <c r="Y18" i="2" s="1"/>
  <c r="M18" i="2"/>
  <c r="K18" i="2"/>
  <c r="H18" i="2"/>
  <c r="AB18" i="2" s="1"/>
  <c r="Y17" i="2"/>
  <c r="W17" i="2"/>
  <c r="V17" i="2"/>
  <c r="U17" i="2"/>
  <c r="Q17" i="2"/>
  <c r="K17" i="2"/>
  <c r="AB17" i="2" s="1"/>
  <c r="H17" i="2"/>
  <c r="AB16" i="2"/>
  <c r="W16" i="2"/>
  <c r="V16" i="2"/>
  <c r="T16" i="2"/>
  <c r="S16" i="2"/>
  <c r="U16" i="2" s="1"/>
  <c r="R16" i="2"/>
  <c r="P16" i="2"/>
  <c r="O16" i="2"/>
  <c r="N16" i="2"/>
  <c r="M16" i="2"/>
  <c r="Q16" i="2" s="1"/>
  <c r="K16" i="2"/>
  <c r="H16" i="2"/>
  <c r="Y15" i="2"/>
  <c r="W15" i="2"/>
  <c r="V15" i="2"/>
  <c r="U15" i="2"/>
  <c r="Q15" i="2"/>
  <c r="K15" i="2"/>
  <c r="AB15" i="2" s="1"/>
  <c r="H15" i="2"/>
  <c r="Y14" i="2"/>
  <c r="W14" i="2"/>
  <c r="V14" i="2"/>
  <c r="U14" i="2"/>
  <c r="Q14" i="2"/>
  <c r="K14" i="2"/>
  <c r="H14" i="2"/>
  <c r="AB14" i="2" s="1"/>
  <c r="Y13" i="2"/>
  <c r="W13" i="2"/>
  <c r="V13" i="2"/>
  <c r="U13" i="2"/>
  <c r="Q13" i="2"/>
  <c r="K13" i="2"/>
  <c r="H13" i="2"/>
  <c r="AB13" i="2" s="1"/>
  <c r="AB12" i="2"/>
  <c r="W12" i="2"/>
  <c r="V12" i="2"/>
  <c r="T12" i="2"/>
  <c r="S12" i="2"/>
  <c r="R12" i="2"/>
  <c r="U12" i="2" s="1"/>
  <c r="P12" i="2"/>
  <c r="O12" i="2"/>
  <c r="N12" i="2"/>
  <c r="M12" i="2"/>
  <c r="Q12" i="2" s="1"/>
  <c r="K12" i="2"/>
  <c r="H12" i="2"/>
  <c r="W11" i="2"/>
  <c r="T11" i="2"/>
  <c r="S11" i="2"/>
  <c r="R11" i="2"/>
  <c r="U11" i="2" s="1"/>
  <c r="P11" i="2"/>
  <c r="O11" i="2"/>
  <c r="N11" i="2"/>
  <c r="Q11" i="2" s="1"/>
  <c r="M11" i="2"/>
  <c r="K11" i="2"/>
  <c r="AB11" i="2" s="1"/>
  <c r="H11" i="2"/>
  <c r="Y10" i="2"/>
  <c r="W10" i="2"/>
  <c r="V10" i="2"/>
  <c r="U10" i="2"/>
  <c r="Q10" i="2"/>
  <c r="K10" i="2"/>
  <c r="H10" i="2"/>
  <c r="AB10" i="2" s="1"/>
  <c r="W9" i="2"/>
  <c r="V9" i="2"/>
  <c r="U9" i="2"/>
  <c r="T9" i="2"/>
  <c r="S9" i="2"/>
  <c r="R9" i="2"/>
  <c r="Q9" i="2"/>
  <c r="Y9" i="2" s="1"/>
  <c r="P9" i="2"/>
  <c r="O9" i="2"/>
  <c r="N9" i="2"/>
  <c r="M9" i="2"/>
  <c r="K9" i="2"/>
  <c r="H9" i="2"/>
  <c r="AB9" i="2" s="1"/>
  <c r="AC8" i="2"/>
  <c r="W8" i="2"/>
  <c r="U8" i="2"/>
  <c r="P8" i="2"/>
  <c r="O8" i="2"/>
  <c r="N8" i="2"/>
  <c r="Q8" i="2" s="1"/>
  <c r="Y8" i="2" s="1"/>
  <c r="M8" i="2"/>
  <c r="H8" i="2"/>
  <c r="L8" i="1"/>
  <c r="K8" i="1"/>
  <c r="J8" i="1"/>
  <c r="I8" i="1"/>
  <c r="H8" i="1"/>
  <c r="G8" i="1"/>
  <c r="F8" i="1"/>
  <c r="E8" i="1"/>
  <c r="D8" i="1"/>
  <c r="C8" i="1"/>
  <c r="B8" i="1"/>
  <c r="L7" i="1"/>
  <c r="K7" i="1"/>
  <c r="J7" i="1"/>
  <c r="I7" i="1"/>
  <c r="H7" i="1"/>
  <c r="G7" i="1"/>
  <c r="F7" i="1"/>
  <c r="E7" i="1"/>
  <c r="D7" i="1"/>
  <c r="C7" i="1"/>
  <c r="B7" i="1"/>
  <c r="X6" i="1"/>
  <c r="W6" i="1"/>
  <c r="Y6" i="1" s="1"/>
  <c r="V6" i="1"/>
  <c r="U6" i="1"/>
  <c r="S7" i="1" l="1"/>
  <c r="N6" i="1"/>
  <c r="Y12" i="2"/>
  <c r="AD8" i="2" s="1"/>
  <c r="AE8" i="2" s="1"/>
  <c r="Y11" i="2"/>
  <c r="Y16" i="2"/>
  <c r="AA2" i="3"/>
  <c r="AB6" i="1" l="1"/>
  <c r="T15" i="1"/>
  <c r="T17" i="1" s="1"/>
  <c r="N8" i="1"/>
  <c r="AB36" i="1" s="1"/>
</calcChain>
</file>

<file path=xl/comments1.xml><?xml version="1.0" encoding="utf-8"?>
<comments xmlns="http://schemas.openxmlformats.org/spreadsheetml/2006/main">
  <authors>
    <author>None</author>
  </authors>
  <commentList>
    <comment ref="AE3" authorId="0" shapeId="0">
      <text>
        <r>
          <rPr>
            <sz val="11"/>
            <color rgb="FF000000"/>
            <rFont val="Arial"/>
            <charset val="1"/>
          </rPr>
          <t>======
ID#AAAAJj6GtC4
Marcelo de Jesus Neves    (2020-05-18 16:35:46)
Proposta de incorporação deste Índice, após definição da gestão de custos da Secundária.</t>
        </r>
      </text>
    </comment>
  </commentList>
</comments>
</file>

<file path=xl/sharedStrings.xml><?xml version="1.0" encoding="utf-8"?>
<sst xmlns="http://schemas.openxmlformats.org/spreadsheetml/2006/main" count="10796" uniqueCount="335">
  <si>
    <t>SUPERINTENDÊNCIA REGIONALDE SAÚDE OESTE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</si>
  <si>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</si>
  <si>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</si>
  <si>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</si>
  <si>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</si>
  <si>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</si>
  <si>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</si>
  <si>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</si>
  <si>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</si>
  <si>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</si>
  <si>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</si>
  <si>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</si>
  <si>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</si>
  <si>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Meta:</t>
  </si>
  <si>
    <t>SRS- OESTE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</si>
  <si>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</si>
  <si>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</si>
  <si>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</si>
  <si>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</si>
  <si>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</si>
  <si>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</si>
  <si>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</si>
  <si>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</si>
  <si>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</si>
  <si>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</si>
  <si>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</si>
  <si>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</si>
  <si>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Resultado Ano</t>
  </si>
  <si>
    <t>STATUS</t>
  </si>
  <si>
    <t>Resultado parcial</t>
  </si>
  <si>
    <t>Variação  
(%)</t>
  </si>
  <si>
    <t>Variação da meta 
(%)</t>
  </si>
  <si>
    <t xml:space="preserve">Resultado: </t>
  </si>
  <si>
    <t>Status</t>
  </si>
  <si>
    <t>SÉRIE HISTÓRICA - 2024</t>
  </si>
  <si>
    <t>ÍNDICE GLOBAL DA REGIÃO</t>
  </si>
  <si>
    <t>PONTEIRO</t>
  </si>
  <si>
    <t>DIVISOR DE PERFORMANCE</t>
  </si>
  <si>
    <t>Valor</t>
  </si>
  <si>
    <t>Crítico</t>
  </si>
  <si>
    <t>Tamanho</t>
  </si>
  <si>
    <t>Alerta</t>
  </si>
  <si>
    <t>Complemento</t>
  </si>
  <si>
    <t>Esperado</t>
  </si>
  <si>
    <t>Alcançado</t>
  </si>
  <si>
    <t>Superado</t>
  </si>
  <si>
    <t>Fim</t>
  </si>
  <si>
    <t xml:space="preserve">Distância da meta: </t>
  </si>
  <si>
    <t>SUPERINTENDÊNCIA REGIONAL DE SAÚDE OESTE</t>
  </si>
  <si>
    <t>Versão 1 - 2020</t>
  </si>
  <si>
    <t>REGIÃO ADMINISTRATIVA</t>
  </si>
  <si>
    <t>UNIDADES DE SAÚDE</t>
  </si>
  <si>
    <t>Etapas</t>
  </si>
  <si>
    <t>1ª FASE</t>
  </si>
  <si>
    <t>2ª FASE</t>
  </si>
  <si>
    <t>3ª FASE</t>
  </si>
  <si>
    <t>4ª FASE</t>
  </si>
  <si>
    <t>PESO</t>
  </si>
  <si>
    <t>ÍNDICE (%)</t>
  </si>
  <si>
    <t>Pontuação Total</t>
  </si>
  <si>
    <t>Realce das Unidades na Região</t>
  </si>
  <si>
    <t>CUSTO TOTAL (Por Unidade)</t>
  </si>
  <si>
    <t>Custo Total Apurado
(PPA e PDS)</t>
  </si>
  <si>
    <t>Média Região
Desempenho
(AGR)</t>
  </si>
  <si>
    <t>ÍNDICE
IMD
Proposta 
(AGR)</t>
  </si>
  <si>
    <t>SENSIBILIZAÇÃO</t>
  </si>
  <si>
    <t>LEVANTAMENTO DE DADOS</t>
  </si>
  <si>
    <t>CUSTO TOTAL</t>
  </si>
  <si>
    <t>PREENCHIMENTO APURASUS</t>
  </si>
  <si>
    <t>ANÁLISE CRÍTICA</t>
  </si>
  <si>
    <t>Critérios</t>
  </si>
  <si>
    <t>Capacitação</t>
  </si>
  <si>
    <t>Reuniões</t>
  </si>
  <si>
    <t>Gestores</t>
  </si>
  <si>
    <t>Servidores</t>
  </si>
  <si>
    <t>Sub Total</t>
  </si>
  <si>
    <t>Mapeamento</t>
  </si>
  <si>
    <t>Mapa de Relacionamento</t>
  </si>
  <si>
    <t xml:space="preserve">0= N
1= P
2= C.T.
</t>
  </si>
  <si>
    <t>Pessoal</t>
  </si>
  <si>
    <t>Material de Consumo</t>
  </si>
  <si>
    <t>Terceiros</t>
  </si>
  <si>
    <t>Despesas Gerais</t>
  </si>
  <si>
    <t>Matriz</t>
  </si>
  <si>
    <t>Validação</t>
  </si>
  <si>
    <t>Relatórios Gerenciais</t>
  </si>
  <si>
    <t>Legenda abaixo da tabela</t>
  </si>
  <si>
    <t>Pesos</t>
  </si>
  <si>
    <t>Custo Total
Apurado
(0-Não 1-Sim)</t>
  </si>
  <si>
    <t xml:space="preserve">0 - Nenhum 1- Parcial 2- Completo </t>
  </si>
  <si>
    <t>0 - Nenhum 1- Parcial 2- Completo</t>
  </si>
  <si>
    <t>0 - Nenhum  2- Completo</t>
  </si>
  <si>
    <t>SRSO</t>
  </si>
  <si>
    <t>Atenção Primária - OESTE</t>
  </si>
  <si>
    <t xml:space="preserve">Ceilândia </t>
  </si>
  <si>
    <t>HRC</t>
  </si>
  <si>
    <t>CAPS AD - Ceilândia</t>
  </si>
  <si>
    <t xml:space="preserve">Policlínica Ceilândia   II </t>
  </si>
  <si>
    <t>Policlínica (Antiga UBS 4) GSAS 1</t>
  </si>
  <si>
    <t xml:space="preserve">CEO - UBS 11 de Ceilândia </t>
  </si>
  <si>
    <t>CEO - C. Esp. Odonto. HRC</t>
  </si>
  <si>
    <t xml:space="preserve">Laboratório Regional da Ceilândia </t>
  </si>
  <si>
    <t>Brazlândia</t>
  </si>
  <si>
    <t>HRBz</t>
  </si>
  <si>
    <t xml:space="preserve">CAPS I </t>
  </si>
  <si>
    <t>Policlínica Brazlandia  (HRBZ)</t>
  </si>
  <si>
    <t>Total de unidades implantadas na Região:</t>
  </si>
  <si>
    <t>Pesos:</t>
  </si>
  <si>
    <t>Quantidade de unidades na Região:</t>
  </si>
  <si>
    <t>Unidades</t>
  </si>
  <si>
    <t>Peso</t>
  </si>
  <si>
    <t>Hospital</t>
  </si>
  <si>
    <t>CAPS/CEO/CEDOH/H.Dia/NTA</t>
  </si>
  <si>
    <t>At. Primária</t>
  </si>
  <si>
    <t>Compp/Adolesc./Lab.Reg./Farmácia Viva</t>
  </si>
  <si>
    <t>At. Secundária</t>
  </si>
  <si>
    <t>ISM/Unid. Mista/Policlin.</t>
  </si>
  <si>
    <t>Total</t>
  </si>
  <si>
    <t>UPA/Ambulatórios</t>
  </si>
  <si>
    <t>Hopsital</t>
  </si>
  <si>
    <t>APS</t>
  </si>
  <si>
    <t>SUPERINTENDÊNCIA</t>
  </si>
  <si>
    <t>IMD</t>
  </si>
  <si>
    <t>Média IMD</t>
  </si>
  <si>
    <t>* Essa média representa o nível de implantação a gestão de custos na Região.</t>
  </si>
  <si>
    <t>Com Custo Total</t>
  </si>
  <si>
    <t>Total de UBS</t>
  </si>
  <si>
    <t>CRITÉRIOS</t>
  </si>
  <si>
    <t>0= Nenhum
1= Parcial
2= Custo Total</t>
  </si>
  <si>
    <t>% de UBS Com Custo Total</t>
  </si>
  <si>
    <t>PONTUAÇÃO</t>
  </si>
  <si>
    <t>0 - Nenhum 1- Parcial 2- Completo (total 8 = 100%)</t>
  </si>
  <si>
    <t>0 - Nenhum 1- Parcial 2- Completo (total 4 = 100%)</t>
  </si>
  <si>
    <t>0 - Nenhum 1- Parcial 2- Completo (total 10 = 100%)</t>
  </si>
  <si>
    <t>0 - Nenhum 1- Parcial 2- Completo (total 6 = 100%)</t>
  </si>
  <si>
    <t>Distância da Meta</t>
  </si>
  <si>
    <t>Oeste</t>
  </si>
  <si>
    <t>SRS OESTE - CEILÂNDIA UBS 01 (TIPO II)</t>
  </si>
  <si>
    <t>SRS OESTE - CEILÂNDIA UBS 02 (TIPO II)</t>
  </si>
  <si>
    <t>SRS OESTE - CEILÂNDIA UBS 03 (TIPO II)</t>
  </si>
  <si>
    <t>SRS OESTE - CEILÂNDIA UBS 04 (TIPO I)</t>
  </si>
  <si>
    <t>UBS nº 5 Ceilândia</t>
  </si>
  <si>
    <t>SRS OESTE - CEILÂNDIA UBS 06 (TIPO II)</t>
  </si>
  <si>
    <t>SRS OESTE - CEILÂNDIA UBS 07 (TIPO II)</t>
  </si>
  <si>
    <t>UBS nº 8 Ceilândia</t>
  </si>
  <si>
    <t>UBS nº 9 Ceilândia</t>
  </si>
  <si>
    <t>UBS nº 10 Ceilândia</t>
  </si>
  <si>
    <t>SRS OESTE - CEILÂNDIA UBS 11 (TIPO II)</t>
  </si>
  <si>
    <t>UBS nº 12 Ceilândia</t>
  </si>
  <si>
    <t>SRS OESTE - CEILÂNDIA UBS 13 (TIPO II)</t>
  </si>
  <si>
    <t>SRS OESTE - CEILÂNDIA UBS 14 (TIPO I)</t>
  </si>
  <si>
    <t>SRS Oeste -Ceilândia UBS 15 Vila Olímpíca</t>
  </si>
  <si>
    <t>SRS Oeste - Ceilândia UBS 16</t>
  </si>
  <si>
    <t>SRS OESTE - CEILÂNDIA UBS 17 (TIPO II)</t>
  </si>
  <si>
    <t>SRS OESTE - CEILÂNDIA UBS 18 (TIPO I)</t>
  </si>
  <si>
    <t>UBS nº 1 Brazlândia</t>
  </si>
  <si>
    <t>SRS OESTE - BRAZLÂNDIA UBS 02 (TIPOII)</t>
  </si>
  <si>
    <t>SRS OESTE - BRAZLÂNDIA UBS 03 (TIPOI)</t>
  </si>
  <si>
    <t>SRS OESTE - BRAZLÂNDIA UBS 04 (TIPO I)</t>
  </si>
  <si>
    <t>SRS OESTE - BRAZLÂNDIA UBS 05 (TIPO I)</t>
  </si>
  <si>
    <t>UBS nº 6 Brazlândia - Almecegas</t>
  </si>
  <si>
    <t>SRS OESTE - SOL NASCENTE UBS 15 (TIPO II)</t>
  </si>
  <si>
    <t>SRS OESTE - SOL NASCENTE UBS 16 (TIPO II)</t>
  </si>
  <si>
    <t>SRS OESTE - BRAZLÂNDIA UBS 07 (TIPO I)</t>
  </si>
  <si>
    <t>UBS nº 8 Brazlândia</t>
  </si>
  <si>
    <t>UBS nº 9 Brazlândia</t>
  </si>
  <si>
    <t>RELATÓRIO ANALÍTICO - RESULTDO DO IMD 2024</t>
  </si>
  <si>
    <t xml:space="preserve">REGIÃO: </t>
  </si>
  <si>
    <t>NÍVEL DE ATENÇÃO:</t>
  </si>
  <si>
    <t>Hospitalar</t>
  </si>
  <si>
    <t xml:space="preserve">UNIDADE: </t>
  </si>
  <si>
    <t>RESPONSÁVEL PELA UNIDADE:</t>
  </si>
  <si>
    <t>Maysa</t>
  </si>
  <si>
    <t>Será assinalado com um "X" o item preenchido pela unidade, "N/A" quando inexistente na unidade e na categoria informar o valor obtido no arquivo "Análise"</t>
  </si>
  <si>
    <t>CONTROLE DE ATUALIZAÇÃO - GEC</t>
  </si>
  <si>
    <t>SISTEMATIZAÇÃO DA INFORMAÇÃO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</si>
  <si>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</si>
  <si>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</si>
  <si>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</si>
  <si>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</si>
  <si>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</si>
  <si>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</si>
  <si>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</si>
  <si>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</si>
  <si>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</si>
  <si>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</si>
  <si>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</si>
  <si>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</si>
  <si>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</si>
  <si>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DATA</t>
  </si>
  <si>
    <t>HORÁRIO</t>
  </si>
  <si>
    <t>RESPONSÁVEL</t>
  </si>
  <si>
    <t>Legenda</t>
  </si>
  <si>
    <t>CATEGORIA DE DESPESAS</t>
  </si>
  <si>
    <t>PESSOAL                                                             (valor) -&gt;</t>
  </si>
  <si>
    <t>Eloisa</t>
  </si>
  <si>
    <t>J</t>
  </si>
  <si>
    <t>Justificado</t>
  </si>
  <si>
    <t>0 - Sem preenchimento</t>
  </si>
  <si>
    <t>Mauro/Guilherme F</t>
  </si>
  <si>
    <t>P</t>
  </si>
  <si>
    <t>Preenchido</t>
  </si>
  <si>
    <t>1 - Custo Total RH</t>
  </si>
  <si>
    <t>Mauro</t>
  </si>
  <si>
    <t>N</t>
  </si>
  <si>
    <t>Justificado não aceito</t>
  </si>
  <si>
    <t>2 - RH Segregrado</t>
  </si>
  <si>
    <t>NI</t>
  </si>
  <si>
    <t>Não Informado</t>
  </si>
  <si>
    <t>MATERIAL DE CONSUMO                            (valor) -&gt;</t>
  </si>
  <si>
    <t>Pedro</t>
  </si>
  <si>
    <t>Combustíveis e Lubrificantes Automotivos</t>
  </si>
  <si>
    <t>Gases Medicinais</t>
  </si>
  <si>
    <t>DARLAN</t>
  </si>
  <si>
    <t>Outros Materiais de Consumo</t>
  </si>
  <si>
    <t>j</t>
  </si>
  <si>
    <t>Material Laboratorial</t>
  </si>
  <si>
    <t>Material Médico-Hospitalar</t>
  </si>
  <si>
    <t>Medicamentos</t>
  </si>
  <si>
    <t>Material para Reabilitação (Órteses, próteses e materiais especiais - OPME)</t>
  </si>
  <si>
    <t>SERVIÇO DE TERCEIROS                                (valor) -&gt;</t>
  </si>
  <si>
    <t>Outros Serviços de Terceiros - Pessoa Jurídica</t>
  </si>
  <si>
    <t>Aluguel de Máquinas e Equipamentos</t>
  </si>
  <si>
    <t>Serviço de Manutenção e Conservação de Máquinas e Equipamentos</t>
  </si>
  <si>
    <t xml:space="preserve">           OBSERVAÇÕES:</t>
  </si>
  <si>
    <t>Serviços de Fornecimento de Alimentação - Pessoa Jurídica</t>
  </si>
  <si>
    <t>Serviços de Limpeza e Conservação</t>
  </si>
  <si>
    <t>Serviços de Vigilância e/ou Segurança</t>
  </si>
  <si>
    <t>Serviço de Fornecimento de Nutrição Enteral</t>
  </si>
  <si>
    <t>DESPESAS GERAIS                                           (valor) -&gt;</t>
  </si>
  <si>
    <t>Serviços de Água e Esgoto</t>
  </si>
  <si>
    <t>Serviços de Energia Elétrica</t>
  </si>
  <si>
    <t>Serviços de Telecomunicações - (Telefonia Fixa - Ramais).</t>
  </si>
  <si>
    <t xml:space="preserve">            ANÁLISE CRÍTICA                                              (valor) -&gt;</t>
  </si>
  <si>
    <t>Validação da Informação</t>
  </si>
  <si>
    <t xml:space="preserve"> RELATAR MOVIMENTAÇÃO (SIM OU NÃO)</t>
  </si>
  <si>
    <t>Sim</t>
  </si>
  <si>
    <t>NÃO</t>
  </si>
  <si>
    <t>sim</t>
  </si>
  <si>
    <t>não</t>
  </si>
  <si>
    <t>SIM</t>
  </si>
  <si>
    <t>Gerência de Custos Regionais - GEC/DGR/CGCSS - SES/DF - V1</t>
  </si>
  <si>
    <t>RELATÓRIO ANALÍTICO - RESULTADO DO IMD 2024</t>
  </si>
  <si>
    <t>REGIÃO:</t>
  </si>
  <si>
    <t>OESTE</t>
  </si>
  <si>
    <t>Especializada</t>
  </si>
  <si>
    <t>UNIDADE:</t>
  </si>
  <si>
    <t>HRBZ</t>
  </si>
  <si>
    <t>Bruno</t>
  </si>
  <si>
    <t xml:space="preserve">Mauro </t>
  </si>
  <si>
    <t>Gases medicinais</t>
  </si>
  <si>
    <t>Serviço de Fornecimento de Alimentação - Pessoa Jurídica</t>
  </si>
  <si>
    <t>Serviço de Limpeza e Conservação</t>
  </si>
  <si>
    <t>Serviço de Vigilância e/ou Segurança</t>
  </si>
  <si>
    <t>Serviços de Telecomunicações - (Telefonia Fixa - Ramais)</t>
  </si>
  <si>
    <t>Não</t>
  </si>
  <si>
    <t xml:space="preserve">Secundária </t>
  </si>
  <si>
    <t xml:space="preserve">Policlínica </t>
  </si>
  <si>
    <t>Material de Expediente</t>
  </si>
  <si>
    <t>Serviços de Cópias e Reprodução de Documentos</t>
  </si>
  <si>
    <t xml:space="preserve"> 10:49:00</t>
  </si>
  <si>
    <t>Serviços de Brigada de Incêndio</t>
  </si>
  <si>
    <t>Serviço de Água e Esgoto</t>
  </si>
  <si>
    <t xml:space="preserve">RESPONSÁVEL PELA UNIDADE: </t>
  </si>
  <si>
    <t>Anderson</t>
  </si>
  <si>
    <t xml:space="preserve">  10:50:00</t>
  </si>
  <si>
    <t xml:space="preserve">não </t>
  </si>
  <si>
    <t>Serviço de Coleta de Resíduos de Serviços de Saúde</t>
  </si>
  <si>
    <t>Primária</t>
  </si>
  <si>
    <t>CEILÂNDIA - UBS 11 (TIPO II)</t>
  </si>
  <si>
    <t>FLAVIO</t>
  </si>
  <si>
    <t>Material Odontológico</t>
  </si>
  <si>
    <t xml:space="preserve">BRAZLÂNDIA - UBS Nº 05 </t>
  </si>
  <si>
    <t>BRAZLÂNDIA - UBS 03</t>
  </si>
  <si>
    <t xml:space="preserve">  14:42:00</t>
  </si>
  <si>
    <t xml:space="preserve"> CEILÂNDIA - UBS 18</t>
  </si>
  <si>
    <t xml:space="preserve">  14:35:00</t>
  </si>
  <si>
    <t xml:space="preserve"> BRAZLÂNDIA - UBS Nº 07</t>
  </si>
  <si>
    <t xml:space="preserve"> 14:43:00</t>
  </si>
  <si>
    <t>CEILÂNDIA - UBS 14</t>
  </si>
  <si>
    <t xml:space="preserve">SIM </t>
  </si>
  <si>
    <t xml:space="preserve">CEILÂNDIA - UBS 13 </t>
  </si>
  <si>
    <t xml:space="preserve">  14:44:00</t>
  </si>
  <si>
    <t xml:space="preserve">BRAZLÂNDIA - UBS Nº 01 </t>
  </si>
  <si>
    <t xml:space="preserve">  14:45:00</t>
  </si>
  <si>
    <t>BRAZLÂNDIA - UBS 02 (TIPOII)</t>
  </si>
  <si>
    <t xml:space="preserve">  14:46:00</t>
  </si>
  <si>
    <t>RELATÓRIO ANALÍTICO - RESULTADO DO IMD 2022</t>
  </si>
  <si>
    <t>CEILÂNDIA - UBS 09 (TIPO II)</t>
  </si>
  <si>
    <t xml:space="preserve">  14:47:00</t>
  </si>
  <si>
    <t>CEILÂNDIA - UBS 08 (TIPO II)</t>
  </si>
  <si>
    <t>BRAZLÂNDIA - UBS 04</t>
  </si>
  <si>
    <t>CEILÂNDIA - UBS 17</t>
  </si>
  <si>
    <t xml:space="preserve">  14:53:00</t>
  </si>
  <si>
    <t xml:space="preserve"> CEILÂNDIA - UBS 03 (TIPO II)</t>
  </si>
  <si>
    <t xml:space="preserve"> 14:53:00</t>
  </si>
  <si>
    <t>BRAZLÂNDIA - UBS 08</t>
  </si>
  <si>
    <t xml:space="preserve"> Flávio</t>
  </si>
  <si>
    <t xml:space="preserve">  14:54:00</t>
  </si>
  <si>
    <t>BRAZLÂNDIA - UBS 09</t>
  </si>
  <si>
    <t>Flávio</t>
  </si>
  <si>
    <t>UBS 05 - Ceilândia</t>
  </si>
  <si>
    <t>UBS 10 - Ceilândia</t>
  </si>
  <si>
    <t xml:space="preserve">  14:56:00</t>
  </si>
  <si>
    <t>UBS 12 - Ceilândia</t>
  </si>
  <si>
    <t xml:space="preserve">  18:57:00</t>
  </si>
  <si>
    <t>UBS 06 - Brazlândia</t>
  </si>
  <si>
    <t xml:space="preserve">  15:03:00</t>
  </si>
  <si>
    <t>HRBZ ATUAL</t>
  </si>
  <si>
    <t>Inserção dos custos com pessoal no APURASUS
0 - Utilizando filtro do SIGRH
1 - Utilizando escalas de ponto
2 - RH Segregrado</t>
  </si>
  <si>
    <t>Material de consumo</t>
  </si>
  <si>
    <t>Inserção dos custos de materiais no APURASUS
0 - Nenhum preenchimento
1 - Inserção parcial dos itens obrigatórios de materiais
2 - Inserção de todos os itens obrigatórios de materiais, á saber: 
     a) medicamentos; 
     b) laboratório;
     c) material médico hospitalar; 
     d) combustível;
     e) material de expediente e,
     f) gases medicinais.</t>
  </si>
  <si>
    <t>Inserção dos custos com serviços de terceiros
0 - Nenhum preenchimento
1 - Inserção parcial dos itens obrigatórios de materiais
2 - Inserção de todos os itens obrigatórios de terceiros, á saber: 
    a) Serviço de Esterilização de Materiais;
    b) Serviço de Manutenção e Conservação de Máquinas e Equipamentos;
    c) Serviço de Fornecimento de Alimentação - Pessoa Jurídica;
    d) Serviço de Limpeza e Conservação; e,
    e) Serviço de Vigilância e/ou Segurança.</t>
  </si>
  <si>
    <t>Inserção dos custos com despesas gerais:
0 - Nenhum preenchimento
1 - Inserção parcial dos itens obrigatórios de materiais
2 - Inserção de todos os itens obrigatórios de despesas gerais, á saber: 
    a) Serviços de Água e Esgoto;
    b) Serviços de Energia Elétrica; e,
    c) Serviços de Telecomunicações - (Telefonia Fixa - Ramais).</t>
  </si>
  <si>
    <t>HRC ATUAL</t>
  </si>
  <si>
    <t>Inserção dos custos de materiais no APURASUS
0 - Nenhum preenchimento
1 - Inserção parcial dos itens obrigatórios de materiais
2 - Inserção de todos os itens obrigatórios de materiais, á saber: 
     a) Combustíveis e Lubrificantes Automotivos; 
     b) Gases Medicinais;
     c) Material de Expediente;
     d) Material Laboratorial;
     e) Material Médico-Hospitalar; e,
     f) Medicamentos.</t>
  </si>
  <si>
    <t>Inserção dos custos com serviços de terceiros
0 - Nenhum preenchimento
1 - Inserção parcial dos itens obrigatórios de materiais
2 - Inserção de todos os itens obrigatórios de terceiros, á saber: 
    a) Serviço de Esterilização de Materiais;  
    b) Serviço de Manutenção e Conservação de Máquinas e Equipamentos;
    c) Serviço de Fornecimento de Alimentação - Pessoa Jurídica;.
    d) Serviço de Limpeza e Conservação; e,
    e) Serviço de Vigilância e/ou Segurança.</t>
  </si>
  <si>
    <t>SOL NASCENTE - UBS 15 (TIPO II)</t>
  </si>
  <si>
    <t xml:space="preserve">  14:48:00</t>
  </si>
  <si>
    <t>CEILÂNDIA - UBS 01 (TIPO II)</t>
  </si>
  <si>
    <t>SOL NASCENTE- UBS 16 (TIPO II)</t>
  </si>
  <si>
    <t xml:space="preserve"> 14:49:00</t>
  </si>
  <si>
    <t>CEILÂNDIA - UBS 02  (TIPO II)</t>
  </si>
  <si>
    <t xml:space="preserve">  14:49:00</t>
  </si>
  <si>
    <t>CEILÂNDIA - UBS 07 (TIPO II)</t>
  </si>
  <si>
    <t>MAURO</t>
  </si>
  <si>
    <t xml:space="preserve">  14:50:00</t>
  </si>
  <si>
    <t>CEILÂNDIA - UBS 06 (TIPO II)</t>
  </si>
  <si>
    <t xml:space="preserve">  14:51:00</t>
  </si>
  <si>
    <t xml:space="preserve">CEILÂNDIA - UBS 04 </t>
  </si>
  <si>
    <t>Matriz não está sendo validada nesse ano de 2023.</t>
  </si>
  <si>
    <t>*material de consumo* não apontado no relatar movimentação.</t>
  </si>
  <si>
    <t>RELATÓRIO ANALÍTICO - RESULTADO DO IMD 2023</t>
  </si>
  <si>
    <t>UBS</t>
  </si>
  <si>
    <t>Unidade não possui ESB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</si>
</sst>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"/>
    <numFmt numFmtId="165" formatCode="[$-416]d/m/yyyy"/>
    <numFmt numFmtId="166" formatCode="[$-F400]h:mm:ss\ AM/PM"/>
    <numFmt numFmtId="167" formatCode="yyyy\-mm\-dd\ h:mm:ss"/>
  </numFmts>
  <fonts count="62" x14ac:knownFonts="1">
    <font>
      <sz val="11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2"/>
      <color rgb="FF3A3838"/>
      <name val="Gadugi"/>
      <family val="2"/>
    </font>
    <font>
      <b/>
      <sz val="8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8"/>
      <color rgb="FFD8D8D8"/>
      <name val="Calibri"/>
      <family val="2"/>
    </font>
    <font>
      <sz val="10"/>
      <color rgb="FF3A3838"/>
      <name val="Calibri"/>
      <family val="2"/>
    </font>
    <font>
      <b/>
      <sz val="11"/>
      <color rgb="FF000099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FF0000"/>
      <name val="Calibri"/>
      <family val="2"/>
    </font>
    <font>
      <b/>
      <sz val="28"/>
      <color rgb="FF000000"/>
      <name val="Arial"/>
      <family val="2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66"/>
      <name val="Calibri"/>
      <family val="2"/>
      <charset val="1"/>
    </font>
    <font>
      <i/>
      <sz val="8"/>
      <color rgb="FF00009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sz val="10"/>
      <color rgb="FF000000"/>
      <name val="Arial"/>
      <family val="2"/>
    </font>
    <font>
      <sz val="11"/>
      <color rgb="FFFFFFFF"/>
      <name val="Arial"/>
      <family val="2"/>
      <charset val="1"/>
    </font>
    <font>
      <i/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color rgb="FF0000FF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.5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20"/>
      <color theme="0" tint="-0.1499984740745262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8"/>
      <color theme="4" tint="-0.249977111117893"/>
      <name val="Calibri"/>
      <family val="2"/>
      <scheme val="minor"/>
    </font>
    <font>
      <sz val="28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D8D8D8"/>
        <bgColor rgb="FFD9D9D9"/>
      </patternFill>
    </fill>
    <fill>
      <patternFill patternType="solid">
        <fgColor rgb="FFBFBFBF"/>
        <bgColor rgb="FFB7B7B7"/>
      </patternFill>
    </fill>
    <fill>
      <patternFill patternType="solid">
        <fgColor rgb="FFA5A5A5"/>
        <bgColor rgb="FFB7B7B7"/>
      </patternFill>
    </fill>
    <fill>
      <patternFill patternType="solid">
        <fgColor rgb="FFFF9999"/>
        <bgColor rgb="FFF8CBAD"/>
      </patternFill>
    </fill>
    <fill>
      <patternFill patternType="solid">
        <fgColor rgb="FFDEEAF6"/>
        <bgColor rgb="FFD9E2F3"/>
      </patternFill>
    </fill>
    <fill>
      <patternFill patternType="solid">
        <fgColor rgb="FFFFFFFF"/>
        <bgColor rgb="FFFFF2CC"/>
      </patternFill>
    </fill>
    <fill>
      <patternFill patternType="solid">
        <fgColor rgb="FFFEF2CB"/>
        <bgColor rgb="FFFFF2CC"/>
      </patternFill>
    </fill>
    <fill>
      <patternFill patternType="solid">
        <fgColor rgb="FFD9E2F3"/>
        <bgColor rgb="FFDEEAF6"/>
      </patternFill>
    </fill>
    <fill>
      <patternFill patternType="solid">
        <fgColor rgb="FFD9D9D9"/>
        <bgColor rgb="FFD8D8D8"/>
      </patternFill>
    </fill>
    <fill>
      <patternFill patternType="solid">
        <fgColor rgb="FFFFF2CC"/>
        <bgColor rgb="FFFEF2CB"/>
      </patternFill>
    </fill>
    <fill>
      <patternFill patternType="solid">
        <fgColor rgb="FF3F3F3F"/>
        <bgColor rgb="FF3A3838"/>
      </patternFill>
    </fill>
    <fill>
      <patternFill patternType="solid">
        <fgColor rgb="FFC5E0B3"/>
        <bgColor rgb="FFC6EFCE"/>
      </patternFill>
    </fill>
    <fill>
      <patternFill patternType="solid">
        <fgColor rgb="FFBDD7EE"/>
        <bgColor rgb="FFD8D8D8"/>
      </patternFill>
    </fill>
    <fill>
      <patternFill patternType="solid">
        <fgColor rgb="FFF8CBAD"/>
        <bgColor rgb="FFFFC7CE"/>
      </patternFill>
    </fill>
    <fill>
      <patternFill patternType="solid">
        <fgColor rgb="FF7F7F7F"/>
        <bgColor rgb="FF757575"/>
      </patternFill>
    </fill>
    <fill>
      <patternFill patternType="solid">
        <fgColor rgb="FFC5E0B3"/>
        <bgColor rgb="FFBDD7EE"/>
      </patternFill>
    </fill>
    <fill>
      <patternFill patternType="solid">
        <fgColor rgb="FF3F3F3F"/>
        <bgColor rgb="FF53575C"/>
      </patternFill>
    </fill>
    <fill>
      <patternFill patternType="solid">
        <fgColor rgb="FF7F7F7F"/>
        <bgColor rgb="FF969696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Trellis"/>
    </fill>
    <fill>
      <patternFill patternType="solid">
        <fgColor indexed="65"/>
        <bgColor indexed="64"/>
      </patternFill>
    </fill>
    <fill>
      <patternFill patternType="lightUp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/>
    </fill>
  </fills>
  <borders count="8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rgb="FF003300"/>
      </top>
      <bottom style="hair">
        <color rgb="FF0033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3300"/>
      </left>
      <right style="medium">
        <color rgb="FF003300"/>
      </right>
      <top style="medium">
        <color rgb="FF003300"/>
      </top>
      <bottom style="hair">
        <color rgb="FF003300"/>
      </bottom>
      <diagonal/>
    </border>
    <border>
      <left style="medium">
        <color rgb="FF003300"/>
      </left>
      <right style="medium">
        <color rgb="FF003300"/>
      </right>
      <top style="hair">
        <color rgb="FF003300"/>
      </top>
      <bottom style="hair">
        <color rgb="FF003300"/>
      </bottom>
      <diagonal/>
    </border>
    <border>
      <left/>
      <right style="medium">
        <color rgb="FF003300"/>
      </right>
      <top/>
      <bottom/>
      <diagonal/>
    </border>
    <border>
      <left style="medium">
        <color rgb="FF003300"/>
      </left>
      <right style="medium">
        <color rgb="FF003300"/>
      </right>
      <top style="hair">
        <color rgb="FF003300"/>
      </top>
      <bottom style="medium">
        <color rgb="FF003300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rgb="FF003300"/>
      </top>
      <bottom style="hair">
        <color rgb="FF003300"/>
      </bottom>
      <diagonal/>
    </border>
    <border>
      <left/>
      <right style="medium">
        <color rgb="FF003300"/>
      </right>
      <top style="medium">
        <color rgb="FF003300"/>
      </top>
      <bottom style="hair">
        <color rgb="FF003300"/>
      </bottom>
      <diagonal/>
    </border>
    <border>
      <left/>
      <right/>
      <top style="hair">
        <color rgb="FF003300"/>
      </top>
      <bottom style="hair">
        <color rgb="FF003300"/>
      </bottom>
      <diagonal/>
    </border>
    <border>
      <left/>
      <right style="medium">
        <color rgb="FF003300"/>
      </right>
      <top style="hair">
        <color rgb="FF003300"/>
      </top>
      <bottom style="hair">
        <color rgb="FF003300"/>
      </bottom>
      <diagonal/>
    </border>
    <border>
      <left/>
      <right/>
      <top style="hair">
        <color rgb="FF003300"/>
      </top>
      <bottom style="medium">
        <color rgb="FF003300"/>
      </bottom>
      <diagonal/>
    </border>
    <border>
      <left/>
      <right style="medium">
        <color rgb="FF003300"/>
      </right>
      <top style="hair">
        <color rgb="FF003300"/>
      </top>
      <bottom style="medium">
        <color rgb="FF003300"/>
      </bottom>
      <diagonal/>
    </border>
    <border>
      <left/>
      <right style="medium">
        <color rgb="FF003300"/>
      </right>
      <top/>
      <bottom style="hair">
        <color rgb="FF003300"/>
      </bottom>
      <diagonal/>
    </border>
    <border>
      <left/>
      <right/>
      <top/>
      <bottom style="hair">
        <color rgb="FF003300"/>
      </bottom>
      <diagonal/>
    </border>
    <border>
      <left style="medium">
        <color rgb="FF003300"/>
      </left>
      <right style="medium">
        <color rgb="FF003300"/>
      </right>
      <top/>
      <bottom style="hair">
        <color rgb="FF003300"/>
      </bottom>
      <diagonal/>
    </border>
    <border>
      <left style="medium">
        <color indexed="64"/>
      </left>
      <right style="medium">
        <color rgb="FF003300"/>
      </right>
      <top style="medium">
        <color indexed="64"/>
      </top>
      <bottom style="hair">
        <color rgb="FF003300"/>
      </bottom>
      <diagonal/>
    </border>
    <border>
      <left/>
      <right/>
      <top style="medium">
        <color indexed="64"/>
      </top>
      <bottom style="hair">
        <color rgb="FF003300"/>
      </bottom>
      <diagonal/>
    </border>
    <border>
      <left/>
      <right style="medium">
        <color rgb="FF003300"/>
      </right>
      <top style="medium">
        <color indexed="64"/>
      </top>
      <bottom style="hair">
        <color rgb="FF0033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3300"/>
      </right>
      <top/>
      <bottom style="hair">
        <color rgb="FF003300"/>
      </bottom>
      <diagonal/>
    </border>
    <border>
      <left style="medium">
        <color indexed="64"/>
      </left>
      <right style="medium">
        <color rgb="FF003300"/>
      </right>
      <top style="hair">
        <color rgb="FF003300"/>
      </top>
      <bottom style="hair">
        <color rgb="FF003300"/>
      </bottom>
      <diagonal/>
    </border>
    <border>
      <left style="medium">
        <color indexed="64"/>
      </left>
      <right style="medium">
        <color rgb="FF003300"/>
      </right>
      <top style="hair">
        <color rgb="FF003300"/>
      </top>
      <bottom style="medium">
        <color indexed="64"/>
      </bottom>
      <diagonal/>
    </border>
    <border>
      <left/>
      <right/>
      <top style="hair">
        <color rgb="FF003300"/>
      </top>
      <bottom style="medium">
        <color indexed="64"/>
      </bottom>
      <diagonal/>
    </border>
    <border>
      <left/>
      <right style="medium">
        <color rgb="FF003300"/>
      </right>
      <top style="hair">
        <color rgb="FF003300"/>
      </top>
      <bottom style="medium">
        <color indexed="64"/>
      </bottom>
      <diagonal/>
    </border>
    <border>
      <left/>
      <right style="medium">
        <color rgb="FF003300"/>
      </right>
      <top/>
      <bottom style="medium">
        <color rgb="FF003300"/>
      </bottom>
      <diagonal/>
    </border>
    <border>
      <left/>
      <right/>
      <top/>
      <bottom style="medium">
        <color rgb="FF0033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rgb="FF003300"/>
      </top>
      <bottom style="hair">
        <color rgb="FF0033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5">
    <xf numFmtId="0" fontId="0" fillId="0" borderId="0"/>
    <xf numFmtId="0" fontId="54" fillId="0" borderId="0"/>
    <xf numFmtId="0" fontId="5" fillId="0" borderId="0"/>
    <xf numFmtId="0" fontId="5" fillId="0" borderId="0"/>
    <xf numFmtId="0" fontId="4" fillId="0" borderId="0"/>
    <xf numFmtId="9" fontId="4" fillId="0" borderId="0"/>
    <xf numFmtId="0" fontId="54" fillId="0" borderId="0"/>
    <xf numFmtId="43" fontId="54" fillId="0" borderId="0"/>
    <xf numFmtId="0" fontId="4" fillId="0" borderId="0"/>
    <xf numFmtId="0" fontId="54" fillId="0" borderId="0"/>
    <xf numFmtId="0" fontId="54" fillId="0" borderId="0"/>
    <xf numFmtId="0" fontId="56" fillId="0" borderId="0"/>
    <xf numFmtId="9" fontId="54" fillId="0" borderId="0"/>
    <xf numFmtId="0" fontId="4" fillId="0" borderId="0"/>
    <xf numFmtId="0" fontId="54" fillId="0" borderId="0"/>
  </cellStyleXfs>
  <cellXfs count="477">
    <xf numFmtId="0" fontId="0" fillId="0" borderId="0" xfId="0"/>
    <xf numFmtId="0" fontId="6" fillId="2" borderId="0" xfId="0" applyFont="1" applyFill="1"/>
    <xf numFmtId="0" fontId="7" fillId="2" borderId="0" xfId="0" applyFont="1" applyFill="1"/>
    <xf numFmtId="9" fontId="7" fillId="0" borderId="0" xfId="0" applyNumberFormat="1" applyFont="1"/>
    <xf numFmtId="0" fontId="7" fillId="0" borderId="0" xfId="0" applyFont="1"/>
    <xf numFmtId="0" fontId="12" fillId="2" borderId="0" xfId="0" applyFont="1" applyFill="1"/>
    <xf numFmtId="0" fontId="13" fillId="2" borderId="0" xfId="0" applyFont="1" applyFill="1"/>
    <xf numFmtId="1" fontId="15" fillId="3" borderId="13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1" fontId="15" fillId="4" borderId="17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textRotation="90" wrapText="1"/>
    </xf>
    <xf numFmtId="0" fontId="19" fillId="2" borderId="0" xfId="0" applyFont="1" applyFill="1"/>
    <xf numFmtId="0" fontId="7" fillId="2" borderId="0" xfId="0" applyFont="1" applyFill="1" applyAlignment="1">
      <alignment wrapText="1"/>
    </xf>
    <xf numFmtId="0" fontId="17" fillId="4" borderId="13" xfId="0" applyFont="1" applyFill="1" applyBorder="1" applyAlignment="1">
      <alignment horizontal="center" vertical="center" wrapText="1"/>
    </xf>
    <xf numFmtId="2" fontId="16" fillId="5" borderId="18" xfId="0" applyNumberFormat="1" applyFont="1" applyFill="1" applyBorder="1" applyAlignment="1">
      <alignment horizontal="center" vertical="center" textRotation="90" wrapText="1"/>
    </xf>
    <xf numFmtId="9" fontId="15" fillId="5" borderId="10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9" fontId="7" fillId="0" borderId="2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2" fontId="21" fillId="5" borderId="18" xfId="0" applyNumberFormat="1" applyFont="1" applyFill="1" applyBorder="1" applyAlignment="1">
      <alignment horizontal="center" vertical="center"/>
    </xf>
    <xf numFmtId="164" fontId="20" fillId="0" borderId="0" xfId="0" applyNumberFormat="1" applyFont="1"/>
    <xf numFmtId="9" fontId="15" fillId="10" borderId="26" xfId="0" applyNumberFormat="1" applyFont="1" applyFill="1" applyBorder="1" applyAlignment="1">
      <alignment horizontal="center" vertical="center"/>
    </xf>
    <xf numFmtId="9" fontId="7" fillId="3" borderId="26" xfId="0" applyNumberFormat="1" applyFont="1" applyFill="1" applyBorder="1" applyAlignment="1">
      <alignment horizontal="center" vertical="center"/>
    </xf>
    <xf numFmtId="9" fontId="7" fillId="3" borderId="27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 wrapText="1"/>
    </xf>
    <xf numFmtId="0" fontId="7" fillId="8" borderId="10" xfId="0" applyFont="1" applyFill="1" applyBorder="1" applyAlignment="1">
      <alignment horizontal="center" wrapText="1"/>
    </xf>
    <xf numFmtId="9" fontId="7" fillId="0" borderId="30" xfId="0" applyNumberFormat="1" applyFont="1" applyBorder="1" applyAlignment="1">
      <alignment horizontal="center" vertical="center"/>
    </xf>
    <xf numFmtId="164" fontId="7" fillId="11" borderId="30" xfId="0" applyNumberFormat="1" applyFont="1" applyFill="1" applyBorder="1" applyAlignment="1">
      <alignment horizontal="center" vertical="center"/>
    </xf>
    <xf numFmtId="9" fontId="7" fillId="3" borderId="31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10" xfId="0" applyFont="1" applyBorder="1" applyAlignment="1">
      <alignment horizontal="left" vertical="center"/>
    </xf>
    <xf numFmtId="0" fontId="6" fillId="2" borderId="0" xfId="0" applyFont="1" applyFill="1" applyAlignment="1">
      <alignment horizontal="right"/>
    </xf>
    <xf numFmtId="1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/>
    <xf numFmtId="164" fontId="7" fillId="12" borderId="10" xfId="0" applyNumberFormat="1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0" xfId="0" applyFont="1" applyBorder="1" applyAlignment="1">
      <alignment wrapText="1"/>
    </xf>
    <xf numFmtId="0" fontId="15" fillId="0" borderId="0" xfId="0" applyFont="1" applyAlignment="1">
      <alignment horizontal="center"/>
    </xf>
    <xf numFmtId="9" fontId="22" fillId="4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9" fontId="24" fillId="7" borderId="34" xfId="0" applyNumberFormat="1" applyFont="1" applyFill="1" applyBorder="1" applyAlignment="1">
      <alignment horizontal="center" vertical="center" wrapText="1"/>
    </xf>
    <xf numFmtId="0" fontId="24" fillId="7" borderId="3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9" fontId="25" fillId="4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2" fontId="7" fillId="0" borderId="3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8" fillId="0" borderId="0" xfId="1" applyFont="1"/>
    <xf numFmtId="0" fontId="32" fillId="13" borderId="21" xfId="1" applyFont="1" applyFill="1" applyBorder="1"/>
    <xf numFmtId="0" fontId="32" fillId="13" borderId="10" xfId="1" applyFont="1" applyFill="1" applyBorder="1" applyAlignment="1">
      <alignment horizontal="center" vertical="center"/>
    </xf>
    <xf numFmtId="0" fontId="32" fillId="13" borderId="0" xfId="2" applyFont="1" applyFill="1" applyAlignment="1">
      <alignment horizontal="center" vertical="center"/>
    </xf>
    <xf numFmtId="0" fontId="28" fillId="0" borderId="0" xfId="2" applyFont="1" applyAlignment="1">
      <alignment horizontal="center"/>
    </xf>
    <xf numFmtId="0" fontId="28" fillId="14" borderId="0" xfId="1" applyFont="1" applyFill="1"/>
    <xf numFmtId="0" fontId="5" fillId="14" borderId="40" xfId="1" applyFont="1" applyFill="1" applyBorder="1"/>
    <xf numFmtId="0" fontId="5" fillId="0" borderId="10" xfId="1" applyFont="1" applyBorder="1"/>
    <xf numFmtId="165" fontId="34" fillId="0" borderId="10" xfId="0" applyNumberFormat="1" applyFont="1" applyBorder="1" applyAlignment="1">
      <alignment horizontal="center"/>
    </xf>
    <xf numFmtId="166" fontId="34" fillId="0" borderId="10" xfId="0" applyNumberFormat="1" applyFont="1" applyBorder="1" applyAlignment="1">
      <alignment horizontal="center"/>
    </xf>
    <xf numFmtId="0" fontId="28" fillId="15" borderId="10" xfId="1" applyFont="1" applyFill="1" applyBorder="1" applyAlignment="1">
      <alignment horizontal="center"/>
    </xf>
    <xf numFmtId="0" fontId="5" fillId="0" borderId="25" xfId="1" applyFont="1" applyBorder="1"/>
    <xf numFmtId="0" fontId="5" fillId="0" borderId="40" xfId="1" applyFont="1" applyBorder="1"/>
    <xf numFmtId="0" fontId="28" fillId="16" borderId="10" xfId="1" applyFont="1" applyFill="1" applyBorder="1" applyAlignment="1">
      <alignment horizontal="center"/>
    </xf>
    <xf numFmtId="0" fontId="5" fillId="14" borderId="0" xfId="1" applyFont="1" applyFill="1"/>
    <xf numFmtId="0" fontId="5" fillId="0" borderId="21" xfId="1" applyFont="1" applyBorder="1"/>
    <xf numFmtId="0" fontId="5" fillId="0" borderId="21" xfId="1" applyFont="1" applyBorder="1" applyAlignment="1">
      <alignment wrapText="1"/>
    </xf>
    <xf numFmtId="0" fontId="0" fillId="0" borderId="18" xfId="1" applyFont="1" applyBorder="1"/>
    <xf numFmtId="0" fontId="5" fillId="0" borderId="40" xfId="1" applyFont="1" applyBorder="1" applyAlignment="1">
      <alignment wrapText="1"/>
    </xf>
    <xf numFmtId="0" fontId="32" fillId="13" borderId="0" xfId="1" applyFont="1" applyFill="1" applyAlignment="1">
      <alignment horizontal="center" vertical="center"/>
    </xf>
    <xf numFmtId="0" fontId="36" fillId="0" borderId="0" xfId="1" applyFont="1"/>
    <xf numFmtId="0" fontId="5" fillId="0" borderId="42" xfId="1" applyFont="1" applyBorder="1" applyAlignment="1">
      <alignment vertical="top" wrapText="1"/>
    </xf>
    <xf numFmtId="0" fontId="5" fillId="0" borderId="43" xfId="1" applyFont="1" applyBorder="1" applyAlignment="1">
      <alignment vertical="top" wrapText="1"/>
    </xf>
    <xf numFmtId="0" fontId="5" fillId="0" borderId="44" xfId="1" applyFont="1" applyBorder="1" applyAlignment="1">
      <alignment vertical="top" wrapText="1"/>
    </xf>
    <xf numFmtId="0" fontId="5" fillId="0" borderId="0" xfId="1" applyFont="1" applyAlignment="1">
      <alignment vertical="top" wrapText="1"/>
    </xf>
    <xf numFmtId="0" fontId="32" fillId="13" borderId="40" xfId="1" applyFont="1" applyFill="1" applyBorder="1"/>
    <xf numFmtId="0" fontId="5" fillId="0" borderId="45" xfId="1" applyFont="1" applyBorder="1"/>
    <xf numFmtId="0" fontId="28" fillId="15" borderId="10" xfId="2" applyFont="1" applyFill="1" applyBorder="1" applyAlignment="1">
      <alignment horizontal="center"/>
    </xf>
    <xf numFmtId="0" fontId="5" fillId="0" borderId="10" xfId="2" applyBorder="1"/>
    <xf numFmtId="0" fontId="5" fillId="0" borderId="10" xfId="1" applyFont="1" applyBorder="1" applyAlignment="1">
      <alignment horizontal="center" vertical="center"/>
    </xf>
    <xf numFmtId="0" fontId="5" fillId="0" borderId="22" xfId="1" applyFont="1" applyBorder="1"/>
    <xf numFmtId="165" fontId="7" fillId="0" borderId="10" xfId="0" applyNumberFormat="1" applyFont="1" applyBorder="1" applyAlignment="1">
      <alignment horizontal="center"/>
    </xf>
    <xf numFmtId="166" fontId="7" fillId="0" borderId="29" xfId="0" applyNumberFormat="1" applyFont="1" applyBorder="1" applyAlignment="1">
      <alignment horizontal="center"/>
    </xf>
    <xf numFmtId="49" fontId="7" fillId="0" borderId="29" xfId="0" applyNumberFormat="1" applyFont="1" applyBorder="1" applyAlignment="1">
      <alignment horizontal="center"/>
    </xf>
    <xf numFmtId="0" fontId="28" fillId="16" borderId="19" xfId="1" applyFont="1" applyFill="1" applyBorder="1" applyAlignment="1">
      <alignment horizontal="center" vertical="center"/>
    </xf>
    <xf numFmtId="165" fontId="5" fillId="0" borderId="10" xfId="1" applyNumberFormat="1" applyFont="1" applyBorder="1" applyAlignment="1">
      <alignment horizontal="center"/>
    </xf>
    <xf numFmtId="166" fontId="5" fillId="0" borderId="29" xfId="1" applyNumberFormat="1" applyFont="1" applyBorder="1" applyAlignment="1">
      <alignment horizontal="center"/>
    </xf>
    <xf numFmtId="0" fontId="5" fillId="0" borderId="16" xfId="1" applyFont="1" applyBorder="1"/>
    <xf numFmtId="0" fontId="5" fillId="0" borderId="20" xfId="1" applyFont="1" applyBorder="1"/>
    <xf numFmtId="0" fontId="0" fillId="0" borderId="48" xfId="1" applyFont="1" applyBorder="1"/>
    <xf numFmtId="0" fontId="28" fillId="0" borderId="0" xfId="3" applyFont="1" applyAlignment="1">
      <alignment horizontal="center" vertical="center" textRotation="90" wrapText="1"/>
    </xf>
    <xf numFmtId="0" fontId="37" fillId="0" borderId="0" xfId="3" applyFont="1" applyAlignment="1">
      <alignment horizontal="center" vertical="center" wrapText="1"/>
    </xf>
    <xf numFmtId="0" fontId="5" fillId="0" borderId="0" xfId="3" applyAlignment="1">
      <alignment horizontal="left" vertical="center" wrapText="1"/>
    </xf>
    <xf numFmtId="0" fontId="38" fillId="0" borderId="0" xfId="3" applyFont="1" applyAlignment="1">
      <alignment vertical="center"/>
    </xf>
    <xf numFmtId="0" fontId="37" fillId="7" borderId="10" xfId="3" applyFont="1" applyFill="1" applyBorder="1" applyAlignment="1">
      <alignment horizontal="center" vertical="center" wrapText="1"/>
    </xf>
    <xf numFmtId="0" fontId="5" fillId="0" borderId="10" xfId="3" applyBorder="1" applyAlignment="1">
      <alignment horizontal="left" vertical="center" wrapText="1"/>
    </xf>
    <xf numFmtId="0" fontId="27" fillId="0" borderId="0" xfId="3" applyFont="1" applyAlignment="1">
      <alignment horizontal="center" vertical="center" textRotation="90" wrapText="1"/>
    </xf>
    <xf numFmtId="0" fontId="5" fillId="18" borderId="10" xfId="1" applyFont="1" applyFill="1" applyBorder="1" applyAlignment="1">
      <alignment horizontal="center" vertical="center"/>
    </xf>
    <xf numFmtId="0" fontId="32" fillId="19" borderId="10" xfId="1" applyFont="1" applyFill="1" applyBorder="1" applyAlignment="1">
      <alignment horizontal="center" vertical="center"/>
    </xf>
    <xf numFmtId="0" fontId="35" fillId="20" borderId="10" xfId="1" applyFont="1" applyFill="1" applyBorder="1" applyAlignment="1">
      <alignment horizontal="center" vertical="center"/>
    </xf>
    <xf numFmtId="0" fontId="4" fillId="0" borderId="0" xfId="4" applyAlignment="1">
      <alignment horizontal="left"/>
    </xf>
    <xf numFmtId="1" fontId="0" fillId="0" borderId="0" xfId="5" applyNumberFormat="1" applyFont="1"/>
    <xf numFmtId="0" fontId="44" fillId="21" borderId="0" xfId="4" applyFont="1" applyFill="1"/>
    <xf numFmtId="9" fontId="0" fillId="21" borderId="0" xfId="5" applyFont="1" applyFill="1"/>
    <xf numFmtId="9" fontId="45" fillId="21" borderId="0" xfId="5" applyFont="1" applyFill="1" applyAlignment="1">
      <alignment horizontal="center" vertical="center"/>
    </xf>
    <xf numFmtId="0" fontId="46" fillId="23" borderId="9" xfId="4" applyFont="1" applyFill="1" applyBorder="1" applyAlignment="1">
      <alignment horizontal="center" vertical="center"/>
    </xf>
    <xf numFmtId="0" fontId="47" fillId="24" borderId="8" xfId="4" applyFont="1" applyFill="1" applyBorder="1" applyAlignment="1">
      <alignment horizontal="center" vertical="center" wrapText="1"/>
    </xf>
    <xf numFmtId="0" fontId="45" fillId="21" borderId="0" xfId="4" applyFont="1" applyFill="1" applyAlignment="1">
      <alignment horizontal="center" vertical="center" wrapText="1"/>
    </xf>
    <xf numFmtId="10" fontId="45" fillId="23" borderId="6" xfId="5" applyNumberFormat="1" applyFont="1" applyFill="1" applyBorder="1" applyAlignment="1">
      <alignment horizontal="center" vertical="center"/>
    </xf>
    <xf numFmtId="0" fontId="49" fillId="24" borderId="5" xfId="4" applyFont="1" applyFill="1" applyBorder="1" applyAlignment="1">
      <alignment horizontal="center" vertical="center" wrapText="1"/>
    </xf>
    <xf numFmtId="0" fontId="50" fillId="21" borderId="0" xfId="4" applyFont="1" applyFill="1" applyAlignment="1">
      <alignment horizontal="center" vertical="center"/>
    </xf>
    <xf numFmtId="0" fontId="4" fillId="0" borderId="0" xfId="4"/>
    <xf numFmtId="9" fontId="51" fillId="21" borderId="0" xfId="5" applyFont="1" applyFill="1" applyAlignment="1">
      <alignment horizontal="center" vertical="center"/>
    </xf>
    <xf numFmtId="9" fontId="45" fillId="23" borderId="7" xfId="5" applyFont="1" applyFill="1" applyBorder="1" applyAlignment="1" applyProtection="1">
      <alignment horizontal="center" vertical="center"/>
      <protection locked="0"/>
    </xf>
    <xf numFmtId="9" fontId="45" fillId="23" borderId="6" xfId="5" applyFont="1" applyFill="1" applyBorder="1" applyAlignment="1" applyProtection="1">
      <alignment horizontal="center" vertical="center"/>
      <protection locked="0"/>
    </xf>
    <xf numFmtId="10" fontId="49" fillId="24" borderId="5" xfId="4" applyNumberFormat="1" applyFont="1" applyFill="1" applyBorder="1" applyAlignment="1">
      <alignment horizontal="center" vertical="center" wrapText="1"/>
    </xf>
    <xf numFmtId="0" fontId="52" fillId="21" borderId="0" xfId="4" applyFont="1" applyFill="1" applyAlignment="1">
      <alignment horizontal="center" vertical="center"/>
    </xf>
    <xf numFmtId="10" fontId="45" fillId="21" borderId="0" xfId="4" applyNumberFormat="1" applyFont="1" applyFill="1" applyAlignment="1">
      <alignment horizontal="center" vertical="center" wrapText="1"/>
    </xf>
    <xf numFmtId="0" fontId="48" fillId="24" borderId="4" xfId="4" applyFont="1" applyFill="1" applyBorder="1" applyAlignment="1">
      <alignment horizontal="center" vertical="center"/>
    </xf>
    <xf numFmtId="0" fontId="48" fillId="24" borderId="3" xfId="4" applyFont="1" applyFill="1" applyBorder="1" applyAlignment="1">
      <alignment horizontal="center" vertical="center"/>
    </xf>
    <xf numFmtId="0" fontId="43" fillId="21" borderId="0" xfId="4" applyFont="1" applyFill="1"/>
    <xf numFmtId="0" fontId="3" fillId="25" borderId="2" xfId="4" applyFont="1" applyFill="1" applyBorder="1" applyAlignment="1">
      <alignment horizontal="center" vertical="center"/>
    </xf>
    <xf numFmtId="0" fontId="32" fillId="20" borderId="10" xfId="1" applyFont="1" applyFill="1" applyBorder="1" applyAlignment="1">
      <alignment horizontal="center" vertical="center"/>
    </xf>
    <xf numFmtId="0" fontId="5" fillId="14" borderId="10" xfId="1" applyFont="1" applyFill="1" applyBorder="1" applyAlignment="1">
      <alignment horizontal="center" vertical="center"/>
    </xf>
    <xf numFmtId="0" fontId="32" fillId="17" borderId="10" xfId="1" applyFont="1" applyFill="1" applyBorder="1" applyAlignment="1">
      <alignment horizontal="center" vertical="center"/>
    </xf>
    <xf numFmtId="2" fontId="7" fillId="26" borderId="10" xfId="0" applyNumberFormat="1" applyFont="1" applyFill="1" applyBorder="1" applyAlignment="1">
      <alignment horizontal="center" vertical="center"/>
    </xf>
    <xf numFmtId="0" fontId="5" fillId="0" borderId="10" xfId="2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2" fontId="7" fillId="27" borderId="10" xfId="0" applyNumberFormat="1" applyFont="1" applyFill="1" applyBorder="1" applyAlignment="1">
      <alignment horizontal="center" vertical="center"/>
    </xf>
    <xf numFmtId="0" fontId="5" fillId="28" borderId="10" xfId="2" applyFill="1" applyBorder="1" applyAlignment="1">
      <alignment horizontal="center" vertical="center"/>
    </xf>
    <xf numFmtId="0" fontId="28" fillId="0" borderId="0" xfId="3" applyFont="1"/>
    <xf numFmtId="0" fontId="32" fillId="13" borderId="40" xfId="3" applyFont="1" applyFill="1" applyBorder="1"/>
    <xf numFmtId="0" fontId="32" fillId="13" borderId="0" xfId="3" applyFont="1" applyFill="1" applyAlignment="1">
      <alignment horizontal="center" vertical="center"/>
    </xf>
    <xf numFmtId="0" fontId="28" fillId="18" borderId="0" xfId="3" applyFont="1" applyFill="1"/>
    <xf numFmtId="0" fontId="5" fillId="14" borderId="0" xfId="3" applyFill="1"/>
    <xf numFmtId="0" fontId="5" fillId="18" borderId="10" xfId="3" applyFill="1" applyBorder="1" applyAlignment="1">
      <alignment horizontal="center" vertical="center"/>
    </xf>
    <xf numFmtId="0" fontId="5" fillId="0" borderId="45" xfId="3" applyBorder="1"/>
    <xf numFmtId="165" fontId="7" fillId="0" borderId="19" xfId="0" applyNumberFormat="1" applyFont="1" applyBorder="1" applyAlignment="1">
      <alignment horizontal="center"/>
    </xf>
    <xf numFmtId="166" fontId="7" fillId="0" borderId="20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0" fontId="5" fillId="0" borderId="10" xfId="3" applyBorder="1" applyAlignment="1">
      <alignment horizontal="center" vertical="center"/>
    </xf>
    <xf numFmtId="0" fontId="5" fillId="0" borderId="10" xfId="6" applyFont="1" applyBorder="1" applyAlignment="1">
      <alignment horizontal="center" vertical="center"/>
    </xf>
    <xf numFmtId="0" fontId="5" fillId="0" borderId="22" xfId="3" applyBorder="1"/>
    <xf numFmtId="0" fontId="5" fillId="0" borderId="50" xfId="1" applyFont="1" applyBorder="1"/>
    <xf numFmtId="165" fontId="5" fillId="0" borderId="10" xfId="0" applyNumberFormat="1" applyFont="1" applyBorder="1" applyAlignment="1">
      <alignment horizontal="center"/>
    </xf>
    <xf numFmtId="166" fontId="5" fillId="0" borderId="29" xfId="0" applyNumberFormat="1" applyFont="1" applyBorder="1" applyAlignment="1">
      <alignment horizontal="center"/>
    </xf>
    <xf numFmtId="0" fontId="5" fillId="0" borderId="40" xfId="3" applyBorder="1"/>
    <xf numFmtId="165" fontId="5" fillId="0" borderId="10" xfId="6" applyNumberFormat="1" applyFont="1" applyBorder="1" applyAlignment="1">
      <alignment horizontal="center"/>
    </xf>
    <xf numFmtId="166" fontId="5" fillId="0" borderId="29" xfId="6" applyNumberFormat="1" applyFont="1" applyBorder="1" applyAlignment="1">
      <alignment horizontal="center"/>
    </xf>
    <xf numFmtId="49" fontId="5" fillId="0" borderId="29" xfId="6" applyNumberFormat="1" applyFont="1" applyBorder="1" applyAlignment="1">
      <alignment horizontal="center"/>
    </xf>
    <xf numFmtId="165" fontId="5" fillId="0" borderId="10" xfId="3" applyNumberFormat="1" applyBorder="1" applyAlignment="1">
      <alignment horizontal="center"/>
    </xf>
    <xf numFmtId="166" fontId="5" fillId="0" borderId="29" xfId="3" applyNumberFormat="1" applyBorder="1" applyAlignment="1">
      <alignment horizontal="center"/>
    </xf>
    <xf numFmtId="49" fontId="5" fillId="0" borderId="29" xfId="3" applyNumberFormat="1" applyBorder="1" applyAlignment="1">
      <alignment horizontal="center"/>
    </xf>
    <xf numFmtId="0" fontId="5" fillId="0" borderId="25" xfId="3" applyBorder="1"/>
    <xf numFmtId="0" fontId="5" fillId="0" borderId="21" xfId="3" applyBorder="1"/>
    <xf numFmtId="0" fontId="32" fillId="19" borderId="10" xfId="3" applyFont="1" applyFill="1" applyBorder="1" applyAlignment="1">
      <alignment horizontal="center" vertical="center"/>
    </xf>
    <xf numFmtId="0" fontId="5" fillId="28" borderId="10" xfId="6" applyFont="1" applyFill="1" applyBorder="1" applyAlignment="1">
      <alignment horizontal="center" vertical="center"/>
    </xf>
    <xf numFmtId="0" fontId="32" fillId="20" borderId="10" xfId="3" applyFont="1" applyFill="1" applyBorder="1" applyAlignment="1">
      <alignment horizontal="center" vertical="center"/>
    </xf>
    <xf numFmtId="0" fontId="32" fillId="20" borderId="10" xfId="6" applyFont="1" applyFill="1" applyBorder="1" applyAlignment="1">
      <alignment horizontal="center" vertical="center"/>
    </xf>
    <xf numFmtId="0" fontId="5" fillId="17" borderId="10" xfId="3" applyFill="1" applyBorder="1" applyAlignment="1">
      <alignment horizontal="center" vertical="center"/>
    </xf>
    <xf numFmtId="0" fontId="36" fillId="0" borderId="0" xfId="3" applyFont="1"/>
    <xf numFmtId="0" fontId="44" fillId="29" borderId="29" xfId="0" applyFont="1" applyFill="1" applyBorder="1" applyAlignment="1" applyProtection="1">
      <alignment horizontal="center" vertical="center" wrapText="1"/>
      <protection locked="0"/>
    </xf>
    <xf numFmtId="0" fontId="44" fillId="29" borderId="21" xfId="0" applyFont="1" applyFill="1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" fontId="0" fillId="0" borderId="21" xfId="7" applyNumberFormat="1" applyFont="1" applyBorder="1" applyAlignment="1">
      <alignment horizontal="center" vertical="center"/>
    </xf>
    <xf numFmtId="0" fontId="2" fillId="0" borderId="0" xfId="8" applyFont="1"/>
    <xf numFmtId="0" fontId="36" fillId="0" borderId="0" xfId="9" applyFont="1"/>
    <xf numFmtId="0" fontId="5" fillId="17" borderId="10" xfId="9" applyFont="1" applyFill="1" applyBorder="1" applyAlignment="1">
      <alignment horizontal="center" vertical="center"/>
    </xf>
    <xf numFmtId="0" fontId="32" fillId="20" borderId="10" xfId="9" applyFont="1" applyFill="1" applyBorder="1" applyAlignment="1">
      <alignment horizontal="center" vertical="center"/>
    </xf>
    <xf numFmtId="0" fontId="32" fillId="20" borderId="10" xfId="10" applyFont="1" applyFill="1" applyBorder="1" applyAlignment="1">
      <alignment horizontal="center" vertical="center"/>
    </xf>
    <xf numFmtId="0" fontId="5" fillId="0" borderId="10" xfId="9" applyFont="1" applyBorder="1" applyAlignment="1">
      <alignment horizontal="center" vertical="center"/>
    </xf>
    <xf numFmtId="0" fontId="5" fillId="0" borderId="10" xfId="10" applyFont="1" applyBorder="1" applyAlignment="1">
      <alignment horizontal="center" vertical="center"/>
    </xf>
    <xf numFmtId="0" fontId="5" fillId="0" borderId="40" xfId="9" applyFont="1" applyBorder="1"/>
    <xf numFmtId="0" fontId="5" fillId="14" borderId="0" xfId="9" applyFont="1" applyFill="1"/>
    <xf numFmtId="0" fontId="5" fillId="0" borderId="21" xfId="9" applyFont="1" applyBorder="1"/>
    <xf numFmtId="0" fontId="5" fillId="0" borderId="25" xfId="9" applyFont="1" applyBorder="1"/>
    <xf numFmtId="0" fontId="32" fillId="13" borderId="10" xfId="9" applyFont="1" applyFill="1" applyBorder="1" applyAlignment="1">
      <alignment horizontal="center" vertical="center"/>
    </xf>
    <xf numFmtId="0" fontId="32" fillId="19" borderId="10" xfId="9" applyFont="1" applyFill="1" applyBorder="1" applyAlignment="1">
      <alignment horizontal="center" vertical="center"/>
    </xf>
    <xf numFmtId="0" fontId="32" fillId="19" borderId="10" xfId="10" applyFont="1" applyFill="1" applyBorder="1" applyAlignment="1">
      <alignment horizontal="center" vertical="center"/>
    </xf>
    <xf numFmtId="0" fontId="5" fillId="14" borderId="10" xfId="9" applyFont="1" applyFill="1" applyBorder="1" applyAlignment="1">
      <alignment horizontal="center" vertical="center"/>
    </xf>
    <xf numFmtId="0" fontId="5" fillId="18" borderId="10" xfId="9" applyFont="1" applyFill="1" applyBorder="1" applyAlignment="1">
      <alignment horizontal="center" vertical="center"/>
    </xf>
    <xf numFmtId="0" fontId="5" fillId="18" borderId="10" xfId="10" applyFont="1" applyFill="1" applyBorder="1" applyAlignment="1">
      <alignment horizontal="center" vertical="center"/>
    </xf>
    <xf numFmtId="0" fontId="28" fillId="14" borderId="0" xfId="9" applyFont="1" applyFill="1"/>
    <xf numFmtId="0" fontId="28" fillId="0" borderId="0" xfId="9" applyFont="1"/>
    <xf numFmtId="49" fontId="5" fillId="0" borderId="11" xfId="9" applyNumberFormat="1" applyFont="1" applyBorder="1" applyAlignment="1">
      <alignment horizontal="center"/>
    </xf>
    <xf numFmtId="166" fontId="5" fillId="0" borderId="11" xfId="9" applyNumberFormat="1" applyFont="1" applyBorder="1" applyAlignment="1">
      <alignment horizontal="center"/>
    </xf>
    <xf numFmtId="165" fontId="5" fillId="0" borderId="17" xfId="9" applyNumberFormat="1" applyFont="1" applyBorder="1" applyAlignment="1">
      <alignment horizontal="center"/>
    </xf>
    <xf numFmtId="0" fontId="5" fillId="0" borderId="16" xfId="9" applyFont="1" applyBorder="1"/>
    <xf numFmtId="165" fontId="5" fillId="0" borderId="10" xfId="9" applyNumberFormat="1" applyFont="1" applyBorder="1" applyAlignment="1">
      <alignment horizontal="center"/>
    </xf>
    <xf numFmtId="49" fontId="5" fillId="0" borderId="29" xfId="9" applyNumberFormat="1" applyFont="1" applyBorder="1" applyAlignment="1">
      <alignment horizontal="center"/>
    </xf>
    <xf numFmtId="166" fontId="5" fillId="0" borderId="29" xfId="9" applyNumberFormat="1" applyFont="1" applyBorder="1" applyAlignment="1">
      <alignment horizontal="center"/>
    </xf>
    <xf numFmtId="0" fontId="5" fillId="0" borderId="22" xfId="9" applyFont="1" applyBorder="1"/>
    <xf numFmtId="49" fontId="5" fillId="0" borderId="29" xfId="10" applyNumberFormat="1" applyFont="1" applyBorder="1" applyAlignment="1">
      <alignment horizontal="center"/>
    </xf>
    <xf numFmtId="166" fontId="5" fillId="0" borderId="29" xfId="10" applyNumberFormat="1" applyFont="1" applyBorder="1" applyAlignment="1">
      <alignment horizontal="center"/>
    </xf>
    <xf numFmtId="165" fontId="5" fillId="0" borderId="10" xfId="10" applyNumberFormat="1" applyFont="1" applyBorder="1" applyAlignment="1">
      <alignment horizontal="center"/>
    </xf>
    <xf numFmtId="0" fontId="5" fillId="0" borderId="10" xfId="11" applyFont="1" applyBorder="1"/>
    <xf numFmtId="0" fontId="28" fillId="16" borderId="10" xfId="11" applyFont="1" applyFill="1" applyBorder="1" applyAlignment="1">
      <alignment horizontal="center"/>
    </xf>
    <xf numFmtId="49" fontId="7" fillId="0" borderId="29" xfId="8" applyNumberFormat="1" applyFont="1" applyBorder="1" applyAlignment="1">
      <alignment horizontal="center"/>
    </xf>
    <xf numFmtId="166" fontId="5" fillId="0" borderId="29" xfId="8" applyNumberFormat="1" applyFont="1" applyBorder="1" applyAlignment="1">
      <alignment horizontal="center"/>
    </xf>
    <xf numFmtId="165" fontId="5" fillId="0" borderId="10" xfId="8" applyNumberFormat="1" applyFont="1" applyBorder="1" applyAlignment="1">
      <alignment horizontal="center"/>
    </xf>
    <xf numFmtId="0" fontId="5" fillId="0" borderId="16" xfId="11" applyFont="1" applyBorder="1"/>
    <xf numFmtId="0" fontId="5" fillId="0" borderId="50" xfId="11" applyFont="1" applyBorder="1"/>
    <xf numFmtId="0" fontId="28" fillId="15" borderId="10" xfId="11" applyFont="1" applyFill="1" applyBorder="1" applyAlignment="1">
      <alignment horizontal="center"/>
    </xf>
    <xf numFmtId="0" fontId="5" fillId="0" borderId="45" xfId="11" applyFont="1" applyBorder="1"/>
    <xf numFmtId="0" fontId="5" fillId="0" borderId="45" xfId="9" applyFont="1" applyBorder="1"/>
    <xf numFmtId="0" fontId="32" fillId="13" borderId="0" xfId="9" applyFont="1" applyFill="1" applyAlignment="1">
      <alignment horizontal="center" vertical="center"/>
    </xf>
    <xf numFmtId="0" fontId="32" fillId="13" borderId="40" xfId="9" applyFont="1" applyFill="1" applyBorder="1"/>
    <xf numFmtId="165" fontId="55" fillId="0" borderId="10" xfId="0" applyNumberFormat="1" applyFont="1" applyBorder="1" applyAlignment="1">
      <alignment horizontal="center"/>
    </xf>
    <xf numFmtId="166" fontId="55" fillId="0" borderId="29" xfId="0" applyNumberFormat="1" applyFont="1" applyBorder="1" applyAlignment="1">
      <alignment horizontal="center"/>
    </xf>
    <xf numFmtId="49" fontId="55" fillId="0" borderId="29" xfId="0" applyNumberFormat="1" applyFont="1" applyBorder="1" applyAlignment="1">
      <alignment horizontal="center"/>
    </xf>
    <xf numFmtId="49" fontId="41" fillId="0" borderId="10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9" fontId="57" fillId="30" borderId="10" xfId="12" applyFont="1" applyFill="1" applyBorder="1" applyAlignment="1">
      <alignment horizontal="center" vertical="center"/>
    </xf>
    <xf numFmtId="0" fontId="5" fillId="31" borderId="10" xfId="9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5" fillId="28" borderId="10" xfId="1" applyFont="1" applyFill="1" applyBorder="1" applyAlignment="1">
      <alignment horizontal="center" vertical="center"/>
    </xf>
    <xf numFmtId="0" fontId="5" fillId="18" borderId="10" xfId="6" applyFont="1" applyFill="1" applyBorder="1" applyAlignment="1">
      <alignment horizontal="center" vertical="center"/>
    </xf>
    <xf numFmtId="0" fontId="32" fillId="19" borderId="10" xfId="6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9" fontId="0" fillId="0" borderId="23" xfId="12" applyFont="1" applyBorder="1" applyAlignment="1">
      <alignment horizontal="center" vertical="center"/>
    </xf>
    <xf numFmtId="0" fontId="5" fillId="18" borderId="10" xfId="14" applyFont="1" applyFill="1" applyBorder="1" applyAlignment="1">
      <alignment horizontal="center" vertical="center"/>
    </xf>
    <xf numFmtId="165" fontId="7" fillId="0" borderId="19" xfId="13" applyNumberFormat="1" applyFont="1" applyBorder="1" applyAlignment="1">
      <alignment horizontal="center"/>
    </xf>
    <xf numFmtId="166" fontId="7" fillId="0" borderId="20" xfId="13" applyNumberFormat="1" applyFont="1" applyBorder="1" applyAlignment="1">
      <alignment horizontal="center"/>
    </xf>
    <xf numFmtId="49" fontId="7" fillId="0" borderId="20" xfId="13" applyNumberFormat="1" applyFont="1" applyBorder="1" applyAlignment="1">
      <alignment horizontal="center"/>
    </xf>
    <xf numFmtId="0" fontId="5" fillId="0" borderId="10" xfId="14" applyFont="1" applyBorder="1" applyAlignment="1">
      <alignment horizontal="center" vertical="center"/>
    </xf>
    <xf numFmtId="49" fontId="7" fillId="0" borderId="29" xfId="13" applyNumberFormat="1" applyFont="1" applyBorder="1" applyAlignment="1">
      <alignment horizontal="center"/>
    </xf>
    <xf numFmtId="165" fontId="7" fillId="0" borderId="10" xfId="13" applyNumberFormat="1" applyFont="1" applyBorder="1" applyAlignment="1">
      <alignment horizontal="center"/>
    </xf>
    <xf numFmtId="166" fontId="7" fillId="0" borderId="29" xfId="13" applyNumberFormat="1" applyFont="1" applyBorder="1" applyAlignment="1">
      <alignment horizontal="center"/>
    </xf>
    <xf numFmtId="165" fontId="5" fillId="0" borderId="10" xfId="14" applyNumberFormat="1" applyFont="1" applyBorder="1" applyAlignment="1">
      <alignment horizontal="center"/>
    </xf>
    <xf numFmtId="166" fontId="5" fillId="0" borderId="29" xfId="14" applyNumberFormat="1" applyFont="1" applyBorder="1" applyAlignment="1">
      <alignment horizontal="center"/>
    </xf>
    <xf numFmtId="49" fontId="5" fillId="0" borderId="29" xfId="14" applyNumberFormat="1" applyFont="1" applyBorder="1" applyAlignment="1">
      <alignment horizontal="center"/>
    </xf>
    <xf numFmtId="0" fontId="32" fillId="19" borderId="10" xfId="14" applyFont="1" applyFill="1" applyBorder="1" applyAlignment="1">
      <alignment horizontal="center" vertical="center"/>
    </xf>
    <xf numFmtId="0" fontId="32" fillId="20" borderId="10" xfId="14" applyFont="1" applyFill="1" applyBorder="1" applyAlignment="1">
      <alignment horizontal="center" vertical="center"/>
    </xf>
    <xf numFmtId="0" fontId="1" fillId="0" borderId="0" xfId="13" applyFont="1"/>
    <xf numFmtId="0" fontId="28" fillId="0" borderId="0" xfId="14" applyFont="1"/>
    <xf numFmtId="0" fontId="32" fillId="13" borderId="40" xfId="14" applyFont="1" applyFill="1" applyBorder="1"/>
    <xf numFmtId="0" fontId="32" fillId="13" borderId="0" xfId="14" applyFont="1" applyFill="1" applyAlignment="1">
      <alignment horizontal="center" vertical="center"/>
    </xf>
    <xf numFmtId="0" fontId="28" fillId="14" borderId="0" xfId="14" applyFont="1" applyFill="1"/>
    <xf numFmtId="0" fontId="5" fillId="14" borderId="0" xfId="14" applyFont="1" applyFill="1"/>
    <xf numFmtId="0" fontId="5" fillId="14" borderId="10" xfId="14" applyFont="1" applyFill="1" applyBorder="1" applyAlignment="1">
      <alignment horizontal="center" vertical="center"/>
    </xf>
    <xf numFmtId="0" fontId="5" fillId="0" borderId="45" xfId="14" applyFont="1" applyBorder="1"/>
    <xf numFmtId="0" fontId="5" fillId="0" borderId="22" xfId="14" applyFont="1" applyBorder="1"/>
    <xf numFmtId="0" fontId="5" fillId="0" borderId="25" xfId="14" applyFont="1" applyBorder="1"/>
    <xf numFmtId="0" fontId="5" fillId="0" borderId="16" xfId="14" applyFont="1" applyBorder="1"/>
    <xf numFmtId="165" fontId="5" fillId="0" borderId="17" xfId="14" applyNumberFormat="1" applyFont="1" applyBorder="1" applyAlignment="1">
      <alignment horizontal="center"/>
    </xf>
    <xf numFmtId="166" fontId="5" fillId="0" borderId="11" xfId="14" applyNumberFormat="1" applyFont="1" applyBorder="1" applyAlignment="1">
      <alignment horizontal="center"/>
    </xf>
    <xf numFmtId="49" fontId="5" fillId="0" borderId="11" xfId="14" applyNumberFormat="1" applyFont="1" applyBorder="1" applyAlignment="1">
      <alignment horizontal="center"/>
    </xf>
    <xf numFmtId="0" fontId="5" fillId="0" borderId="21" xfId="14" applyFont="1" applyBorder="1"/>
    <xf numFmtId="0" fontId="32" fillId="13" borderId="10" xfId="14" applyFont="1" applyFill="1" applyBorder="1" applyAlignment="1">
      <alignment horizontal="center" vertical="center"/>
    </xf>
    <xf numFmtId="0" fontId="5" fillId="0" borderId="40" xfId="14" applyFont="1" applyBorder="1"/>
    <xf numFmtId="0" fontId="5" fillId="31" borderId="10" xfId="14" applyFont="1" applyFill="1" applyBorder="1" applyAlignment="1">
      <alignment horizontal="center" vertical="center"/>
    </xf>
    <xf numFmtId="0" fontId="5" fillId="17" borderId="10" xfId="14" applyFont="1" applyFill="1" applyBorder="1" applyAlignment="1">
      <alignment horizontal="center" vertical="center"/>
    </xf>
    <xf numFmtId="0" fontId="36" fillId="0" borderId="0" xfId="14" applyFont="1"/>
    <xf numFmtId="0" fontId="5" fillId="0" borderId="0" xfId="14" applyFont="1"/>
    <xf numFmtId="165" fontId="5" fillId="0" borderId="0" xfId="14" applyNumberFormat="1" applyFont="1" applyAlignment="1">
      <alignment horizontal="center"/>
    </xf>
    <xf numFmtId="166" fontId="5" fillId="0" borderId="0" xfId="14" applyNumberFormat="1" applyFont="1" applyAlignment="1">
      <alignment horizontal="center"/>
    </xf>
    <xf numFmtId="49" fontId="5" fillId="0" borderId="0" xfId="14" applyNumberFormat="1" applyFont="1" applyAlignment="1">
      <alignment horizontal="center"/>
    </xf>
    <xf numFmtId="0" fontId="5" fillId="0" borderId="29" xfId="14" applyFont="1" applyBorder="1" applyAlignment="1">
      <alignment horizontal="center" vertical="center"/>
    </xf>
    <xf numFmtId="17" fontId="0" fillId="0" borderId="0" xfId="14" applyNumberFormat="1" applyFont="1"/>
    <xf numFmtId="166" fontId="34" fillId="0" borderId="29" xfId="0" applyNumberFormat="1" applyFont="1" applyBorder="1" applyAlignment="1">
      <alignment horizontal="center"/>
    </xf>
    <xf numFmtId="165" fontId="5" fillId="0" borderId="0" xfId="3" applyNumberFormat="1" applyAlignment="1">
      <alignment horizontal="center"/>
    </xf>
    <xf numFmtId="166" fontId="5" fillId="0" borderId="0" xfId="3" applyNumberFormat="1" applyAlignment="1">
      <alignment horizontal="center"/>
    </xf>
    <xf numFmtId="49" fontId="5" fillId="0" borderId="0" xfId="3" applyNumberFormat="1" applyAlignment="1">
      <alignment horizontal="center"/>
    </xf>
    <xf numFmtId="167" fontId="0" fillId="0" borderId="0" xfId="0" applyNumberFormat="1"/>
    <xf numFmtId="21" fontId="0" fillId="0" borderId="0" xfId="0" applyNumberFormat="1"/>
    <xf numFmtId="0" fontId="4" fillId="21" borderId="0" xfId="4" applyFill="1"/>
    <xf numFmtId="9" fontId="15" fillId="4" borderId="10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1" xfId="0" applyBorder="1"/>
    <xf numFmtId="0" fontId="18" fillId="4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0" fontId="0" fillId="0" borderId="0" xfId="0"/>
    <xf numFmtId="0" fontId="18" fillId="3" borderId="10" xfId="0" applyFont="1" applyFill="1" applyBorder="1" applyAlignment="1">
      <alignment horizontal="center"/>
    </xf>
    <xf numFmtId="0" fontId="29" fillId="8" borderId="39" xfId="1" applyFont="1" applyFill="1" applyBorder="1" applyAlignment="1">
      <alignment horizontal="left"/>
    </xf>
    <xf numFmtId="0" fontId="29" fillId="8" borderId="0" xfId="1" applyFont="1" applyFill="1" applyAlignment="1">
      <alignment horizontal="left"/>
    </xf>
    <xf numFmtId="0" fontId="0" fillId="0" borderId="0" xfId="1" applyFont="1"/>
    <xf numFmtId="0" fontId="28" fillId="0" borderId="0" xfId="1" applyFont="1" applyAlignment="1">
      <alignment horizontal="center"/>
    </xf>
    <xf numFmtId="0" fontId="29" fillId="8" borderId="39" xfId="3" applyFont="1" applyFill="1" applyBorder="1" applyAlignment="1">
      <alignment horizontal="left"/>
    </xf>
    <xf numFmtId="0" fontId="29" fillId="8" borderId="0" xfId="3" applyFont="1" applyFill="1" applyAlignment="1">
      <alignment horizontal="left"/>
    </xf>
    <xf numFmtId="0" fontId="0" fillId="0" borderId="0" xfId="3" applyFont="1"/>
    <xf numFmtId="0" fontId="28" fillId="0" borderId="0" xfId="3" applyFont="1" applyAlignment="1">
      <alignment horizontal="center"/>
    </xf>
    <xf numFmtId="0" fontId="31" fillId="19" borderId="21" xfId="3" applyFont="1" applyFill="1" applyBorder="1" applyAlignment="1">
      <alignment horizontal="center"/>
    </xf>
    <xf numFmtId="0" fontId="31" fillId="17" borderId="21" xfId="3" applyFont="1" applyFill="1" applyBorder="1" applyAlignment="1">
      <alignment horizontal="center"/>
    </xf>
    <xf numFmtId="0" fontId="29" fillId="8" borderId="39" xfId="9" applyFont="1" applyFill="1" applyBorder="1" applyAlignment="1">
      <alignment horizontal="left"/>
    </xf>
    <xf numFmtId="0" fontId="29" fillId="8" borderId="0" xfId="9" applyFont="1" applyFill="1" applyAlignment="1">
      <alignment horizontal="left"/>
    </xf>
    <xf numFmtId="0" fontId="0" fillId="0" borderId="0" xfId="9" applyFont="1"/>
    <xf numFmtId="0" fontId="28" fillId="0" borderId="0" xfId="9" applyFont="1" applyAlignment="1">
      <alignment horizontal="center"/>
    </xf>
    <xf numFmtId="0" fontId="29" fillId="8" borderId="39" xfId="14" applyFont="1" applyFill="1" applyBorder="1" applyAlignment="1">
      <alignment horizontal="left"/>
    </xf>
    <xf numFmtId="0" fontId="29" fillId="8" borderId="0" xfId="14" applyFont="1" applyFill="1" applyAlignment="1">
      <alignment horizontal="left"/>
    </xf>
    <xf numFmtId="0" fontId="0" fillId="0" borderId="0" xfId="14" applyFont="1"/>
    <xf numFmtId="0" fontId="28" fillId="0" borderId="0" xfId="14" applyFont="1" applyAlignment="1">
      <alignment horizontal="center"/>
    </xf>
    <xf numFmtId="0" fontId="5" fillId="0" borderId="0" xfId="3"/>
    <xf numFmtId="0" fontId="59" fillId="21" borderId="0" xfId="4" applyFont="1" applyFill="1" applyAlignment="1">
      <alignment horizontal="center" vertical="center" wrapText="1"/>
    </xf>
    <xf numFmtId="0" fontId="4" fillId="21" borderId="0" xfId="4" applyFill="1"/>
    <xf numFmtId="9" fontId="60" fillId="21" borderId="0" xfId="7" applyNumberFormat="1" applyFont="1" applyFill="1" applyAlignment="1">
      <alignment horizontal="center" vertical="center"/>
    </xf>
    <xf numFmtId="0" fontId="58" fillId="21" borderId="0" xfId="4" applyFont="1" applyFill="1" applyAlignment="1">
      <alignment horizontal="center" vertical="center" wrapText="1"/>
    </xf>
    <xf numFmtId="0" fontId="42" fillId="22" borderId="0" xfId="4" applyFont="1" applyFill="1" applyAlignment="1">
      <alignment horizontal="center"/>
    </xf>
    <xf numFmtId="0" fontId="53" fillId="21" borderId="1" xfId="4" applyFont="1" applyFill="1" applyBorder="1" applyAlignment="1">
      <alignment horizontal="center" vertical="center"/>
    </xf>
    <xf numFmtId="0" fontId="61" fillId="21" borderId="0" xfId="4" applyFont="1" applyFill="1" applyAlignment="1">
      <alignment horizontal="center"/>
    </xf>
    <xf numFmtId="0" fontId="53" fillId="21" borderId="0" xfId="4" applyFont="1" applyFill="1" applyAlignment="1">
      <alignment horizontal="center" vertical="center"/>
    </xf>
    <xf numFmtId="0" fontId="15" fillId="3" borderId="14" xfId="0" applyFont="1" applyFill="1" applyBorder="1" applyAlignment="1">
      <alignment horizontal="center"/>
    </xf>
    <xf numFmtId="0" fontId="0" fillId="0" borderId="74" xfId="0" applyBorder="1"/>
    <xf numFmtId="0" fontId="9" fillId="7" borderId="10" xfId="0" applyFont="1" applyFill="1" applyBorder="1" applyAlignment="1">
      <alignment horizontal="center" vertical="center" wrapText="1"/>
    </xf>
    <xf numFmtId="0" fontId="0" fillId="0" borderId="19" xfId="0" applyBorder="1"/>
    <xf numFmtId="0" fontId="7" fillId="12" borderId="10" xfId="0" applyFont="1" applyFill="1" applyBorder="1" applyAlignment="1">
      <alignment horizontal="center"/>
    </xf>
    <xf numFmtId="0" fontId="0" fillId="0" borderId="22" xfId="0" applyBorder="1"/>
    <xf numFmtId="9" fontId="9" fillId="7" borderId="10" xfId="0" applyNumberFormat="1" applyFont="1" applyFill="1" applyBorder="1" applyAlignment="1">
      <alignment horizontal="center" vertical="center" wrapText="1"/>
    </xf>
    <xf numFmtId="9" fontId="15" fillId="4" borderId="10" xfId="0" applyNumberFormat="1" applyFont="1" applyFill="1" applyBorder="1" applyAlignment="1">
      <alignment horizontal="center" vertical="center" wrapText="1"/>
    </xf>
    <xf numFmtId="0" fontId="0" fillId="0" borderId="73" xfId="0" applyBorder="1"/>
    <xf numFmtId="9" fontId="15" fillId="0" borderId="28" xfId="0" applyNumberFormat="1" applyFont="1" applyBorder="1" applyAlignment="1">
      <alignment horizontal="center" vertical="center"/>
    </xf>
    <xf numFmtId="0" fontId="0" fillId="0" borderId="75" xfId="0" applyBorder="1"/>
    <xf numFmtId="9" fontId="15" fillId="0" borderId="23" xfId="0" applyNumberFormat="1" applyFont="1" applyBorder="1" applyAlignment="1">
      <alignment horizontal="center" vertical="center"/>
    </xf>
    <xf numFmtId="0" fontId="0" fillId="0" borderId="76" xfId="0" applyBorder="1"/>
    <xf numFmtId="0" fontId="0" fillId="0" borderId="23" xfId="0" applyBorder="1"/>
    <xf numFmtId="0" fontId="15" fillId="4" borderId="25" xfId="0" applyFont="1" applyFill="1" applyBorder="1" applyAlignment="1">
      <alignment horizontal="center" vertical="top"/>
    </xf>
    <xf numFmtId="0" fontId="0" fillId="0" borderId="25" xfId="0" applyBorder="1"/>
    <xf numFmtId="0" fontId="15" fillId="3" borderId="13" xfId="0" applyFont="1" applyFill="1" applyBorder="1" applyAlignment="1">
      <alignment horizontal="center"/>
    </xf>
    <xf numFmtId="0" fontId="0" fillId="0" borderId="12" xfId="0" applyBorder="1"/>
    <xf numFmtId="0" fontId="14" fillId="4" borderId="10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16" xfId="0" applyBorder="1"/>
    <xf numFmtId="0" fontId="8" fillId="0" borderId="10" xfId="0" applyFont="1" applyBorder="1" applyAlignment="1">
      <alignment horizontal="center" vertical="center"/>
    </xf>
    <xf numFmtId="0" fontId="0" fillId="0" borderId="21" xfId="0" applyBorder="1"/>
    <xf numFmtId="0" fontId="15" fillId="4" borderId="11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2" fontId="16" fillId="5" borderId="15" xfId="0" applyNumberFormat="1" applyFont="1" applyFill="1" applyBorder="1" applyAlignment="1">
      <alignment horizontal="center" vertical="center" textRotation="90" wrapText="1"/>
    </xf>
    <xf numFmtId="0" fontId="0" fillId="0" borderId="18" xfId="0" applyBorder="1"/>
    <xf numFmtId="0" fontId="18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0" fillId="0" borderId="32" xfId="0" applyBorder="1"/>
    <xf numFmtId="0" fontId="14" fillId="6" borderId="10" xfId="0" applyFont="1" applyFill="1" applyBorder="1" applyAlignment="1">
      <alignment horizontal="center" vertical="center" wrapText="1"/>
    </xf>
    <xf numFmtId="2" fontId="19" fillId="9" borderId="10" xfId="0" applyNumberFormat="1" applyFont="1" applyFill="1" applyBorder="1" applyAlignment="1">
      <alignment horizontal="center" vertical="center" textRotation="90" wrapText="1"/>
    </xf>
    <xf numFmtId="0" fontId="15" fillId="4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9" fontId="15" fillId="0" borderId="17" xfId="0" applyNumberFormat="1" applyFont="1" applyBorder="1" applyAlignment="1">
      <alignment horizontal="center" vertical="center"/>
    </xf>
    <xf numFmtId="9" fontId="8" fillId="4" borderId="10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textRotation="90" wrapText="1"/>
    </xf>
    <xf numFmtId="1" fontId="8" fillId="8" borderId="10" xfId="0" applyNumberFormat="1" applyFont="1" applyFill="1" applyBorder="1" applyAlignment="1">
      <alignment horizontal="center" vertical="center" wrapText="1"/>
    </xf>
    <xf numFmtId="0" fontId="26" fillId="8" borderId="10" xfId="0" applyFont="1" applyFill="1" applyBorder="1" applyAlignment="1">
      <alignment horizontal="center" vertical="center" textRotation="90" wrapText="1"/>
    </xf>
    <xf numFmtId="0" fontId="18" fillId="4" borderId="33" xfId="0" applyFont="1" applyFill="1" applyBorder="1" applyAlignment="1">
      <alignment horizontal="center" vertical="center" wrapText="1"/>
    </xf>
    <xf numFmtId="0" fontId="0" fillId="0" borderId="80" xfId="0" applyBorder="1"/>
    <xf numFmtId="0" fontId="10" fillId="4" borderId="33" xfId="0" applyFont="1" applyFill="1" applyBorder="1" applyAlignment="1">
      <alignment horizontal="center" vertical="center" wrapText="1"/>
    </xf>
    <xf numFmtId="0" fontId="0" fillId="0" borderId="77" xfId="0" applyBorder="1"/>
    <xf numFmtId="0" fontId="0" fillId="0" borderId="43" xfId="0" applyBorder="1"/>
    <xf numFmtId="0" fontId="0" fillId="0" borderId="78" xfId="0" applyBorder="1"/>
    <xf numFmtId="0" fontId="10" fillId="4" borderId="10" xfId="0" applyFont="1" applyFill="1" applyBorder="1" applyAlignment="1">
      <alignment horizontal="center" vertical="center" wrapText="1"/>
    </xf>
    <xf numFmtId="0" fontId="14" fillId="4" borderId="29" xfId="0" applyFont="1" applyFill="1" applyBorder="1" applyAlignment="1">
      <alignment horizontal="center" vertical="center" wrapText="1"/>
    </xf>
    <xf numFmtId="0" fontId="0" fillId="0" borderId="20" xfId="0" applyBorder="1"/>
    <xf numFmtId="9" fontId="23" fillId="8" borderId="32" xfId="0" applyNumberFormat="1" applyFont="1" applyFill="1" applyBorder="1" applyAlignment="1">
      <alignment horizontal="center" vertical="center" wrapText="1"/>
    </xf>
    <xf numFmtId="0" fontId="0" fillId="0" borderId="0" xfId="0"/>
    <xf numFmtId="0" fontId="18" fillId="3" borderId="10" xfId="0" applyFont="1" applyFill="1" applyBorder="1" applyAlignment="1">
      <alignment horizontal="center"/>
    </xf>
    <xf numFmtId="9" fontId="8" fillId="8" borderId="36" xfId="0" applyNumberFormat="1" applyFont="1" applyFill="1" applyBorder="1" applyAlignment="1">
      <alignment horizontal="center" vertical="center" wrapText="1"/>
    </xf>
    <xf numFmtId="0" fontId="0" fillId="0" borderId="81" xfId="0" applyBorder="1"/>
    <xf numFmtId="0" fontId="15" fillId="0" borderId="37" xfId="0" applyFont="1" applyBorder="1" applyAlignment="1">
      <alignment horizontal="center"/>
    </xf>
    <xf numFmtId="0" fontId="0" fillId="0" borderId="79" xfId="0" applyBorder="1"/>
    <xf numFmtId="0" fontId="18" fillId="3" borderId="22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top"/>
    </xf>
    <xf numFmtId="0" fontId="0" fillId="0" borderId="53" xfId="0" applyBorder="1"/>
    <xf numFmtId="0" fontId="0" fillId="0" borderId="82" xfId="0" applyBorder="1"/>
    <xf numFmtId="0" fontId="7" fillId="0" borderId="41" xfId="0" applyFont="1" applyBorder="1" applyAlignment="1">
      <alignment horizontal="center" vertical="top"/>
    </xf>
    <xf numFmtId="0" fontId="29" fillId="8" borderId="39" xfId="1" applyFont="1" applyFill="1" applyBorder="1" applyAlignment="1">
      <alignment horizontal="left"/>
    </xf>
    <xf numFmtId="0" fontId="0" fillId="0" borderId="39" xfId="0" applyBorder="1"/>
    <xf numFmtId="0" fontId="29" fillId="8" borderId="0" xfId="1" applyFont="1" applyFill="1" applyAlignment="1">
      <alignment horizontal="left"/>
    </xf>
    <xf numFmtId="0" fontId="0" fillId="0" borderId="0" xfId="1" applyFont="1"/>
    <xf numFmtId="0" fontId="27" fillId="0" borderId="21" xfId="1" applyFont="1" applyBorder="1" applyAlignment="1">
      <alignment horizontal="center"/>
    </xf>
    <xf numFmtId="0" fontId="31" fillId="13" borderId="0" xfId="1" applyFont="1" applyFill="1" applyAlignment="1">
      <alignment horizontal="center"/>
    </xf>
    <xf numFmtId="0" fontId="33" fillId="14" borderId="40" xfId="1" applyFont="1" applyFill="1" applyBorder="1" applyAlignment="1">
      <alignment horizontal="center" vertical="center" textRotation="90"/>
    </xf>
    <xf numFmtId="0" fontId="28" fillId="0" borderId="0" xfId="1" applyFont="1" applyAlignment="1">
      <alignment horizontal="left"/>
    </xf>
    <xf numFmtId="0" fontId="31" fillId="17" borderId="21" xfId="1" applyFont="1" applyFill="1" applyBorder="1" applyAlignment="1">
      <alignment horizontal="center"/>
    </xf>
    <xf numFmtId="0" fontId="30" fillId="0" borderId="25" xfId="1" applyFont="1" applyBorder="1" applyAlignment="1">
      <alignment horizontal="center" wrapText="1"/>
    </xf>
    <xf numFmtId="0" fontId="28" fillId="0" borderId="0" xfId="1" applyFont="1" applyAlignment="1">
      <alignment horizontal="center"/>
    </xf>
    <xf numFmtId="0" fontId="31" fillId="13" borderId="21" xfId="1" applyFont="1" applyFill="1" applyBorder="1" applyAlignment="1">
      <alignment horizontal="center"/>
    </xf>
    <xf numFmtId="0" fontId="7" fillId="0" borderId="46" xfId="0" applyFont="1" applyBorder="1" applyAlignment="1">
      <alignment horizontal="center" vertical="top"/>
    </xf>
    <xf numFmtId="0" fontId="0" fillId="0" borderId="51" xfId="0" applyBorder="1"/>
    <xf numFmtId="0" fontId="0" fillId="0" borderId="52" xfId="0" applyBorder="1"/>
    <xf numFmtId="0" fontId="5" fillId="0" borderId="49" xfId="1" applyFont="1" applyBorder="1" applyAlignment="1">
      <alignment horizontal="center" vertical="top"/>
    </xf>
    <xf numFmtId="0" fontId="0" fillId="0" borderId="55" xfId="0" applyBorder="1"/>
    <xf numFmtId="0" fontId="0" fillId="0" borderId="56" xfId="0" applyBorder="1"/>
    <xf numFmtId="0" fontId="5" fillId="0" borderId="47" xfId="1" applyFont="1" applyBorder="1" applyAlignment="1">
      <alignment horizontal="center" vertical="top"/>
    </xf>
    <xf numFmtId="0" fontId="0" fillId="0" borderId="54" xfId="0" applyBorder="1"/>
    <xf numFmtId="0" fontId="33" fillId="14" borderId="21" xfId="1" applyFont="1" applyFill="1" applyBorder="1" applyAlignment="1">
      <alignment horizontal="center" vertical="center" textRotation="90"/>
    </xf>
    <xf numFmtId="0" fontId="5" fillId="0" borderId="47" xfId="3" applyBorder="1" applyAlignment="1">
      <alignment horizontal="left" vertical="top"/>
    </xf>
    <xf numFmtId="0" fontId="29" fillId="8" borderId="39" xfId="3" applyFont="1" applyFill="1" applyBorder="1" applyAlignment="1">
      <alignment horizontal="left"/>
    </xf>
    <xf numFmtId="0" fontId="29" fillId="8" borderId="0" xfId="3" applyFont="1" applyFill="1" applyAlignment="1">
      <alignment horizontal="left"/>
    </xf>
    <xf numFmtId="0" fontId="0" fillId="0" borderId="0" xfId="3" applyFont="1"/>
    <xf numFmtId="0" fontId="33" fillId="14" borderId="21" xfId="3" applyFont="1" applyFill="1" applyBorder="1" applyAlignment="1">
      <alignment horizontal="center" vertical="center" textRotation="90"/>
    </xf>
    <xf numFmtId="0" fontId="27" fillId="0" borderId="21" xfId="3" applyFont="1" applyBorder="1" applyAlignment="1">
      <alignment horizontal="center"/>
    </xf>
    <xf numFmtId="0" fontId="28" fillId="0" borderId="0" xfId="3" applyFont="1" applyAlignment="1">
      <alignment horizontal="left"/>
    </xf>
    <xf numFmtId="0" fontId="5" fillId="0" borderId="46" xfId="3" applyBorder="1" applyAlignment="1">
      <alignment horizontal="left" vertical="top"/>
    </xf>
    <xf numFmtId="0" fontId="30" fillId="0" borderId="25" xfId="3" applyFont="1" applyBorder="1" applyAlignment="1">
      <alignment horizontal="center" wrapText="1"/>
    </xf>
    <xf numFmtId="0" fontId="28" fillId="0" borderId="0" xfId="3" applyFont="1" applyAlignment="1">
      <alignment horizontal="center"/>
    </xf>
    <xf numFmtId="0" fontId="31" fillId="13" borderId="21" xfId="3" applyFont="1" applyFill="1" applyBorder="1" applyAlignment="1">
      <alignment horizontal="center"/>
    </xf>
    <xf numFmtId="0" fontId="31" fillId="19" borderId="21" xfId="3" applyFont="1" applyFill="1" applyBorder="1" applyAlignment="1">
      <alignment horizontal="center"/>
    </xf>
    <xf numFmtId="0" fontId="5" fillId="0" borderId="10" xfId="3" applyBorder="1" applyAlignment="1">
      <alignment horizontal="left" vertical="top"/>
    </xf>
    <xf numFmtId="0" fontId="31" fillId="17" borderId="21" xfId="3" applyFont="1" applyFill="1" applyBorder="1" applyAlignment="1">
      <alignment horizontal="center"/>
    </xf>
    <xf numFmtId="0" fontId="31" fillId="19" borderId="22" xfId="3" applyFont="1" applyFill="1" applyBorder="1" applyAlignment="1">
      <alignment horizontal="center"/>
    </xf>
    <xf numFmtId="0" fontId="5" fillId="0" borderId="47" xfId="9" applyFont="1" applyBorder="1" applyAlignment="1">
      <alignment horizontal="left" vertical="top"/>
    </xf>
    <xf numFmtId="0" fontId="29" fillId="8" borderId="39" xfId="9" applyFont="1" applyFill="1" applyBorder="1" applyAlignment="1">
      <alignment horizontal="left"/>
    </xf>
    <xf numFmtId="0" fontId="5" fillId="0" borderId="59" xfId="9" applyFont="1" applyBorder="1" applyAlignment="1">
      <alignment horizontal="left" vertical="top"/>
    </xf>
    <xf numFmtId="0" fontId="0" fillId="0" borderId="58" xfId="0" applyBorder="1"/>
    <xf numFmtId="0" fontId="0" fillId="0" borderId="57" xfId="0" applyBorder="1"/>
    <xf numFmtId="0" fontId="29" fillId="8" borderId="0" xfId="9" applyFont="1" applyFill="1" applyAlignment="1">
      <alignment horizontal="left"/>
    </xf>
    <xf numFmtId="0" fontId="0" fillId="0" borderId="0" xfId="9" applyFont="1"/>
    <xf numFmtId="0" fontId="27" fillId="0" borderId="21" xfId="9" applyFont="1" applyBorder="1" applyAlignment="1">
      <alignment horizontal="center"/>
    </xf>
    <xf numFmtId="0" fontId="40" fillId="0" borderId="47" xfId="9" applyFont="1" applyBorder="1" applyAlignment="1">
      <alignment horizontal="left" vertical="top"/>
    </xf>
    <xf numFmtId="0" fontId="33" fillId="14" borderId="21" xfId="9" applyFont="1" applyFill="1" applyBorder="1" applyAlignment="1">
      <alignment horizontal="center" vertical="center" textRotation="90"/>
    </xf>
    <xf numFmtId="0" fontId="5" fillId="0" borderId="49" xfId="9" applyFont="1" applyBorder="1" applyAlignment="1">
      <alignment horizontal="left" vertical="top"/>
    </xf>
    <xf numFmtId="0" fontId="28" fillId="0" borderId="0" xfId="9" applyFont="1" applyAlignment="1">
      <alignment horizontal="left"/>
    </xf>
    <xf numFmtId="0" fontId="31" fillId="13" borderId="21" xfId="9" applyFont="1" applyFill="1" applyBorder="1" applyAlignment="1">
      <alignment horizontal="center"/>
    </xf>
    <xf numFmtId="0" fontId="40" fillId="0" borderId="46" xfId="9" applyFont="1" applyBorder="1" applyAlignment="1">
      <alignment horizontal="left" vertical="top"/>
    </xf>
    <xf numFmtId="0" fontId="31" fillId="17" borderId="21" xfId="9" applyFont="1" applyFill="1" applyBorder="1" applyAlignment="1">
      <alignment horizontal="center"/>
    </xf>
    <xf numFmtId="0" fontId="30" fillId="0" borderId="25" xfId="9" applyFont="1" applyBorder="1" applyAlignment="1">
      <alignment horizontal="center" wrapText="1"/>
    </xf>
    <xf numFmtId="0" fontId="28" fillId="0" borderId="0" xfId="9" applyFont="1" applyAlignment="1">
      <alignment horizontal="center"/>
    </xf>
    <xf numFmtId="0" fontId="5" fillId="0" borderId="47" xfId="14" applyFont="1" applyBorder="1" applyAlignment="1">
      <alignment horizontal="left" vertical="top"/>
    </xf>
    <xf numFmtId="0" fontId="29" fillId="8" borderId="39" xfId="14" applyFont="1" applyFill="1" applyBorder="1" applyAlignment="1">
      <alignment horizontal="left"/>
    </xf>
    <xf numFmtId="0" fontId="5" fillId="0" borderId="59" xfId="14" applyFont="1" applyBorder="1" applyAlignment="1">
      <alignment horizontal="left" vertical="top"/>
    </xf>
    <xf numFmtId="0" fontId="29" fillId="8" borderId="0" xfId="14" applyFont="1" applyFill="1" applyAlignment="1">
      <alignment horizontal="left"/>
    </xf>
    <xf numFmtId="0" fontId="0" fillId="0" borderId="0" xfId="14" applyFont="1"/>
    <xf numFmtId="0" fontId="27" fillId="0" borderId="21" xfId="14" applyFont="1" applyBorder="1" applyAlignment="1">
      <alignment horizontal="center"/>
    </xf>
    <xf numFmtId="0" fontId="40" fillId="0" borderId="47" xfId="14" applyFont="1" applyBorder="1" applyAlignment="1">
      <alignment horizontal="left" vertical="top"/>
    </xf>
    <xf numFmtId="0" fontId="33" fillId="14" borderId="21" xfId="14" applyFont="1" applyFill="1" applyBorder="1" applyAlignment="1">
      <alignment horizontal="center" vertical="center" textRotation="90"/>
    </xf>
    <xf numFmtId="0" fontId="5" fillId="0" borderId="49" xfId="14" applyFont="1" applyBorder="1" applyAlignment="1">
      <alignment horizontal="left" vertical="top"/>
    </xf>
    <xf numFmtId="0" fontId="28" fillId="0" borderId="0" xfId="14" applyFont="1" applyAlignment="1">
      <alignment horizontal="left"/>
    </xf>
    <xf numFmtId="0" fontId="31" fillId="13" borderId="21" xfId="14" applyFont="1" applyFill="1" applyBorder="1" applyAlignment="1">
      <alignment horizontal="center"/>
    </xf>
    <xf numFmtId="0" fontId="40" fillId="0" borderId="46" xfId="14" applyFont="1" applyBorder="1" applyAlignment="1">
      <alignment horizontal="left" vertical="top"/>
    </xf>
    <xf numFmtId="0" fontId="31" fillId="17" borderId="21" xfId="14" applyFont="1" applyFill="1" applyBorder="1" applyAlignment="1">
      <alignment horizontal="center"/>
    </xf>
    <xf numFmtId="0" fontId="30" fillId="0" borderId="25" xfId="14" applyFont="1" applyBorder="1" applyAlignment="1">
      <alignment horizontal="center" wrapText="1"/>
    </xf>
    <xf numFmtId="0" fontId="28" fillId="0" borderId="0" xfId="14" applyFont="1" applyAlignment="1">
      <alignment horizontal="center"/>
    </xf>
    <xf numFmtId="0" fontId="5" fillId="0" borderId="67" xfId="14" applyFont="1" applyBorder="1" applyAlignment="1">
      <alignment horizontal="left" vertical="top"/>
    </xf>
    <xf numFmtId="0" fontId="40" fillId="0" borderId="63" xfId="14" applyFont="1" applyBorder="1" applyAlignment="1">
      <alignment horizontal="left" vertical="top"/>
    </xf>
    <xf numFmtId="0" fontId="0" fillId="0" borderId="64" xfId="0" applyBorder="1"/>
    <xf numFmtId="0" fontId="0" fillId="0" borderId="83" xfId="0" applyBorder="1"/>
    <xf numFmtId="0" fontId="40" fillId="0" borderId="66" xfId="14" applyFont="1" applyBorder="1" applyAlignment="1">
      <alignment horizontal="left" vertical="top"/>
    </xf>
    <xf numFmtId="0" fontId="40" fillId="0" borderId="65" xfId="14" applyFont="1" applyBorder="1" applyAlignment="1">
      <alignment horizontal="left" vertical="top"/>
    </xf>
    <xf numFmtId="0" fontId="0" fillId="0" borderId="84" xfId="0" applyBorder="1"/>
    <xf numFmtId="0" fontId="5" fillId="0" borderId="68" xfId="14" applyFont="1" applyBorder="1" applyAlignment="1">
      <alignment horizontal="left" vertical="top"/>
    </xf>
    <xf numFmtId="0" fontId="0" fillId="0" borderId="69" xfId="0" applyBorder="1"/>
    <xf numFmtId="0" fontId="0" fillId="0" borderId="70" xfId="0" applyBorder="1"/>
    <xf numFmtId="0" fontId="5" fillId="0" borderId="71" xfId="14" applyFont="1" applyBorder="1" applyAlignment="1">
      <alignment horizontal="left" vertical="top"/>
    </xf>
    <xf numFmtId="0" fontId="0" fillId="0" borderId="72" xfId="0" applyBorder="1"/>
    <xf numFmtId="0" fontId="0" fillId="0" borderId="71" xfId="0" applyBorder="1"/>
    <xf numFmtId="0" fontId="40" fillId="0" borderId="60" xfId="14" applyFont="1" applyBorder="1" applyAlignment="1">
      <alignment horizontal="left" vertical="top"/>
    </xf>
    <xf numFmtId="0" fontId="0" fillId="0" borderId="61" xfId="0" applyBorder="1"/>
    <xf numFmtId="0" fontId="0" fillId="0" borderId="62" xfId="0" applyBorder="1"/>
    <xf numFmtId="0" fontId="40" fillId="0" borderId="59" xfId="14" applyFont="1" applyBorder="1" applyAlignment="1">
      <alignment horizontal="left" vertical="top"/>
    </xf>
    <xf numFmtId="0" fontId="27" fillId="8" borderId="0" xfId="3" applyFont="1" applyFill="1" applyAlignment="1">
      <alignment horizontal="center" vertical="center" textRotation="90" wrapText="1"/>
    </xf>
    <xf numFmtId="0" fontId="5" fillId="0" borderId="0" xfId="3"/>
    <xf numFmtId="0" fontId="39" fillId="4" borderId="10" xfId="3" applyFont="1" applyFill="1" applyBorder="1" applyAlignment="1">
      <alignment horizontal="center" vertical="center"/>
    </xf>
    <xf numFmtId="0" fontId="5" fillId="0" borderId="46" xfId="9" applyFont="1" applyBorder="1" applyAlignment="1">
      <alignment horizontal="left" vertical="top"/>
    </xf>
    <xf numFmtId="0" fontId="31" fillId="13" borderId="22" xfId="9" applyFont="1" applyFill="1" applyBorder="1" applyAlignment="1">
      <alignment horizontal="center"/>
    </xf>
    <xf numFmtId="0" fontId="31" fillId="17" borderId="22" xfId="9" applyFont="1" applyFill="1" applyBorder="1" applyAlignment="1">
      <alignment horizontal="center"/>
    </xf>
    <xf numFmtId="0" fontId="40" fillId="0" borderId="60" xfId="9" applyFont="1" applyBorder="1" applyAlignment="1">
      <alignment horizontal="left" vertical="top"/>
    </xf>
    <xf numFmtId="0" fontId="40" fillId="0" borderId="59" xfId="9" applyFont="1" applyBorder="1" applyAlignment="1">
      <alignment horizontal="left" vertical="top"/>
    </xf>
  </cellXfs>
  <cellStyles count="15">
    <cellStyle name="Normal" xfId="0" builtinId="0"/>
    <cellStyle name="Normal 2" xfId="1"/>
    <cellStyle name="Normal 2 2" xfId="2"/>
    <cellStyle name="Normal 2 3" xfId="11"/>
    <cellStyle name="Normal 3" xfId="3"/>
    <cellStyle name="Normal 3 2" xfId="6"/>
    <cellStyle name="Normal 3 2 2" xfId="10"/>
    <cellStyle name="Normal 3 2 3" xfId="14"/>
    <cellStyle name="Normal 3 3" xfId="9"/>
    <cellStyle name="Normal 4" xfId="4"/>
    <cellStyle name="Normal 5" xfId="8"/>
    <cellStyle name="Normal 6" xfId="13"/>
    <cellStyle name="Porcentagem" xfId="12" builtinId="5"/>
    <cellStyle name="Porcentagem 2" xfId="5"/>
    <cellStyle name="Vírgula" xfId="7" builtinId="3"/>
  </cellStyles>
  <dxfs count="5729"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ont>
        <color rgb="FF9C0006"/>
      </font>
      <fill>
        <patternFill>
          <bgColor rgb="FFFFD9DE"/>
        </patternFill>
      </fill>
    </dxf>
    <dxf>
      <font>
        <color rgb="FF9C5700"/>
      </font>
      <fill>
        <patternFill>
          <bgColor rgb="FFFEF2CB"/>
        </patternFill>
      </fill>
    </dxf>
    <dxf>
      <font>
        <color rgb="FF006100"/>
      </font>
      <fill>
        <patternFill>
          <bgColor rgb="FFE2EFD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2CB"/>
      <rgbColor rgb="FFFF00FF"/>
      <rgbColor rgb="FFA8D08D"/>
      <rgbColor rgb="FF9C0006"/>
      <rgbColor rgb="FF006100"/>
      <rgbColor rgb="FF000099"/>
      <rgbColor rgb="FF385623"/>
      <rgbColor rgb="FF800080"/>
      <rgbColor rgb="FFFFD9DE"/>
      <rgbColor rgb="FFBFBFBF"/>
      <rgbColor rgb="FF7F7F7F"/>
      <rgbColor rgb="FFA5A5A5"/>
      <rgbColor rgb="FFD8D8D8"/>
      <rgbColor rgb="FFFFF2CC"/>
      <rgbColor rgb="FFDEEAF6"/>
      <rgbColor rgb="FF660066"/>
      <rgbColor rgb="FFED7D31"/>
      <rgbColor rgb="FF0070C0"/>
      <rgbColor rgb="FFBDD7EE"/>
      <rgbColor rgb="FF000066"/>
      <rgbColor rgb="FFFF00FF"/>
      <rgbColor rgb="FFC5E0B3"/>
      <rgbColor rgb="FFD9E2F3"/>
      <rgbColor rgb="FF800080"/>
      <rgbColor rgb="FFC00000"/>
      <rgbColor rgb="FF008080"/>
      <rgbColor rgb="FF0000CC"/>
      <rgbColor rgb="FF00B0F0"/>
      <rgbColor rgb="FFE2EFD9"/>
      <rgbColor rgb="FFC6EFCE"/>
      <rgbColor rgb="FFFFEB9C"/>
      <rgbColor rgb="FFB7B7B7"/>
      <rgbColor rgb="FFFF9999"/>
      <rgbColor rgb="FFFFC7CE"/>
      <rgbColor rgb="FFF8CBAD"/>
      <rgbColor rgb="FF4472C4"/>
      <rgbColor rgb="FF5B9BD5"/>
      <rgbColor rgb="FF7EC234"/>
      <rgbColor rgb="FFFFC000"/>
      <rgbColor rgb="FF92D050"/>
      <rgbColor rgb="FFED7C2F"/>
      <rgbColor rgb="FF757575"/>
      <rgbColor rgb="FF8B8B8B"/>
      <rgbColor rgb="FF1A1A1A"/>
      <rgbColor rgb="FF70AD47"/>
      <rgbColor rgb="FF003300"/>
      <rgbColor rgb="FF3F3F3F"/>
      <rgbColor rgb="FF9C5700"/>
      <rgbColor rgb="FFD9D9D9"/>
      <rgbColor rgb="FF53575C"/>
      <rgbColor rgb="FF3A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/>
              <a:t>Desempenho -  SRS</a:t>
            </a:r>
            <a:r>
              <a:rPr lang="pt-BR" sz="2000" b="1" baseline="0"/>
              <a:t> OESTE</a:t>
            </a:r>
            <a:endParaRPr lang="pt-BR" sz="2000" b="1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7261203223382531E-2"/>
          <c:y val="0.1586078275842055"/>
          <c:w val="0.93067243033603286"/>
          <c:h val="0.67158918403012891"/>
        </c:manualLayout>
      </c:layout>
      <c:lineChart>
        <c:grouping val="standard"/>
        <c:varyColors val="0"/>
        <c:ser>
          <c:idx val="0"/>
          <c:order val="0"/>
          <c:tx>
            <c:v>Resultado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'Dashboard-IMD  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'Dashboard-IMD  '!$B$6:$M$6</c:f>
              <c:numCache>
                <c:formatCode>0%</c:formatCode>
                <c:ptCount val="12"/>
                <c:pt idx="0">
                  <c:v>0.98</c:v>
                </c:pt>
                <c:pt idx="1">
                  <c:v>0.92</c:v>
                </c:pt>
                <c:pt idx="2">
                  <c:v>0.99</c:v>
                </c:pt>
                <c:pt idx="3">
                  <c:v>0.99</c:v>
                </c:pt>
                <c:pt idx="4">
                  <c:v>0.99177777777777776</c:v>
                </c:pt>
                <c:pt idx="5">
                  <c:v>0.99</c:v>
                </c:pt>
                <c:pt idx="6">
                  <c:v>0.99</c:v>
                </c:pt>
                <c:pt idx="7">
                  <c:v>0.99361111111111111</c:v>
                </c:pt>
                <c:pt idx="8">
                  <c:v>0.99154320987654299</c:v>
                </c:pt>
                <c:pt idx="9">
                  <c:v>0.99113888888888879</c:v>
                </c:pt>
                <c:pt idx="10">
                  <c:v>0.98967171717171709</c:v>
                </c:pt>
                <c:pt idx="11">
                  <c:v>0.98949074074074073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8-4BAA-AE94-2AB6E9143EE4}"/>
            </c:ext>
          </c:extLst>
        </c:ser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'Dashboard-IMD  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'Dashboard-IMD  '!$B$9:$M$9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8-4BAA-AE94-2AB6E9143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457408"/>
        <c:axId val="885455232"/>
      </c:lineChart>
      <c:catAx>
        <c:axId val="885457408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5455232"/>
        <c:crosses val="autoZero"/>
        <c:auto val="1"/>
        <c:lblAlgn val="ctr"/>
        <c:lblOffset val="100"/>
        <c:noMultiLvlLbl val="0"/>
      </c:catAx>
      <c:valAx>
        <c:axId val="8854552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5457408"/>
        <c:crosses val="autoZero"/>
        <c:crossBetween val="between"/>
        <c:majorUnit val="0.1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981159420289855"/>
          <c:y val="8.7928511842844517E-2"/>
          <c:w val="0.56592387976819358"/>
          <c:h val="0.86691411780170791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54-4779-B08E-2933FAA9A170}"/>
              </c:ext>
            </c:extLst>
          </c:dPt>
          <c:dPt>
            <c:idx val="1"/>
            <c:bubble3D val="0"/>
            <c:spPr>
              <a:solidFill>
                <a:srgbClr val="ED7C2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54-4779-B08E-2933FAA9A170}"/>
              </c:ext>
            </c:extLst>
          </c:dPt>
          <c:dPt>
            <c:idx val="2"/>
            <c:bubble3D val="0"/>
            <c:spPr>
              <a:solidFill>
                <a:srgbClr val="7EC23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54-4779-B08E-2933FAA9A17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54-4779-B08E-2933FAA9A1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654-4779-B08E-2933FAA9A170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654-4779-B08E-2933FAA9A17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'Dashboard-IMD  '!$AB$15:$AB$20</c:f>
              <c:strCache>
                <c:ptCount val="6"/>
                <c:pt idx="0">
                  <c:v>Crítico</c:v>
                </c:pt>
                <c:pt idx="1">
                  <c:v>Alerta</c:v>
                </c:pt>
                <c:pt idx="2">
                  <c:v>Esperado</c:v>
                </c:pt>
                <c:pt idx="3">
                  <c:v>Alcançado</c:v>
                </c:pt>
                <c:pt idx="4">
                  <c:v>Superado</c:v>
                </c:pt>
                <c:pt idx="5">
                  <c:v>Fim</c:v>
                </c:pt>
              </c:strCache>
            </c:strRef>
          </c:cat>
          <c:val>
            <c:numRef>
              <c:f>'Dashboard-IMD  '!$AC$15:$AC$20</c:f>
              <c:numCache>
                <c:formatCode>General</c:formatCode>
                <c:ptCount val="6"/>
                <c:pt idx="0">
                  <c:v>5</c:v>
                </c:pt>
                <c:pt idx="1">
                  <c:v>45</c:v>
                </c:pt>
                <c:pt idx="2">
                  <c:v>43</c:v>
                </c:pt>
                <c:pt idx="3">
                  <c:v>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54-4779-B08E-2933FAA9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5"/>
      </c:doughnutChart>
      <c:pieChart>
        <c:varyColors val="1"/>
        <c:ser>
          <c:idx val="1"/>
          <c:order val="1"/>
          <c:tx>
            <c:v>Ponteiro</c:v>
          </c:tx>
          <c:spPr>
            <a:ln>
              <a:prstDash val="solid"/>
            </a:ln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654-4779-B08E-2933FAA9A17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654-4779-B08E-2933FAA9A170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654-4779-B08E-2933FAA9A170}"/>
              </c:ext>
            </c:extLst>
          </c:dPt>
          <c:dLbls>
            <c:dLbl>
              <c:idx val="1"/>
              <c:layout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654-4779-B08E-2933FAA9A17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'Dashboard-IMD  '!$T$15:$T$17</c:f>
              <c:numCache>
                <c:formatCode>General</c:formatCode>
                <c:ptCount val="3"/>
                <c:pt idx="0" formatCode="0">
                  <c:v>98.949074074074076</c:v>
                </c:pt>
                <c:pt idx="1">
                  <c:v>1.5</c:v>
                </c:pt>
                <c:pt idx="2">
                  <c:v>99.550925925925924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54-4779-B08E-2933FAA9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59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11</xdr:row>
      <xdr:rowOff>180974</xdr:rowOff>
    </xdr:from>
    <xdr:to>
      <xdr:col>11</xdr:col>
      <xdr:colOff>714374</xdr:colOff>
      <xdr:row>32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257175</xdr:colOff>
      <xdr:row>12</xdr:row>
      <xdr:rowOff>66675</xdr:rowOff>
    </xdr:from>
    <xdr:to>
      <xdr:col>29</xdr:col>
      <xdr:colOff>66675</xdr:colOff>
      <xdr:row>33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c-gedeps\d\Documentos\DIPLAN\SESPLAN%20-%20PLOMA\SESPLAN-DIPLAN%202017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MD%20-%202024%20V.8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EC%20-%20Gest&#227;o%20de%20Custos/CUSTOS%202024/12%20-%20Monitoramento%20das%20Unidades%20-%20IMD/IMD%202024/IMD%20-%202024%20V.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m Vindo"/>
      <sheetName val="Tela de relatórios"/>
      <sheetName val="Relatório SAG SAIS "/>
      <sheetName val="Relatório SAG SVS"/>
      <sheetName val="Relatório SAG SINFRA"/>
      <sheetName val="Relatório SAG SULOG"/>
      <sheetName val="Relatório SAG SUAG"/>
      <sheetName val="Relatório SAG SUGEP"/>
      <sheetName val="Relatório SAG CTINF"/>
      <sheetName val="Relatório SAG FHB"/>
      <sheetName val="Relatório SAG FSDF"/>
      <sheetName val="Relatório SAG FEPECS"/>
      <sheetName val="Relatório SAG SUPLANS"/>
      <sheetName val="Relatório SAG ASCOM"/>
      <sheetName val="Relatório SAG GABSES"/>
      <sheetName val="Relatório SAG CSDF"/>
      <sheetName val="Objetivo Estratégico"/>
      <sheetName val="Metas e Indicadores"/>
      <sheetName val="FichaObjetivos1.1.1 a 1.1.5"/>
      <sheetName val="FichaObjetivos1.1.6 a 1.1.10"/>
      <sheetName val="FichaObjetivos1.2.1 e 1.2.2"/>
      <sheetName val="FichaObjetivos1.2.3 a 1.2.5"/>
      <sheetName val="FichaObjetivos1.3.1"/>
      <sheetName val="FichaObjetivos1.3.2 a 1.3.6"/>
      <sheetName val="FichaObjetivos2.1.1 a 2.3.2"/>
      <sheetName val="FichaObjetivos2.7.1 a 3.1.3"/>
      <sheetName val="FichaObjetivos3.2.1 a 2.5.3"/>
      <sheetName val="Indicador por Região"/>
      <sheetName val="Indicador Regiao absenteísmo"/>
      <sheetName val="Portaria"/>
      <sheetName val="Análise Indicador"/>
      <sheetName val="Análise indicador mensal"/>
      <sheetName val="PAS"/>
      <sheetName val="Considerações PAS"/>
      <sheetName val="Consulta Pendência"/>
      <sheetName val="Execução Orçamentária"/>
      <sheetName val="SAG"/>
      <sheetName val="Controle de Obra"/>
      <sheetName val="Produção Atividade DIVEP"/>
      <sheetName val="Profissional Capacitado"/>
      <sheetName val="Dengue notificados"/>
      <sheetName val="Dengue Óbito"/>
      <sheetName val="Chikungunya"/>
      <sheetName val="Chikungunya II"/>
      <sheetName val="Zika"/>
      <sheetName val="Zika II"/>
      <sheetName val="Óbito Infantil"/>
      <sheetName val="Nascidos Vivos"/>
      <sheetName val="Óbitos maternos"/>
      <sheetName val="Doenças Imunopreveníveis"/>
      <sheetName val="Cobertura Vacinal"/>
      <sheetName val="Microcefalia"/>
      <sheetName val="Incidência mensal de dengue"/>
      <sheetName val="Sífilis"/>
      <sheetName val="Ranking dengue"/>
      <sheetName val="AnáliseTabelasDIVEP"/>
      <sheetName val="Produção Atividade DIVISA"/>
      <sheetName val="Alta Complexidade"/>
      <sheetName val="Alimentos"/>
      <sheetName val="Infrações"/>
      <sheetName val="Apreensão"/>
      <sheetName val="Fiscalização"/>
      <sheetName val="Serviço mamografia"/>
      <sheetName val="AnáliseTabelasDIVISA"/>
      <sheetName val="Produção Atividade DIVAL"/>
      <sheetName val="Controle Dengue"/>
      <sheetName val="LIRAa"/>
      <sheetName val="Zoonose"/>
      <sheetName val="Animais Peçonhentos"/>
      <sheetName val="AnáliseTabelasDIVAL"/>
      <sheetName val="ProduçãoAtividade LACEN"/>
      <sheetName val="Produção Laboratorial"/>
      <sheetName val="Análise"/>
      <sheetName val="Insumos"/>
      <sheetName val="AnáliseTabelasLACEN"/>
      <sheetName val="ProduçaoAtividade CEREST"/>
      <sheetName val="Notificação Trabalho"/>
      <sheetName val="AnáliseTabelasCEREST"/>
      <sheetName val="ProduçaoAtividadeNPAV"/>
      <sheetName val="Prof capacitados"/>
      <sheetName val="Tipo de Violência"/>
      <sheetName val="Notificações"/>
      <sheetName val="AnáliseTabelasNPAV"/>
      <sheetName val="ProduçaoAtividadeFarmacia"/>
      <sheetName val="Atend APAC AEPAC"/>
      <sheetName val="Fitoterápico"/>
      <sheetName val="Atend Jucicial"/>
      <sheetName val="AnáliseTabelasFarmácia"/>
      <sheetName val="ProduçaoAtividadeRUE"/>
      <sheetName val="GAE aberta"/>
      <sheetName val="Intervenções transporte"/>
      <sheetName val="CIT"/>
      <sheetName val="AnáliseTabelasRUE"/>
      <sheetName val="ProduçaoAtividadeAD"/>
      <sheetName val="Produtividade AD"/>
      <sheetName val="Produtividade POD"/>
      <sheetName val="AnáliseTabelasAD"/>
      <sheetName val="ProduçaoAtividadePrisional"/>
      <sheetName val="Procedimentos Prisional"/>
      <sheetName val="Idoso fratura fêmur"/>
      <sheetName val="AnáliseTabelasPrisional"/>
      <sheetName val="AnaliseTabelaFratura"/>
      <sheetName val="ProduçaoAtividadeCS"/>
      <sheetName val="Manifestações"/>
      <sheetName val="Manifestações por Região"/>
      <sheetName val="Manifestações URD"/>
      <sheetName val="UCI"/>
      <sheetName val="Manifestações Concluídas"/>
      <sheetName val="AnáliseTabelasOuvidoria"/>
      <sheetName val="Deliberação"/>
      <sheetName val="Publicação"/>
      <sheetName val="Auditoria "/>
      <sheetName val="AnáliseTabelasCS"/>
      <sheetName val="ProduçãoAtividadeDIREG"/>
      <sheetName val="TE consulta exame"/>
      <sheetName val="Analise DIREG"/>
      <sheetName val="ProduçãoAtividadeFepecs"/>
      <sheetName val="Estudantes ESCS"/>
      <sheetName val="Pós-graduação e extensão"/>
      <sheetName val="Educação profissional"/>
      <sheetName val="Ações educativas"/>
      <sheetName val="ProduçaoAtividadeFEPECSBolsa"/>
      <sheetName val="Bolsa permanência"/>
      <sheetName val="Bolsa monitoria"/>
      <sheetName val="Bolsa iniciação científica"/>
      <sheetName val="Bolsas concedidas"/>
      <sheetName val="AnáliseTabelaFepecs"/>
      <sheetName val="ProduçaoAtividadeSUGEP"/>
      <sheetName val="Absenteísmo"/>
      <sheetName val="Absenteísmo tipo afastamento"/>
      <sheetName val="Análise absenteísmo"/>
      <sheetName val="Execuçao PlanoEducação"/>
      <sheetName val="Curso SF"/>
      <sheetName val="Analise GES"/>
      <sheetName val="ProduçaoAtividadeDICS"/>
      <sheetName val="Faturamento MAC"/>
      <sheetName val="Análise TabMAC"/>
      <sheetName val="ProduçãoAtividadeSINFRA"/>
      <sheetName val="Cobertura Equip baixaMédia"/>
      <sheetName val="Análise SINFRA"/>
      <sheetName val="Produção AtividadeFSDF"/>
      <sheetName val="FSDF"/>
      <sheetName val="Análise FSDF"/>
      <sheetName val="Apoio"/>
      <sheetName val="regua status EO"/>
      <sheetName val="Apoio EO QDD fev"/>
      <sheetName val="Apoio EO QDD abril"/>
      <sheetName val="Apoio EO QDD jun"/>
      <sheetName val="Apoio EO QDD ago"/>
      <sheetName val="Apoio EO QDD out"/>
      <sheetName val="Apoio Eo QDD de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>
        <row r="2">
          <cell r="A2">
            <v>0</v>
          </cell>
        </row>
        <row r="3">
          <cell r="A3" t="str">
            <v>jan-fev</v>
          </cell>
        </row>
        <row r="4">
          <cell r="A4" t="str">
            <v>mar-abr</v>
          </cell>
        </row>
        <row r="5">
          <cell r="A5" t="str">
            <v>mai-jun</v>
          </cell>
        </row>
        <row r="6">
          <cell r="A6" t="str">
            <v>jul-ago</v>
          </cell>
        </row>
        <row r="7">
          <cell r="A7" t="str">
            <v>set-out</v>
          </cell>
        </row>
        <row r="8">
          <cell r="A8" t="str">
            <v>nov-dez</v>
          </cell>
        </row>
        <row r="31">
          <cell r="A31" t="str">
            <v>-</v>
          </cell>
        </row>
        <row r="32">
          <cell r="A32" t="str">
            <v>Pendente</v>
          </cell>
        </row>
        <row r="33">
          <cell r="A33" t="str">
            <v>Cancelada</v>
          </cell>
        </row>
        <row r="34">
          <cell r="A34" t="str">
            <v>Prorrogada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al"/>
      <sheetName val="AP-C.SUL"/>
      <sheetName val="AP-CENTRAL"/>
      <sheetName val="AP.Oeste"/>
      <sheetName val="AP.Sudoeste"/>
      <sheetName val="AP.Norte"/>
      <sheetName val="AP. Leste"/>
      <sheetName val="AP.Sul"/>
      <sheetName val="Síntese UBS"/>
      <sheetName val="Síntese Geral"/>
      <sheetName val="Monitoramento"/>
    </sheetNames>
    <sheetDataSet>
      <sheetData sheetId="0">
        <row r="38">
          <cell r="O38">
            <v>2</v>
          </cell>
          <cell r="P38">
            <v>1.9969135802469136</v>
          </cell>
          <cell r="Q38">
            <v>2</v>
          </cell>
          <cell r="R38">
            <v>2</v>
          </cell>
        </row>
        <row r="39">
          <cell r="O39">
            <v>2</v>
          </cell>
          <cell r="P39">
            <v>2</v>
          </cell>
          <cell r="Q39">
            <v>2</v>
          </cell>
          <cell r="R39">
            <v>2</v>
          </cell>
          <cell r="T39">
            <v>2</v>
          </cell>
          <cell r="U39">
            <v>2</v>
          </cell>
          <cell r="V39">
            <v>2</v>
          </cell>
        </row>
        <row r="41">
          <cell r="O41">
            <v>2</v>
          </cell>
          <cell r="P41">
            <v>2</v>
          </cell>
          <cell r="Q41">
            <v>2</v>
          </cell>
          <cell r="R41">
            <v>2</v>
          </cell>
          <cell r="T41">
            <v>2</v>
          </cell>
          <cell r="U41">
            <v>2</v>
          </cell>
          <cell r="V41">
            <v>2</v>
          </cell>
        </row>
        <row r="42">
          <cell r="O42">
            <v>2</v>
          </cell>
          <cell r="P42">
            <v>2</v>
          </cell>
          <cell r="Q42">
            <v>2</v>
          </cell>
          <cell r="R42">
            <v>2</v>
          </cell>
          <cell r="T42">
            <v>2</v>
          </cell>
          <cell r="U42">
            <v>2</v>
          </cell>
          <cell r="V42">
            <v>2</v>
          </cell>
        </row>
        <row r="46">
          <cell r="O46">
            <v>2</v>
          </cell>
          <cell r="P46">
            <v>1.8333333333333333</v>
          </cell>
          <cell r="Q46">
            <v>1.4166666666666667</v>
          </cell>
          <cell r="R46">
            <v>1.9166666666666667</v>
          </cell>
          <cell r="T46">
            <v>2</v>
          </cell>
          <cell r="U46">
            <v>2</v>
          </cell>
          <cell r="V46">
            <v>2</v>
          </cell>
        </row>
        <row r="48">
          <cell r="O48">
            <v>2</v>
          </cell>
          <cell r="P48">
            <v>2</v>
          </cell>
          <cell r="Q48">
            <v>2</v>
          </cell>
          <cell r="R48">
            <v>2</v>
          </cell>
          <cell r="T48">
            <v>2</v>
          </cell>
          <cell r="U48">
            <v>2</v>
          </cell>
          <cell r="V48">
            <v>2</v>
          </cell>
        </row>
      </sheetData>
      <sheetData sheetId="1"/>
      <sheetData sheetId="2"/>
      <sheetData sheetId="3">
        <row r="7">
          <cell r="M7">
            <v>2</v>
          </cell>
          <cell r="N7">
            <v>2</v>
          </cell>
          <cell r="O7">
            <v>2</v>
          </cell>
          <cell r="P7">
            <v>2</v>
          </cell>
        </row>
        <row r="8">
          <cell r="M8">
            <v>2</v>
          </cell>
          <cell r="N8">
            <v>2</v>
          </cell>
          <cell r="O8">
            <v>2</v>
          </cell>
          <cell r="P8">
            <v>2</v>
          </cell>
        </row>
        <row r="9">
          <cell r="M9">
            <v>2</v>
          </cell>
          <cell r="N9">
            <v>2</v>
          </cell>
          <cell r="O9">
            <v>2</v>
          </cell>
          <cell r="P9">
            <v>2</v>
          </cell>
        </row>
        <row r="10">
          <cell r="M10">
            <v>2</v>
          </cell>
          <cell r="N10">
            <v>2</v>
          </cell>
          <cell r="O10">
            <v>2</v>
          </cell>
          <cell r="P10">
            <v>2</v>
          </cell>
        </row>
        <row r="11"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M12">
            <v>2</v>
          </cell>
          <cell r="N12">
            <v>2</v>
          </cell>
          <cell r="O12">
            <v>2</v>
          </cell>
          <cell r="P12">
            <v>2</v>
          </cell>
        </row>
        <row r="13">
          <cell r="M13">
            <v>2</v>
          </cell>
          <cell r="N13">
            <v>2</v>
          </cell>
          <cell r="O13">
            <v>2</v>
          </cell>
          <cell r="P13">
            <v>2</v>
          </cell>
        </row>
        <row r="14">
          <cell r="M14">
            <v>2</v>
          </cell>
          <cell r="N14">
            <v>2</v>
          </cell>
          <cell r="O14">
            <v>2</v>
          </cell>
          <cell r="P14">
            <v>2</v>
          </cell>
        </row>
        <row r="15">
          <cell r="M15">
            <v>2</v>
          </cell>
          <cell r="N15">
            <v>2</v>
          </cell>
          <cell r="O15">
            <v>2</v>
          </cell>
          <cell r="P15">
            <v>2</v>
          </cell>
        </row>
        <row r="16">
          <cell r="M16">
            <v>2</v>
          </cell>
          <cell r="N16">
            <v>2</v>
          </cell>
          <cell r="O16">
            <v>2</v>
          </cell>
          <cell r="P16">
            <v>2</v>
          </cell>
        </row>
        <row r="17">
          <cell r="M17">
            <v>2</v>
          </cell>
          <cell r="N17">
            <v>2</v>
          </cell>
          <cell r="O17">
            <v>2</v>
          </cell>
          <cell r="P17">
            <v>2</v>
          </cell>
        </row>
        <row r="18">
          <cell r="M18">
            <v>2</v>
          </cell>
          <cell r="N18">
            <v>2</v>
          </cell>
          <cell r="O18">
            <v>2</v>
          </cell>
          <cell r="P18">
            <v>2</v>
          </cell>
        </row>
        <row r="19">
          <cell r="M19">
            <v>2</v>
          </cell>
          <cell r="N19">
            <v>2</v>
          </cell>
          <cell r="O19">
            <v>2</v>
          </cell>
          <cell r="P19">
            <v>2</v>
          </cell>
        </row>
        <row r="20">
          <cell r="M20">
            <v>2</v>
          </cell>
          <cell r="N20">
            <v>2</v>
          </cell>
          <cell r="O20">
            <v>2</v>
          </cell>
          <cell r="P20">
            <v>2</v>
          </cell>
        </row>
        <row r="21"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</row>
        <row r="22"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</row>
        <row r="23">
          <cell r="M23">
            <v>2</v>
          </cell>
          <cell r="N23">
            <v>2</v>
          </cell>
          <cell r="O23">
            <v>2</v>
          </cell>
          <cell r="P23">
            <v>2</v>
          </cell>
        </row>
        <row r="24">
          <cell r="M24">
            <v>2</v>
          </cell>
          <cell r="N24">
            <v>2</v>
          </cell>
          <cell r="O24">
            <v>2</v>
          </cell>
          <cell r="P24">
            <v>2</v>
          </cell>
        </row>
        <row r="25">
          <cell r="M25">
            <v>2</v>
          </cell>
          <cell r="N25">
            <v>2</v>
          </cell>
          <cell r="O25">
            <v>2</v>
          </cell>
          <cell r="P25">
            <v>2</v>
          </cell>
        </row>
        <row r="26">
          <cell r="M26">
            <v>2</v>
          </cell>
          <cell r="N26">
            <v>2</v>
          </cell>
          <cell r="O26">
            <v>2</v>
          </cell>
          <cell r="P26">
            <v>2</v>
          </cell>
        </row>
        <row r="27">
          <cell r="M27">
            <v>2</v>
          </cell>
          <cell r="N27">
            <v>2</v>
          </cell>
          <cell r="O27">
            <v>2</v>
          </cell>
          <cell r="P27">
            <v>2</v>
          </cell>
        </row>
        <row r="28">
          <cell r="M28">
            <v>2</v>
          </cell>
          <cell r="N28">
            <v>2</v>
          </cell>
          <cell r="O28">
            <v>2</v>
          </cell>
          <cell r="P28">
            <v>2</v>
          </cell>
        </row>
        <row r="29">
          <cell r="M29">
            <v>2</v>
          </cell>
          <cell r="N29">
            <v>2</v>
          </cell>
          <cell r="O29">
            <v>2</v>
          </cell>
          <cell r="P29">
            <v>2</v>
          </cell>
        </row>
        <row r="30">
          <cell r="M30">
            <v>2</v>
          </cell>
          <cell r="N30">
            <v>2</v>
          </cell>
          <cell r="O30">
            <v>2</v>
          </cell>
          <cell r="P30">
            <v>2</v>
          </cell>
        </row>
        <row r="31">
          <cell r="M31">
            <v>2</v>
          </cell>
          <cell r="N31">
            <v>2</v>
          </cell>
          <cell r="O31">
            <v>2</v>
          </cell>
          <cell r="P31">
            <v>2</v>
          </cell>
        </row>
        <row r="32">
          <cell r="M32">
            <v>2</v>
          </cell>
          <cell r="N32">
            <v>2</v>
          </cell>
          <cell r="O32">
            <v>2</v>
          </cell>
          <cell r="P32">
            <v>2</v>
          </cell>
        </row>
        <row r="33">
          <cell r="M33">
            <v>2</v>
          </cell>
          <cell r="N33">
            <v>1.9166666666666667</v>
          </cell>
          <cell r="O33">
            <v>2</v>
          </cell>
          <cell r="P33">
            <v>2</v>
          </cell>
        </row>
        <row r="34">
          <cell r="M34">
            <v>2</v>
          </cell>
          <cell r="N34">
            <v>2</v>
          </cell>
          <cell r="O34">
            <v>2</v>
          </cell>
          <cell r="P34">
            <v>2</v>
          </cell>
        </row>
        <row r="35">
          <cell r="M35">
            <v>2</v>
          </cell>
          <cell r="N35">
            <v>2</v>
          </cell>
          <cell r="O35">
            <v>2</v>
          </cell>
          <cell r="P35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al"/>
      <sheetName val="AP-C.SUL"/>
      <sheetName val="AP-CENTRAL"/>
      <sheetName val="AP.Oeste"/>
      <sheetName val="AP.Sudoeste"/>
      <sheetName val="AP.Norte"/>
      <sheetName val="AP. Leste"/>
      <sheetName val="AP.Sul"/>
      <sheetName val="Síntese UBS"/>
      <sheetName val="Síntese Geral"/>
      <sheetName val="Monitoramento"/>
    </sheetNames>
    <sheetDataSet>
      <sheetData sheetId="0" refreshError="1"/>
      <sheetData sheetId="1" refreshError="1"/>
      <sheetData sheetId="2" refreshError="1"/>
      <sheetData sheetId="3" refreshError="1">
        <row r="6">
          <cell r="M6" t="str">
            <v>0 - Nenhum 1- Parcial 2- Completo (total 10 = 100%)</v>
          </cell>
        </row>
        <row r="7">
          <cell r="R7" t="str">
            <v/>
          </cell>
          <cell r="S7">
            <v>0</v>
          </cell>
          <cell r="T7">
            <v>0</v>
          </cell>
        </row>
        <row r="8">
          <cell r="R8" t="str">
            <v/>
          </cell>
          <cell r="S8">
            <v>0</v>
          </cell>
          <cell r="T8">
            <v>0</v>
          </cell>
        </row>
        <row r="9">
          <cell r="R9" t="str">
            <v/>
          </cell>
          <cell r="S9">
            <v>0</v>
          </cell>
          <cell r="T9">
            <v>0</v>
          </cell>
        </row>
        <row r="10">
          <cell r="R10" t="str">
            <v/>
          </cell>
          <cell r="S10">
            <v>0</v>
          </cell>
          <cell r="T10">
            <v>0</v>
          </cell>
        </row>
        <row r="11">
          <cell r="R11" t="str">
            <v/>
          </cell>
          <cell r="S11">
            <v>0</v>
          </cell>
          <cell r="T11">
            <v>0</v>
          </cell>
        </row>
        <row r="12">
          <cell r="R12" t="str">
            <v/>
          </cell>
          <cell r="S12">
            <v>0</v>
          </cell>
          <cell r="T12">
            <v>0</v>
          </cell>
        </row>
        <row r="13">
          <cell r="R13" t="str">
            <v/>
          </cell>
          <cell r="S13">
            <v>0</v>
          </cell>
          <cell r="T13">
            <v>0</v>
          </cell>
        </row>
        <row r="14">
          <cell r="R14" t="str">
            <v/>
          </cell>
          <cell r="S14">
            <v>0</v>
          </cell>
          <cell r="T14">
            <v>0</v>
          </cell>
        </row>
        <row r="15">
          <cell r="R15" t="str">
            <v/>
          </cell>
          <cell r="S15">
            <v>0</v>
          </cell>
          <cell r="T15">
            <v>0</v>
          </cell>
        </row>
        <row r="16">
          <cell r="R16" t="str">
            <v/>
          </cell>
          <cell r="S16">
            <v>0</v>
          </cell>
          <cell r="T16">
            <v>0</v>
          </cell>
        </row>
        <row r="17">
          <cell r="R17" t="str">
            <v/>
          </cell>
          <cell r="S17">
            <v>0</v>
          </cell>
          <cell r="T17">
            <v>0</v>
          </cell>
        </row>
        <row r="18">
          <cell r="R18" t="str">
            <v/>
          </cell>
          <cell r="S18">
            <v>0</v>
          </cell>
          <cell r="T18">
            <v>0</v>
          </cell>
        </row>
        <row r="19">
          <cell r="R19" t="str">
            <v/>
          </cell>
          <cell r="S19">
            <v>0</v>
          </cell>
          <cell r="T19">
            <v>0</v>
          </cell>
        </row>
        <row r="20">
          <cell r="R20" t="str">
            <v/>
          </cell>
          <cell r="S20">
            <v>0</v>
          </cell>
          <cell r="T20">
            <v>0</v>
          </cell>
        </row>
        <row r="21">
          <cell r="R21" t="str">
            <v/>
          </cell>
          <cell r="S21">
            <v>0</v>
          </cell>
          <cell r="T21">
            <v>0</v>
          </cell>
        </row>
        <row r="22">
          <cell r="R22" t="str">
            <v/>
          </cell>
          <cell r="S22">
            <v>0</v>
          </cell>
          <cell r="T22">
            <v>0</v>
          </cell>
        </row>
        <row r="23">
          <cell r="R23" t="str">
            <v/>
          </cell>
          <cell r="S23">
            <v>0</v>
          </cell>
          <cell r="T23">
            <v>0</v>
          </cell>
        </row>
        <row r="24">
          <cell r="R24" t="str">
            <v/>
          </cell>
          <cell r="S24">
            <v>0</v>
          </cell>
          <cell r="T24">
            <v>0</v>
          </cell>
        </row>
        <row r="25">
          <cell r="R25" t="str">
            <v/>
          </cell>
          <cell r="S25">
            <v>0</v>
          </cell>
          <cell r="T25">
            <v>0</v>
          </cell>
        </row>
        <row r="26">
          <cell r="R26" t="str">
            <v/>
          </cell>
          <cell r="S26">
            <v>0</v>
          </cell>
          <cell r="T26">
            <v>0</v>
          </cell>
        </row>
        <row r="27">
          <cell r="R27" t="str">
            <v/>
          </cell>
          <cell r="S27">
            <v>0</v>
          </cell>
          <cell r="T27">
            <v>0</v>
          </cell>
        </row>
        <row r="28">
          <cell r="R28" t="str">
            <v/>
          </cell>
          <cell r="S28">
            <v>0</v>
          </cell>
          <cell r="T28">
            <v>0</v>
          </cell>
        </row>
        <row r="29">
          <cell r="R29" t="str">
            <v/>
          </cell>
          <cell r="S29">
            <v>0</v>
          </cell>
          <cell r="T29">
            <v>0</v>
          </cell>
        </row>
        <row r="30">
          <cell r="R30" t="str">
            <v/>
          </cell>
          <cell r="S30">
            <v>0</v>
          </cell>
          <cell r="T30">
            <v>0</v>
          </cell>
        </row>
        <row r="31">
          <cell r="R31" t="str">
            <v/>
          </cell>
          <cell r="S31">
            <v>0</v>
          </cell>
          <cell r="T31">
            <v>0</v>
          </cell>
        </row>
        <row r="32">
          <cell r="R32" t="str">
            <v/>
          </cell>
          <cell r="S32">
            <v>0</v>
          </cell>
          <cell r="T32">
            <v>0</v>
          </cell>
        </row>
        <row r="33">
          <cell r="R33" t="str">
            <v/>
          </cell>
          <cell r="S33">
            <v>0</v>
          </cell>
          <cell r="T33">
            <v>0</v>
          </cell>
        </row>
        <row r="34">
          <cell r="R34" t="str">
            <v/>
          </cell>
          <cell r="S34">
            <v>0</v>
          </cell>
          <cell r="T34">
            <v>0</v>
          </cell>
        </row>
        <row r="35">
          <cell r="R35" t="str">
            <v/>
          </cell>
          <cell r="S35">
            <v>0</v>
          </cell>
          <cell r="T3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zoomScale="70" zoomScaleNormal="70" workbookViewId="0">
      <selection activeCell="AI18" sqref="AI18"/>
    </sheetView>
  </sheetViews>
  <sheetFormatPr defaultRowHeight="15" x14ac:dyDescent="0.25"/>
  <cols>
    <col min="1" max="1" width="12.25" style="282" customWidth="1"/>
    <col min="2" max="2" width="9.125" style="282" customWidth="1"/>
    <col min="3" max="3" width="9.875" style="282" bestFit="1" customWidth="1"/>
    <col min="4" max="4" width="9.125" style="282" customWidth="1"/>
    <col min="5" max="13" width="9.875" style="282" bestFit="1" customWidth="1"/>
    <col min="14" max="14" width="9" style="282" customWidth="1"/>
    <col min="15" max="15" width="9.875" style="282" bestFit="1" customWidth="1"/>
    <col min="16" max="16" width="6.625" style="282" bestFit="1" customWidth="1"/>
    <col min="17" max="20" width="9" style="282" customWidth="1"/>
    <col min="21" max="23" width="13" style="282" hidden="1" customWidth="1"/>
    <col min="24" max="24" width="7.25" style="282" hidden="1" customWidth="1"/>
    <col min="25" max="25" width="6.875" style="282" hidden="1" customWidth="1"/>
    <col min="26" max="26" width="9.375" style="282" customWidth="1"/>
    <col min="27" max="27" width="0.875" style="282" customWidth="1"/>
    <col min="28" max="28" width="16.25" style="282" customWidth="1"/>
    <col min="29" max="35" width="9" style="282" customWidth="1"/>
    <col min="36" max="16384" width="9" style="282"/>
  </cols>
  <sheetData>
    <row r="1" spans="1:29" ht="26.25" customHeight="1" x14ac:dyDescent="0.25">
      <c r="A1" s="132"/>
      <c r="B1" s="132"/>
      <c r="C1" s="132"/>
      <c r="D1" s="132"/>
      <c r="E1" s="132"/>
      <c r="F1" s="132"/>
      <c r="G1" s="315" t="s">
        <v>0</v>
      </c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132"/>
      <c r="V1" s="132"/>
      <c r="W1" s="132"/>
      <c r="X1" s="132"/>
    </row>
    <row r="3" spans="1:29" x14ac:dyDescent="0.25">
      <c r="N3" s="114"/>
      <c r="O3" s="114"/>
    </row>
    <row r="4" spans="1:29" x14ac:dyDescent="0.25">
      <c r="B4" s="282" t="s">
        <v>1</v>
      </c>
      <c r="C4" s="282" t="s">
        <v>2</v>
      </c>
      <c r="D4" s="282" t="s">
        <v>3</v>
      </c>
      <c r="E4" s="282" t="s">
        <v>4</v>
      </c>
      <c r="F4" s="282" t="s">
        <v>5</v>
      </c>
      <c r="G4" s="282" t="s">
        <v>6</v>
      </c>
      <c r="H4" s="282" t="s">
        <v>7</v>
      </c>
      <c r="I4" s="282" t="s">
        <v>8</v>
      </c>
      <c r="J4" s="282" t="s">
        <v>9</v>
      </c>
      <c r="K4" s="282" t="s">
        <v>10</v>
      </c>
      <c r="L4" s="282" t="s">
        <v>11</v>
      </c>
      <c r="M4" s="282" t="s">
        <v>12</v>
      </c>
      <c r="N4" s="114"/>
      <c r="O4" s="310" t="s">
        <v>13</v>
      </c>
      <c r="P4" s="311"/>
      <c r="S4" s="312">
        <v>1</v>
      </c>
      <c r="T4" s="311"/>
    </row>
    <row r="5" spans="1:29" ht="26.25" customHeight="1" x14ac:dyDescent="0.25">
      <c r="A5" s="133" t="s">
        <v>14</v>
      </c>
      <c r="B5" s="131" t="s">
        <v>15</v>
      </c>
      <c r="C5" s="131" t="s">
        <v>16</v>
      </c>
      <c r="D5" s="131" t="s">
        <v>17</v>
      </c>
      <c r="E5" s="131" t="s">
        <v>18</v>
      </c>
      <c r="F5" s="131" t="s">
        <v>19</v>
      </c>
      <c r="G5" s="131" t="s">
        <v>20</v>
      </c>
      <c r="H5" s="131" t="s">
        <v>21</v>
      </c>
      <c r="I5" s="131" t="s">
        <v>22</v>
      </c>
      <c r="J5" s="131" t="s">
        <v>23</v>
      </c>
      <c r="K5" s="131" t="s">
        <v>24</v>
      </c>
      <c r="L5" s="131" t="s">
        <v>25</v>
      </c>
      <c r="M5" s="130" t="s">
        <v>26</v>
      </c>
      <c r="N5" s="129" t="s">
        <v>27</v>
      </c>
      <c r="O5" s="311"/>
      <c r="P5" s="311"/>
      <c r="S5" s="311"/>
      <c r="T5" s="311"/>
      <c r="AB5" s="128" t="s">
        <v>28</v>
      </c>
    </row>
    <row r="6" spans="1:29" ht="24" customHeight="1" x14ac:dyDescent="0.25">
      <c r="A6" s="127" t="s">
        <v>29</v>
      </c>
      <c r="B6" s="126">
        <v>0.98</v>
      </c>
      <c r="C6" s="126">
        <v>0.92</v>
      </c>
      <c r="D6" s="126">
        <v>0.99</v>
      </c>
      <c r="E6" s="126">
        <v>0.99</v>
      </c>
      <c r="F6" s="126">
        <v>0.99177777777777776</v>
      </c>
      <c r="G6" s="126">
        <v>0.99</v>
      </c>
      <c r="H6" s="126">
        <v>0.99</v>
      </c>
      <c r="I6" s="126">
        <v>0.99361111111111111</v>
      </c>
      <c r="J6" s="126">
        <v>0.99154320987654299</v>
      </c>
      <c r="K6" s="126">
        <v>0.99113888888888879</v>
      </c>
      <c r="L6" s="126">
        <v>0.98967171717171709</v>
      </c>
      <c r="M6" s="125">
        <v>0.98949074074074073</v>
      </c>
      <c r="N6" s="124">
        <f>Y6</f>
        <v>0.98949074074074073</v>
      </c>
      <c r="O6" s="124">
        <v>1</v>
      </c>
      <c r="U6" s="123">
        <f>IF(CONCATENATE(J6,K6,L6,M6)&lt;&gt;"",J6,IF(CONCATENATE(F6,G6,H6,I6)&lt;&gt;"",F6,B6))</f>
        <v>0.99154320987654299</v>
      </c>
      <c r="V6" s="123">
        <f>IF(CONCATENATE(J6,K6,L6,M6)&lt;&gt;"",K6,IF(CONCATENATE(F6,G6,H6,I6)&lt;&gt;"",G6,C6))</f>
        <v>0.99113888888888879</v>
      </c>
      <c r="W6" s="123">
        <f>IF(CONCATENATE(J6,K6,L6,M6)&lt;&gt;"",L6,IF(CONCATENATE(F6,G6,H6,I6)&lt;&gt;"",H6,D6))</f>
        <v>0.98967171717171709</v>
      </c>
      <c r="X6" s="123">
        <f>IF(CONCATENATE(J6,K6,L6,M6)&lt;&gt;"",M6,IF(CONCATENATE(F6,G6,H6,I6)&lt;&gt;"",I6,E6))</f>
        <v>0.98949074074074073</v>
      </c>
      <c r="Y6" s="123">
        <f>IF(SUM(ABS(W6),ABS(X6))&lt;&gt;0,IF(X6&lt;&gt;0,X6,W6),IF(V6&lt;&gt;0,V6,U6))</f>
        <v>0.98949074074074073</v>
      </c>
      <c r="AB6" s="122" t="str">
        <f>IF(ISNUMBER(N6),IF(N6&gt;100%,"Superado",IF(N6=100%,"Alcançado",IF(N6&gt;=56%,"Esperado",IF(N6&gt;10%,"Alerta","Crítico")))),"-")</f>
        <v>Esperado</v>
      </c>
    </row>
    <row r="7" spans="1:29" ht="27.75" customHeight="1" x14ac:dyDescent="0.25">
      <c r="A7" s="121" t="s">
        <v>30</v>
      </c>
      <c r="B7" s="120">
        <f t="shared" ref="B7:M7" si="0">IFERROR(IF(B6&lt;&gt;0,(B6/$O6)-1,""),"-")</f>
        <v>-2.0000000000000018E-2</v>
      </c>
      <c r="C7" s="120">
        <f t="shared" si="0"/>
        <v>-7.999999999999996E-2</v>
      </c>
      <c r="D7" s="120">
        <f t="shared" si="0"/>
        <v>-1.0000000000000009E-2</v>
      </c>
      <c r="E7" s="120">
        <f t="shared" si="0"/>
        <v>-1.0000000000000009E-2</v>
      </c>
      <c r="F7" s="120">
        <f t="shared" si="0"/>
        <v>-8.2222222222222419E-3</v>
      </c>
      <c r="G7" s="120">
        <f t="shared" si="0"/>
        <v>-1.0000000000000009E-2</v>
      </c>
      <c r="H7" s="120">
        <f t="shared" si="0"/>
        <v>-1.0000000000000009E-2</v>
      </c>
      <c r="I7" s="120">
        <f t="shared" si="0"/>
        <v>-6.3888888888888884E-3</v>
      </c>
      <c r="J7" s="120">
        <f t="shared" si="0"/>
        <v>-8.4567901234570142E-3</v>
      </c>
      <c r="K7" s="120">
        <f t="shared" si="0"/>
        <v>-8.8611111111112084E-3</v>
      </c>
      <c r="L7" s="120">
        <f t="shared" si="0"/>
        <v>-1.0328282828282909E-2</v>
      </c>
      <c r="M7" s="120">
        <f t="shared" si="0"/>
        <v>-1.0509259259259274E-2</v>
      </c>
      <c r="N7" s="119" t="s">
        <v>31</v>
      </c>
      <c r="O7" s="310" t="s">
        <v>32</v>
      </c>
      <c r="P7" s="311"/>
      <c r="Q7" s="311"/>
      <c r="S7" s="312">
        <f>Y6</f>
        <v>0.98949074074074073</v>
      </c>
      <c r="T7" s="311"/>
    </row>
    <row r="8" spans="1:29" x14ac:dyDescent="0.25">
      <c r="A8" s="118" t="s">
        <v>33</v>
      </c>
      <c r="B8" s="117" t="str">
        <f t="shared" ref="B8:M8" si="1">IF(ISNUMBER(B6),IF(B6&gt;100%,"Superado",IF(B6=100%,"Alcançado",IF(B6&gt;=56%,"Esperado",IF(B6&gt;10%,"Alerta","Crítico")))),"-")</f>
        <v>Esperado</v>
      </c>
      <c r="C8" s="117" t="str">
        <f t="shared" si="1"/>
        <v>Esperado</v>
      </c>
      <c r="D8" s="117" t="str">
        <f t="shared" si="1"/>
        <v>Esperado</v>
      </c>
      <c r="E8" s="117" t="str">
        <f t="shared" si="1"/>
        <v>Esperado</v>
      </c>
      <c r="F8" s="117" t="str">
        <f t="shared" si="1"/>
        <v>Esperado</v>
      </c>
      <c r="G8" s="117" t="str">
        <f t="shared" si="1"/>
        <v>Esperado</v>
      </c>
      <c r="H8" s="117" t="str">
        <f t="shared" si="1"/>
        <v>Esperado</v>
      </c>
      <c r="I8" s="117" t="str">
        <f t="shared" si="1"/>
        <v>Esperado</v>
      </c>
      <c r="J8" s="117" t="str">
        <f t="shared" si="1"/>
        <v>Esperado</v>
      </c>
      <c r="K8" s="117" t="str">
        <f t="shared" si="1"/>
        <v>Esperado</v>
      </c>
      <c r="L8" s="117" t="str">
        <f t="shared" si="1"/>
        <v>Esperado</v>
      </c>
      <c r="M8" s="117" t="str">
        <f t="shared" ref="M8" si="2">IF(ISNUMBER(M6),IF(M6&gt;100%,"Superado",IF(M6=100%,"Alcançado",IF(M6&gt;=56%,"Esperado",IF(M6&gt;10%,"Alerta","Crítico")))),"-")</f>
        <v>Esperado</v>
      </c>
      <c r="N8" s="116">
        <f>IFERROR(IF(O6&lt;&gt;0,(N6/O6)-1,""),"-")</f>
        <v>-1.0509259259259274E-2</v>
      </c>
      <c r="O8" s="311"/>
      <c r="P8" s="311"/>
      <c r="Q8" s="311"/>
      <c r="S8" s="311"/>
      <c r="T8" s="311"/>
    </row>
    <row r="9" spans="1:29" x14ac:dyDescent="0.25">
      <c r="B9" s="115">
        <v>1</v>
      </c>
      <c r="C9" s="115">
        <v>1</v>
      </c>
      <c r="D9" s="115">
        <v>1</v>
      </c>
      <c r="E9" s="115">
        <v>1</v>
      </c>
      <c r="F9" s="115"/>
      <c r="G9" s="115">
        <v>1</v>
      </c>
      <c r="H9" s="115">
        <v>1</v>
      </c>
      <c r="I9" s="115"/>
      <c r="J9" s="115"/>
      <c r="K9" s="115"/>
      <c r="L9" s="115"/>
      <c r="M9" s="115"/>
      <c r="N9" s="114"/>
      <c r="O9" s="114"/>
    </row>
    <row r="11" spans="1:29" x14ac:dyDescent="0.25">
      <c r="E11" s="317" t="s">
        <v>34</v>
      </c>
      <c r="F11" s="311"/>
      <c r="G11" s="311"/>
      <c r="H11" s="311"/>
      <c r="P11" s="313" t="s">
        <v>35</v>
      </c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</row>
    <row r="12" spans="1:29" x14ac:dyDescent="0.25">
      <c r="E12" s="311"/>
      <c r="F12" s="311"/>
      <c r="G12" s="311"/>
      <c r="H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</row>
    <row r="14" spans="1:29" x14ac:dyDescent="0.25">
      <c r="S14" s="314" t="s">
        <v>36</v>
      </c>
      <c r="T14" s="311"/>
      <c r="AB14" s="314" t="s">
        <v>37</v>
      </c>
      <c r="AC14" s="311"/>
    </row>
    <row r="15" spans="1:29" x14ac:dyDescent="0.25">
      <c r="S15" s="112" t="s">
        <v>38</v>
      </c>
      <c r="T15" s="113">
        <f>N6*100</f>
        <v>98.949074074074076</v>
      </c>
      <c r="AB15" s="112" t="s">
        <v>39</v>
      </c>
      <c r="AC15" s="123">
        <v>5</v>
      </c>
    </row>
    <row r="16" spans="1:29" x14ac:dyDescent="0.25">
      <c r="S16" s="112" t="s">
        <v>40</v>
      </c>
      <c r="T16" s="123">
        <v>1.5</v>
      </c>
      <c r="AB16" s="112" t="s">
        <v>41</v>
      </c>
      <c r="AC16" s="123">
        <v>45</v>
      </c>
    </row>
    <row r="17" spans="19:29" x14ac:dyDescent="0.25">
      <c r="S17" s="112" t="s">
        <v>42</v>
      </c>
      <c r="T17" s="123">
        <f>200-(T15+T16)</f>
        <v>99.550925925925924</v>
      </c>
      <c r="AB17" s="112" t="s">
        <v>43</v>
      </c>
      <c r="AC17" s="123">
        <v>43</v>
      </c>
    </row>
    <row r="18" spans="19:29" x14ac:dyDescent="0.25">
      <c r="AB18" s="112" t="s">
        <v>44</v>
      </c>
      <c r="AC18" s="123">
        <v>7</v>
      </c>
    </row>
    <row r="19" spans="19:29" x14ac:dyDescent="0.25">
      <c r="AB19" s="112" t="s">
        <v>45</v>
      </c>
      <c r="AC19" s="123"/>
    </row>
    <row r="20" spans="19:29" x14ac:dyDescent="0.25">
      <c r="AB20" s="112" t="s">
        <v>46</v>
      </c>
      <c r="AC20" s="123">
        <v>100</v>
      </c>
    </row>
    <row r="35" spans="16:28" x14ac:dyDescent="0.25">
      <c r="P35" s="316" t="s">
        <v>47</v>
      </c>
      <c r="Q35" s="311"/>
      <c r="R35" s="311"/>
      <c r="S35" s="311"/>
      <c r="T35" s="311"/>
    </row>
    <row r="36" spans="16:28" x14ac:dyDescent="0.25">
      <c r="P36" s="311"/>
      <c r="Q36" s="311"/>
      <c r="R36" s="311"/>
      <c r="S36" s="311"/>
      <c r="T36" s="311"/>
      <c r="AB36" s="312">
        <f>$N$8</f>
        <v>-1.0509259259259274E-2</v>
      </c>
    </row>
    <row r="37" spans="16:28" x14ac:dyDescent="0.25">
      <c r="P37" s="311"/>
      <c r="Q37" s="311"/>
      <c r="R37" s="311"/>
      <c r="S37" s="311"/>
      <c r="T37" s="311"/>
      <c r="AB37" s="311"/>
    </row>
  </sheetData>
  <mergeCells count="11">
    <mergeCell ref="AB14:AC14"/>
    <mergeCell ref="S14:T14"/>
    <mergeCell ref="G1:T1"/>
    <mergeCell ref="P35:T37"/>
    <mergeCell ref="E11:H12"/>
    <mergeCell ref="AB36:AB37"/>
    <mergeCell ref="O7:Q8"/>
    <mergeCell ref="O4:P5"/>
    <mergeCell ref="S4:T5"/>
    <mergeCell ref="P11:AB12"/>
    <mergeCell ref="S7:T8"/>
  </mergeCells>
  <conditionalFormatting sqref="B8:M8">
    <cfRule type="containsText" dxfId="5728" priority="5" operator="containsText" text="Crítico">
      <formula>NOT(ISERROR(SEARCH("Crítico",B8)))</formula>
    </cfRule>
    <cfRule type="containsText" dxfId="5727" priority="6" operator="containsText" text="Alerta">
      <formula>NOT(ISERROR(SEARCH("Alerta",B8)))</formula>
    </cfRule>
    <cfRule type="containsText" dxfId="5726" priority="7" operator="containsText" text="Esperado">
      <formula>NOT(ISERROR(SEARCH("Esperado",B8)))</formula>
    </cfRule>
    <cfRule type="containsText" dxfId="5725" priority="8" operator="containsText" text="Alcançado">
      <formula>NOT(ISERROR(SEARCH("Alcançado",B8)))</formula>
    </cfRule>
  </conditionalFormatting>
  <conditionalFormatting sqref="AB6">
    <cfRule type="containsText" dxfId="5724" priority="1" operator="containsText" text="Crítico">
      <formula>NOT(ISERROR(SEARCH("Crítico",AB6)))</formula>
    </cfRule>
    <cfRule type="containsText" dxfId="5723" priority="2" operator="containsText" text="Alerta">
      <formula>NOT(ISERROR(SEARCH("Alerta",AB6)))</formula>
    </cfRule>
    <cfRule type="containsText" dxfId="5722" priority="3" operator="containsText" text="Esperado">
      <formula>NOT(ISERROR(SEARCH("Esperado",AB6)))</formula>
    </cfRule>
    <cfRule type="containsText" dxfId="5721" priority="4" operator="containsText" text="Alcançado">
      <formula>NOT(ISERROR(SEARCH("Alcançado",AB6)))</formula>
    </cfRule>
  </conditionalFormatting>
  <dataValidations count="1">
    <dataValidation allowBlank="1" showInputMessage="1" sqref="AB6 N5:N8 O7 B6:M8"/>
  </dataValidations>
  <pageMargins left="0.511811024" right="0.511811024" top="0.78740157499999996" bottom="0.78740157499999996" header="0.31496062000000002" footer="0.31496062000000002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000"/>
  <sheetViews>
    <sheetView zoomScaleNormal="100" workbookViewId="0">
      <pane xSplit="3" ySplit="6" topLeftCell="L7" activePane="bottomRight" state="frozen"/>
      <selection pane="topRight" activeCell="H1" sqref="H1"/>
      <selection pane="bottomLeft" activeCell="A7" sqref="A7"/>
      <selection pane="bottomRight" activeCell="T28" sqref="T28"/>
    </sheetView>
  </sheetViews>
  <sheetFormatPr defaultColWidth="12.625" defaultRowHeight="14.25" x14ac:dyDescent="0.2"/>
  <cols>
    <col min="1" max="1" width="12.25" style="289" customWidth="1"/>
    <col min="2" max="2" width="27.5" style="289" customWidth="1"/>
    <col min="3" max="3" width="8.75" style="289" customWidth="1"/>
    <col min="4" max="4" width="9.5" style="289" customWidth="1"/>
    <col min="5" max="5" width="7.125" style="289" customWidth="1"/>
    <col min="6" max="6" width="6.875" style="289" customWidth="1"/>
    <col min="7" max="7" width="8.125" style="289" customWidth="1"/>
    <col min="8" max="8" width="7.25" style="289" customWidth="1"/>
    <col min="9" max="9" width="9.875" style="289" customWidth="1"/>
    <col min="10" max="10" width="9.75" style="289" customWidth="1"/>
    <col min="11" max="11" width="7.25" style="289" customWidth="1"/>
    <col min="12" max="12" width="6.625" style="289" customWidth="1"/>
    <col min="13" max="13" width="6.25" style="289" customWidth="1"/>
    <col min="14" max="14" width="6.375" style="289" customWidth="1"/>
    <col min="15" max="15" width="7.25" style="289" customWidth="1"/>
    <col min="16" max="16" width="7.375" style="289" customWidth="1"/>
    <col min="17" max="17" width="7.25" style="289" customWidth="1"/>
    <col min="18" max="18" width="5.375" style="289" customWidth="1"/>
    <col min="19" max="19" width="7.875" style="289" customWidth="1"/>
    <col min="20" max="20" width="8" style="289" customWidth="1"/>
    <col min="21" max="21" width="7.25" style="289" customWidth="1"/>
    <col min="22" max="22" width="5.5" style="289" customWidth="1"/>
    <col min="23" max="23" width="4.375" style="289" customWidth="1"/>
    <col min="24" max="24" width="2.75" style="289" bestFit="1" customWidth="1"/>
    <col min="25" max="25" width="8.875" style="289" customWidth="1"/>
    <col min="26" max="26" width="0.875" style="289" customWidth="1"/>
    <col min="27" max="28" width="8" style="289" customWidth="1"/>
    <col min="29" max="30" width="8.5" style="289" customWidth="1"/>
    <col min="31" max="31" width="7.625" style="289" hidden="1" customWidth="1"/>
  </cols>
  <sheetData>
    <row r="1" spans="1:31" ht="18.75" customHeight="1" x14ac:dyDescent="0.3">
      <c r="A1" s="5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5" customHeight="1" x14ac:dyDescent="0.25">
      <c r="A2" s="6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75" customHeight="1" x14ac:dyDescent="0.25">
      <c r="A3" s="359" t="s">
        <v>50</v>
      </c>
      <c r="B3" s="347" t="s">
        <v>51</v>
      </c>
      <c r="C3" s="355" t="s">
        <v>52</v>
      </c>
      <c r="D3" s="353" t="s">
        <v>53</v>
      </c>
      <c r="E3" s="319"/>
      <c r="F3" s="319"/>
      <c r="G3" s="319"/>
      <c r="H3" s="335"/>
      <c r="I3" s="334" t="s">
        <v>54</v>
      </c>
      <c r="J3" s="319"/>
      <c r="K3" s="335"/>
      <c r="L3" s="7" t="s">
        <v>55</v>
      </c>
      <c r="M3" s="334" t="s">
        <v>55</v>
      </c>
      <c r="N3" s="319"/>
      <c r="O3" s="319"/>
      <c r="P3" s="319"/>
      <c r="Q3" s="335"/>
      <c r="R3" s="318" t="s">
        <v>56</v>
      </c>
      <c r="S3" s="319"/>
      <c r="T3" s="319"/>
      <c r="U3" s="319"/>
      <c r="V3" s="358" t="s">
        <v>57</v>
      </c>
      <c r="W3" s="344" t="s">
        <v>58</v>
      </c>
      <c r="X3" s="8"/>
      <c r="Y3" s="325" t="s">
        <v>59</v>
      </c>
      <c r="Z3" s="2"/>
      <c r="AA3" s="325" t="s">
        <v>60</v>
      </c>
      <c r="AB3" s="357" t="s">
        <v>61</v>
      </c>
      <c r="AC3" s="346" t="s">
        <v>62</v>
      </c>
      <c r="AD3" s="336" t="s">
        <v>63</v>
      </c>
      <c r="AE3" s="349" t="s">
        <v>64</v>
      </c>
    </row>
    <row r="4" spans="1:31" ht="32.25" customHeight="1" x14ac:dyDescent="0.25">
      <c r="A4" s="326"/>
      <c r="B4" s="348"/>
      <c r="C4" s="321"/>
      <c r="D4" s="351" t="s">
        <v>65</v>
      </c>
      <c r="E4" s="338"/>
      <c r="F4" s="338"/>
      <c r="G4" s="338"/>
      <c r="H4" s="339"/>
      <c r="I4" s="337" t="s">
        <v>66</v>
      </c>
      <c r="J4" s="338"/>
      <c r="K4" s="339"/>
      <c r="L4" s="9" t="s">
        <v>67</v>
      </c>
      <c r="M4" s="337" t="s">
        <v>68</v>
      </c>
      <c r="N4" s="338"/>
      <c r="O4" s="338"/>
      <c r="P4" s="338"/>
      <c r="Q4" s="339"/>
      <c r="R4" s="342" t="s">
        <v>69</v>
      </c>
      <c r="S4" s="338"/>
      <c r="T4" s="338"/>
      <c r="U4" s="338"/>
      <c r="V4" s="321"/>
      <c r="W4" s="345"/>
      <c r="X4" s="10"/>
      <c r="Y4" s="326"/>
      <c r="Z4" s="2"/>
      <c r="AA4" s="326"/>
      <c r="AB4" s="326"/>
      <c r="AC4" s="326"/>
      <c r="AD4" s="326"/>
      <c r="AE4" s="326"/>
    </row>
    <row r="5" spans="1:31" ht="51" customHeight="1" x14ac:dyDescent="0.25">
      <c r="A5" s="326"/>
      <c r="B5" s="348"/>
      <c r="C5" s="288" t="s">
        <v>70</v>
      </c>
      <c r="D5" s="320" t="s">
        <v>71</v>
      </c>
      <c r="E5" s="320" t="s">
        <v>72</v>
      </c>
      <c r="F5" s="320" t="s">
        <v>73</v>
      </c>
      <c r="G5" s="320" t="s">
        <v>74</v>
      </c>
      <c r="H5" s="324" t="s">
        <v>75</v>
      </c>
      <c r="I5" s="320" t="s">
        <v>76</v>
      </c>
      <c r="J5" s="320" t="s">
        <v>77</v>
      </c>
      <c r="K5" s="324" t="s">
        <v>75</v>
      </c>
      <c r="L5" s="360" t="s">
        <v>78</v>
      </c>
      <c r="M5" s="320" t="s">
        <v>79</v>
      </c>
      <c r="N5" s="320" t="s">
        <v>80</v>
      </c>
      <c r="O5" s="320" t="s">
        <v>81</v>
      </c>
      <c r="P5" s="320" t="s">
        <v>82</v>
      </c>
      <c r="Q5" s="324" t="s">
        <v>75</v>
      </c>
      <c r="R5" s="320" t="s">
        <v>83</v>
      </c>
      <c r="S5" s="320" t="s">
        <v>84</v>
      </c>
      <c r="T5" s="320" t="s">
        <v>85</v>
      </c>
      <c r="U5" s="324" t="s">
        <v>75</v>
      </c>
      <c r="V5" s="350" t="s">
        <v>86</v>
      </c>
      <c r="W5" s="345"/>
      <c r="X5" s="11" t="s">
        <v>87</v>
      </c>
      <c r="Y5" s="326"/>
      <c r="Z5" s="2"/>
      <c r="AA5" s="326"/>
      <c r="AB5" s="326"/>
      <c r="AC5" s="326"/>
      <c r="AD5" s="326"/>
      <c r="AE5" s="326"/>
    </row>
    <row r="6" spans="1:31" ht="18" customHeight="1" x14ac:dyDescent="0.25">
      <c r="A6" s="326"/>
      <c r="B6" s="348"/>
      <c r="C6" s="288" t="s">
        <v>38</v>
      </c>
      <c r="D6" s="321"/>
      <c r="E6" s="321"/>
      <c r="F6" s="321"/>
      <c r="G6" s="321"/>
      <c r="H6" s="321"/>
      <c r="I6" s="321"/>
      <c r="J6" s="321"/>
      <c r="K6" s="321"/>
      <c r="L6" s="326"/>
      <c r="M6" s="321"/>
      <c r="N6" s="321"/>
      <c r="O6" s="321"/>
      <c r="P6" s="321"/>
      <c r="Q6" s="321"/>
      <c r="R6" s="321"/>
      <c r="S6" s="321"/>
      <c r="T6" s="321"/>
      <c r="U6" s="321"/>
      <c r="V6" s="326"/>
      <c r="W6" s="345"/>
      <c r="X6" s="12"/>
      <c r="Y6" s="321"/>
      <c r="Z6" s="13"/>
      <c r="AA6" s="326"/>
      <c r="AB6" s="321"/>
      <c r="AC6" s="326"/>
      <c r="AD6" s="326"/>
      <c r="AE6" s="326"/>
    </row>
    <row r="7" spans="1:31" ht="33.75" customHeight="1" x14ac:dyDescent="0.25">
      <c r="A7" s="321"/>
      <c r="B7" s="348"/>
      <c r="C7" s="14" t="s">
        <v>88</v>
      </c>
      <c r="D7" s="340" t="s">
        <v>89</v>
      </c>
      <c r="E7" s="341"/>
      <c r="F7" s="341"/>
      <c r="G7" s="341"/>
      <c r="H7" s="323"/>
      <c r="I7" s="340" t="s">
        <v>90</v>
      </c>
      <c r="J7" s="341"/>
      <c r="K7" s="323"/>
      <c r="L7" s="321"/>
      <c r="M7" s="340" t="s">
        <v>90</v>
      </c>
      <c r="N7" s="341"/>
      <c r="O7" s="341"/>
      <c r="P7" s="341"/>
      <c r="Q7" s="323"/>
      <c r="R7" s="340" t="s">
        <v>91</v>
      </c>
      <c r="S7" s="341"/>
      <c r="T7" s="341"/>
      <c r="U7" s="323"/>
      <c r="V7" s="321"/>
      <c r="W7" s="15"/>
      <c r="X7" s="12"/>
      <c r="Y7" s="16">
        <v>1</v>
      </c>
      <c r="Z7" s="13"/>
      <c r="AA7" s="321"/>
      <c r="AB7" s="283">
        <v>1</v>
      </c>
      <c r="AC7" s="321"/>
      <c r="AD7" s="321"/>
      <c r="AE7" s="321"/>
    </row>
    <row r="8" spans="1:31" ht="15" customHeight="1" x14ac:dyDescent="0.25">
      <c r="A8" s="17" t="s">
        <v>92</v>
      </c>
      <c r="B8" s="18" t="s">
        <v>93</v>
      </c>
      <c r="C8" s="19">
        <v>1</v>
      </c>
      <c r="D8" s="20"/>
      <c r="E8" s="21"/>
      <c r="F8" s="21"/>
      <c r="G8" s="22"/>
      <c r="H8" s="23">
        <f t="shared" ref="H8:H18" si="0">SUM(D8:G8)/8</f>
        <v>0</v>
      </c>
      <c r="I8" s="24"/>
      <c r="J8" s="21"/>
      <c r="K8" s="23"/>
      <c r="L8" s="25"/>
      <c r="M8" s="26">
        <f>[2]Geral!$O$38</f>
        <v>2</v>
      </c>
      <c r="N8" s="27">
        <f>[2]Geral!$P$38</f>
        <v>1.9969135802469136</v>
      </c>
      <c r="O8" s="27">
        <f>[2]Geral!$Q$38</f>
        <v>2</v>
      </c>
      <c r="P8" s="28">
        <f>[2]Geral!$R$38</f>
        <v>2</v>
      </c>
      <c r="Q8" s="37">
        <f t="shared" ref="Q8:Q18" si="1">SUM(M8:P8)/8</f>
        <v>0.99961419753086422</v>
      </c>
      <c r="R8" s="26"/>
      <c r="S8" s="27"/>
      <c r="T8" s="27"/>
      <c r="U8" s="23">
        <f t="shared" ref="U8:U15" si="2">IF(R8="",0,R8/2)</f>
        <v>0</v>
      </c>
      <c r="V8" s="29">
        <v>3</v>
      </c>
      <c r="W8" s="30">
        <f t="shared" ref="W8:W18" si="3">(X8/SUM($X$8:$X$18))</f>
        <v>0.19354838709677419</v>
      </c>
      <c r="X8" s="31">
        <v>3</v>
      </c>
      <c r="Y8" s="32">
        <f>IF(C8=0,"",AVERAGE(Q8))</f>
        <v>0.99961419753086422</v>
      </c>
      <c r="Z8" s="4"/>
      <c r="AA8" s="33">
        <v>0.65517241379310343</v>
      </c>
      <c r="AB8" s="34"/>
      <c r="AC8" s="327">
        <f>SUM(C8:C18)/F25</f>
        <v>0.16216216216216217</v>
      </c>
      <c r="AD8" s="356">
        <f>SUMPRODUCT(Y8:Y18,V8:V18)/SUM(V8:V18)</f>
        <v>0.98949074074074073</v>
      </c>
      <c r="AE8" s="329">
        <f>AC8*AD8</f>
        <v>0.16045795795795798</v>
      </c>
    </row>
    <row r="9" spans="1:31" ht="15" customHeight="1" x14ac:dyDescent="0.25">
      <c r="A9" s="343" t="s">
        <v>94</v>
      </c>
      <c r="B9" s="35" t="s">
        <v>95</v>
      </c>
      <c r="C9" s="36">
        <v>1</v>
      </c>
      <c r="D9" s="20">
        <v>2</v>
      </c>
      <c r="E9" s="21">
        <v>2</v>
      </c>
      <c r="F9" s="21">
        <v>2</v>
      </c>
      <c r="G9" s="22">
        <v>2</v>
      </c>
      <c r="H9" s="37">
        <f t="shared" si="0"/>
        <v>1</v>
      </c>
      <c r="I9" s="24">
        <v>2</v>
      </c>
      <c r="J9" s="21">
        <v>2</v>
      </c>
      <c r="K9" s="37">
        <f t="shared" ref="K9:K18" si="4">SUM(I9:J9)/4</f>
        <v>1</v>
      </c>
      <c r="L9" s="20">
        <v>2</v>
      </c>
      <c r="M9" s="26">
        <f>[2]Geral!$O$39</f>
        <v>2</v>
      </c>
      <c r="N9" s="27">
        <f>[2]Geral!$P$39</f>
        <v>2</v>
      </c>
      <c r="O9" s="27">
        <f>[2]Geral!$Q$39</f>
        <v>2</v>
      </c>
      <c r="P9" s="28">
        <f>[2]Geral!$R$39</f>
        <v>2</v>
      </c>
      <c r="Q9" s="37">
        <f t="shared" si="1"/>
        <v>1</v>
      </c>
      <c r="R9" s="26">
        <f>[2]Geral!$T$39</f>
        <v>2</v>
      </c>
      <c r="S9" s="137">
        <f>[2]Geral!$U$39</f>
        <v>2</v>
      </c>
      <c r="T9" s="140">
        <f>[2]Geral!$V$39</f>
        <v>2</v>
      </c>
      <c r="U9" s="23">
        <f t="shared" si="2"/>
        <v>1</v>
      </c>
      <c r="V9" s="38">
        <f>IF(C9=0,"",X9)</f>
        <v>2.5</v>
      </c>
      <c r="W9" s="30">
        <f t="shared" si="3"/>
        <v>0.16129032258064516</v>
      </c>
      <c r="X9" s="31">
        <v>2.5</v>
      </c>
      <c r="Y9" s="32">
        <f t="shared" ref="Y9:Y18" si="5">IF(C9=0,"",AVERAGE(Q9,U9))</f>
        <v>1</v>
      </c>
      <c r="Z9" s="4"/>
      <c r="AA9" s="33">
        <v>1</v>
      </c>
      <c r="AB9" s="39">
        <f t="shared" ref="AB9:AB18" si="6">AVERAGE(H9,K9,IF(L9=1,L9/2,IF(L9=2,L9/2,0)))</f>
        <v>1</v>
      </c>
      <c r="AC9" s="328"/>
      <c r="AD9" s="326"/>
      <c r="AE9" s="330"/>
    </row>
    <row r="10" spans="1:31" ht="15" customHeight="1" x14ac:dyDescent="0.25">
      <c r="A10" s="326"/>
      <c r="B10" s="35" t="s">
        <v>96</v>
      </c>
      <c r="C10" s="36">
        <v>0</v>
      </c>
      <c r="D10" s="20"/>
      <c r="E10" s="21"/>
      <c r="F10" s="21"/>
      <c r="G10" s="22"/>
      <c r="H10" s="37">
        <f t="shared" si="0"/>
        <v>0</v>
      </c>
      <c r="I10" s="24"/>
      <c r="J10" s="21"/>
      <c r="K10" s="37">
        <f t="shared" si="4"/>
        <v>0</v>
      </c>
      <c r="L10" s="20">
        <v>0</v>
      </c>
      <c r="M10" s="26"/>
      <c r="N10" s="27"/>
      <c r="O10" s="27"/>
      <c r="P10" s="28"/>
      <c r="Q10" s="37">
        <f t="shared" si="1"/>
        <v>0</v>
      </c>
      <c r="R10" s="26"/>
      <c r="S10" s="137"/>
      <c r="T10" s="140"/>
      <c r="U10" s="23">
        <f t="shared" si="2"/>
        <v>0</v>
      </c>
      <c r="V10" s="38" t="str">
        <f>IF(C10=0,"",X10)</f>
        <v/>
      </c>
      <c r="W10" s="30">
        <f t="shared" si="3"/>
        <v>3.2258064516129031E-2</v>
      </c>
      <c r="X10" s="31">
        <v>0.5</v>
      </c>
      <c r="Y10" s="32" t="str">
        <f t="shared" si="5"/>
        <v/>
      </c>
      <c r="Z10" s="4"/>
      <c r="AA10" s="33">
        <v>0</v>
      </c>
      <c r="AB10" s="39">
        <f t="shared" si="6"/>
        <v>0</v>
      </c>
      <c r="AC10" s="328"/>
      <c r="AD10" s="326"/>
      <c r="AE10" s="330"/>
    </row>
    <row r="11" spans="1:31" ht="15" customHeight="1" x14ac:dyDescent="0.25">
      <c r="A11" s="326"/>
      <c r="B11" s="35" t="s">
        <v>97</v>
      </c>
      <c r="C11" s="36">
        <v>1</v>
      </c>
      <c r="D11" s="20"/>
      <c r="E11" s="21"/>
      <c r="F11" s="21"/>
      <c r="G11" s="22"/>
      <c r="H11" s="37">
        <f t="shared" si="0"/>
        <v>0</v>
      </c>
      <c r="I11" s="24"/>
      <c r="J11" s="21"/>
      <c r="K11" s="37">
        <f t="shared" si="4"/>
        <v>0</v>
      </c>
      <c r="L11" s="20">
        <v>0</v>
      </c>
      <c r="M11" s="26">
        <f>[2]Geral!$O$41</f>
        <v>2</v>
      </c>
      <c r="N11" s="27">
        <f>[2]Geral!$P$41</f>
        <v>2</v>
      </c>
      <c r="O11" s="27">
        <f>[2]Geral!$Q$41</f>
        <v>2</v>
      </c>
      <c r="P11" s="28">
        <f>[2]Geral!$R$41</f>
        <v>2</v>
      </c>
      <c r="Q11" s="37">
        <f t="shared" si="1"/>
        <v>1</v>
      </c>
      <c r="R11" s="26">
        <f>[2]Geral!$T$41</f>
        <v>2</v>
      </c>
      <c r="S11" s="137">
        <f>[2]Geral!$U$41</f>
        <v>2</v>
      </c>
      <c r="T11" s="140">
        <f>[2]Geral!$V$41</f>
        <v>2</v>
      </c>
      <c r="U11" s="23">
        <f t="shared" si="2"/>
        <v>1</v>
      </c>
      <c r="V11" s="38">
        <v>1.5</v>
      </c>
      <c r="W11" s="30">
        <f t="shared" si="3"/>
        <v>9.6774193548387094E-2</v>
      </c>
      <c r="X11" s="31">
        <v>1.5</v>
      </c>
      <c r="Y11" s="32">
        <f t="shared" si="5"/>
        <v>1</v>
      </c>
      <c r="Z11" s="4"/>
      <c r="AA11" s="33">
        <v>8.3333333333333329E-2</v>
      </c>
      <c r="AB11" s="39">
        <f t="shared" si="6"/>
        <v>0</v>
      </c>
      <c r="AC11" s="328"/>
      <c r="AD11" s="326"/>
      <c r="AE11" s="330"/>
    </row>
    <row r="12" spans="1:31" ht="15" customHeight="1" x14ac:dyDescent="0.25">
      <c r="A12" s="326"/>
      <c r="B12" s="40" t="s">
        <v>98</v>
      </c>
      <c r="C12" s="36">
        <v>1</v>
      </c>
      <c r="D12" s="20"/>
      <c r="E12" s="21"/>
      <c r="F12" s="21"/>
      <c r="G12" s="22"/>
      <c r="H12" s="37">
        <f t="shared" si="0"/>
        <v>0</v>
      </c>
      <c r="I12" s="24"/>
      <c r="J12" s="21"/>
      <c r="K12" s="37">
        <f t="shared" si="4"/>
        <v>0</v>
      </c>
      <c r="L12" s="20">
        <v>0</v>
      </c>
      <c r="M12" s="26">
        <f>[2]Geral!$O$42</f>
        <v>2</v>
      </c>
      <c r="N12" s="27">
        <f>[2]Geral!$P$42</f>
        <v>2</v>
      </c>
      <c r="O12" s="27">
        <f>[2]Geral!$Q$42</f>
        <v>2</v>
      </c>
      <c r="P12" s="28">
        <f>[2]Geral!$R$42</f>
        <v>2</v>
      </c>
      <c r="Q12" s="37">
        <f t="shared" si="1"/>
        <v>1</v>
      </c>
      <c r="R12" s="26">
        <f>[2]Geral!$T$42</f>
        <v>2</v>
      </c>
      <c r="S12" s="137">
        <f>[2]Geral!$U$42</f>
        <v>2</v>
      </c>
      <c r="T12" s="140">
        <f>[2]Geral!$V$42</f>
        <v>2</v>
      </c>
      <c r="U12" s="23">
        <f t="shared" si="2"/>
        <v>1</v>
      </c>
      <c r="V12" s="38">
        <f t="shared" ref="V12:V18" si="7">IF(C12=0,"",X12)</f>
        <v>1.5</v>
      </c>
      <c r="W12" s="30">
        <f t="shared" si="3"/>
        <v>9.6774193548387094E-2</v>
      </c>
      <c r="X12" s="31">
        <v>1.5</v>
      </c>
      <c r="Y12" s="32">
        <f t="shared" si="5"/>
        <v>1</v>
      </c>
      <c r="Z12" s="4"/>
      <c r="AA12" s="33">
        <v>0</v>
      </c>
      <c r="AB12" s="39">
        <f t="shared" si="6"/>
        <v>0</v>
      </c>
      <c r="AC12" s="328"/>
      <c r="AD12" s="326"/>
      <c r="AE12" s="330"/>
    </row>
    <row r="13" spans="1:31" ht="15" customHeight="1" x14ac:dyDescent="0.25">
      <c r="A13" s="326"/>
      <c r="B13" s="40" t="s">
        <v>99</v>
      </c>
      <c r="C13" s="36">
        <v>0</v>
      </c>
      <c r="D13" s="20"/>
      <c r="E13" s="21"/>
      <c r="F13" s="21"/>
      <c r="G13" s="22"/>
      <c r="H13" s="37">
        <f t="shared" si="0"/>
        <v>0</v>
      </c>
      <c r="I13" s="24"/>
      <c r="J13" s="21"/>
      <c r="K13" s="37">
        <f t="shared" si="4"/>
        <v>0</v>
      </c>
      <c r="L13" s="20">
        <v>0</v>
      </c>
      <c r="M13" s="26"/>
      <c r="N13" s="27"/>
      <c r="O13" s="27"/>
      <c r="P13" s="28"/>
      <c r="Q13" s="37">
        <f t="shared" si="1"/>
        <v>0</v>
      </c>
      <c r="R13" s="26"/>
      <c r="S13" s="137"/>
      <c r="T13" s="140"/>
      <c r="U13" s="23">
        <f t="shared" si="2"/>
        <v>0</v>
      </c>
      <c r="V13" s="38" t="str">
        <f t="shared" si="7"/>
        <v/>
      </c>
      <c r="W13" s="30">
        <f t="shared" si="3"/>
        <v>3.2258064516129031E-2</v>
      </c>
      <c r="X13" s="31">
        <v>0.5</v>
      </c>
      <c r="Y13" s="32" t="str">
        <f t="shared" si="5"/>
        <v/>
      </c>
      <c r="Z13" s="4"/>
      <c r="AA13" s="33">
        <v>0</v>
      </c>
      <c r="AB13" s="39">
        <f t="shared" si="6"/>
        <v>0</v>
      </c>
      <c r="AC13" s="328"/>
      <c r="AD13" s="326"/>
      <c r="AE13" s="330"/>
    </row>
    <row r="14" spans="1:31" ht="15" customHeight="1" x14ac:dyDescent="0.25">
      <c r="A14" s="326"/>
      <c r="B14" s="41" t="s">
        <v>100</v>
      </c>
      <c r="C14" s="36">
        <v>0</v>
      </c>
      <c r="D14" s="20"/>
      <c r="E14" s="21"/>
      <c r="F14" s="21"/>
      <c r="G14" s="22"/>
      <c r="H14" s="37">
        <f t="shared" si="0"/>
        <v>0</v>
      </c>
      <c r="I14" s="24"/>
      <c r="J14" s="21"/>
      <c r="K14" s="37">
        <f t="shared" si="4"/>
        <v>0</v>
      </c>
      <c r="L14" s="20">
        <v>0</v>
      </c>
      <c r="M14" s="26"/>
      <c r="N14" s="27"/>
      <c r="O14" s="27"/>
      <c r="P14" s="28"/>
      <c r="Q14" s="37">
        <f t="shared" si="1"/>
        <v>0</v>
      </c>
      <c r="R14" s="26"/>
      <c r="S14" s="137"/>
      <c r="T14" s="140"/>
      <c r="U14" s="23">
        <f t="shared" si="2"/>
        <v>0</v>
      </c>
      <c r="V14" s="38" t="str">
        <f t="shared" si="7"/>
        <v/>
      </c>
      <c r="W14" s="30">
        <f t="shared" si="3"/>
        <v>3.2258064516129031E-2</v>
      </c>
      <c r="X14" s="31">
        <v>0.5</v>
      </c>
      <c r="Y14" s="32" t="str">
        <f t="shared" si="5"/>
        <v/>
      </c>
      <c r="Z14" s="4"/>
      <c r="AA14" s="33">
        <v>0</v>
      </c>
      <c r="AB14" s="39">
        <f t="shared" si="6"/>
        <v>0</v>
      </c>
      <c r="AC14" s="328"/>
      <c r="AD14" s="326"/>
      <c r="AE14" s="330"/>
    </row>
    <row r="15" spans="1:31" ht="15" customHeight="1" x14ac:dyDescent="0.25">
      <c r="A15" s="326"/>
      <c r="B15" s="35" t="s">
        <v>101</v>
      </c>
      <c r="C15" s="36">
        <v>0</v>
      </c>
      <c r="D15" s="20"/>
      <c r="E15" s="21"/>
      <c r="F15" s="21"/>
      <c r="G15" s="22"/>
      <c r="H15" s="37">
        <f t="shared" si="0"/>
        <v>0</v>
      </c>
      <c r="I15" s="24"/>
      <c r="J15" s="21"/>
      <c r="K15" s="37">
        <f t="shared" si="4"/>
        <v>0</v>
      </c>
      <c r="L15" s="20">
        <v>0</v>
      </c>
      <c r="M15" s="26"/>
      <c r="N15" s="27"/>
      <c r="O15" s="27"/>
      <c r="P15" s="28"/>
      <c r="Q15" s="37">
        <f t="shared" si="1"/>
        <v>0</v>
      </c>
      <c r="R15" s="26"/>
      <c r="S15" s="137"/>
      <c r="T15" s="140"/>
      <c r="U15" s="23">
        <f t="shared" si="2"/>
        <v>0</v>
      </c>
      <c r="V15" s="38" t="str">
        <f t="shared" si="7"/>
        <v/>
      </c>
      <c r="W15" s="30">
        <f t="shared" si="3"/>
        <v>6.4516129032258063E-2</v>
      </c>
      <c r="X15" s="31">
        <v>1</v>
      </c>
      <c r="Y15" s="32" t="str">
        <f t="shared" si="5"/>
        <v/>
      </c>
      <c r="Z15" s="4"/>
      <c r="AA15" s="33">
        <v>0</v>
      </c>
      <c r="AB15" s="39">
        <f t="shared" si="6"/>
        <v>0</v>
      </c>
      <c r="AC15" s="328"/>
      <c r="AD15" s="326"/>
      <c r="AE15" s="330"/>
    </row>
    <row r="16" spans="1:31" ht="15" customHeight="1" x14ac:dyDescent="0.25">
      <c r="A16" s="354" t="s">
        <v>102</v>
      </c>
      <c r="B16" s="41" t="s">
        <v>103</v>
      </c>
      <c r="C16" s="36">
        <v>1</v>
      </c>
      <c r="D16" s="20">
        <v>2</v>
      </c>
      <c r="E16" s="21">
        <v>2</v>
      </c>
      <c r="F16" s="21">
        <v>2</v>
      </c>
      <c r="G16" s="22">
        <v>2</v>
      </c>
      <c r="H16" s="37">
        <f t="shared" si="0"/>
        <v>1</v>
      </c>
      <c r="I16" s="24">
        <v>2</v>
      </c>
      <c r="J16" s="21">
        <v>2</v>
      </c>
      <c r="K16" s="37">
        <f t="shared" si="4"/>
        <v>1</v>
      </c>
      <c r="L16" s="20">
        <v>2</v>
      </c>
      <c r="M16" s="26">
        <f>[2]Geral!$O$46</f>
        <v>2</v>
      </c>
      <c r="N16" s="27">
        <f>[2]Geral!$P$46</f>
        <v>1.8333333333333333</v>
      </c>
      <c r="O16" s="27">
        <f>[2]Geral!$Q$46</f>
        <v>1.4166666666666667</v>
      </c>
      <c r="P16" s="28">
        <f>[2]Geral!$R$46</f>
        <v>1.9166666666666667</v>
      </c>
      <c r="Q16" s="37">
        <f t="shared" si="1"/>
        <v>0.89583333333333337</v>
      </c>
      <c r="R16" s="26">
        <f>[2]Geral!$T$46</f>
        <v>2</v>
      </c>
      <c r="S16" s="137">
        <f>[2]Geral!$U$46</f>
        <v>2</v>
      </c>
      <c r="T16" s="140">
        <f>[2]Geral!$V$46</f>
        <v>2</v>
      </c>
      <c r="U16" s="236">
        <f>IF(T16="",SUM(R16:S16)/4,SUM(R16:T16)/6)</f>
        <v>1</v>
      </c>
      <c r="V16" s="38">
        <f t="shared" si="7"/>
        <v>2.5</v>
      </c>
      <c r="W16" s="30">
        <f t="shared" si="3"/>
        <v>0.16129032258064516</v>
      </c>
      <c r="X16" s="31">
        <v>2.5</v>
      </c>
      <c r="Y16" s="32">
        <f t="shared" si="5"/>
        <v>0.94791666666666674</v>
      </c>
      <c r="Z16" s="4"/>
      <c r="AA16" s="33">
        <v>1</v>
      </c>
      <c r="AB16" s="39">
        <f t="shared" si="6"/>
        <v>1</v>
      </c>
      <c r="AC16" s="328"/>
      <c r="AD16" s="326"/>
      <c r="AE16" s="330"/>
    </row>
    <row r="17" spans="1:31" ht="15" customHeight="1" x14ac:dyDescent="0.25">
      <c r="A17" s="326"/>
      <c r="B17" s="42" t="s">
        <v>104</v>
      </c>
      <c r="C17" s="36">
        <v>0</v>
      </c>
      <c r="D17" s="20"/>
      <c r="E17" s="21"/>
      <c r="F17" s="21"/>
      <c r="G17" s="22"/>
      <c r="H17" s="37">
        <f t="shared" si="0"/>
        <v>0</v>
      </c>
      <c r="I17" s="24"/>
      <c r="J17" s="21"/>
      <c r="K17" s="37">
        <f t="shared" si="4"/>
        <v>0</v>
      </c>
      <c r="L17" s="20">
        <v>0</v>
      </c>
      <c r="M17" s="26"/>
      <c r="N17" s="27"/>
      <c r="O17" s="27"/>
      <c r="P17" s="28"/>
      <c r="Q17" s="37">
        <f t="shared" si="1"/>
        <v>0</v>
      </c>
      <c r="R17" s="26"/>
      <c r="S17" s="27"/>
      <c r="T17" s="27"/>
      <c r="U17" s="23">
        <f>IF(R17="",0,R17/2)</f>
        <v>0</v>
      </c>
      <c r="V17" s="38" t="str">
        <f t="shared" si="7"/>
        <v/>
      </c>
      <c r="W17" s="30">
        <f t="shared" si="3"/>
        <v>3.2258064516129031E-2</v>
      </c>
      <c r="X17" s="31">
        <v>0.5</v>
      </c>
      <c r="Y17" s="32" t="str">
        <f t="shared" si="5"/>
        <v/>
      </c>
      <c r="Z17" s="4"/>
      <c r="AA17" s="33">
        <v>0</v>
      </c>
      <c r="AB17" s="39">
        <f t="shared" si="6"/>
        <v>0</v>
      </c>
      <c r="AC17" s="328"/>
      <c r="AD17" s="326"/>
      <c r="AE17" s="330"/>
    </row>
    <row r="18" spans="1:31" ht="15" customHeight="1" x14ac:dyDescent="0.25">
      <c r="A18" s="321"/>
      <c r="B18" s="42" t="s">
        <v>105</v>
      </c>
      <c r="C18" s="36">
        <v>1</v>
      </c>
      <c r="D18" s="20"/>
      <c r="E18" s="21"/>
      <c r="F18" s="21"/>
      <c r="G18" s="22"/>
      <c r="H18" s="37">
        <f t="shared" si="0"/>
        <v>0</v>
      </c>
      <c r="I18" s="24"/>
      <c r="J18" s="21"/>
      <c r="K18" s="37">
        <f t="shared" si="4"/>
        <v>0</v>
      </c>
      <c r="L18" s="25">
        <v>0</v>
      </c>
      <c r="M18" s="26">
        <f>[2]Geral!$O$48</f>
        <v>2</v>
      </c>
      <c r="N18" s="27">
        <f>[2]Geral!$P$48</f>
        <v>2</v>
      </c>
      <c r="O18" s="27">
        <f>[2]Geral!$Q$48</f>
        <v>2</v>
      </c>
      <c r="P18" s="28">
        <f>[2]Geral!$R$48</f>
        <v>2</v>
      </c>
      <c r="Q18" s="37">
        <f t="shared" si="1"/>
        <v>1</v>
      </c>
      <c r="R18" s="26">
        <f>[2]Geral!$T$48</f>
        <v>2</v>
      </c>
      <c r="S18" s="27">
        <f>[2]Geral!$U$48</f>
        <v>2</v>
      </c>
      <c r="T18" s="27">
        <f>[2]Geral!$V$48</f>
        <v>2</v>
      </c>
      <c r="U18" s="23">
        <f>IF(R18="",0,R18/2)</f>
        <v>1</v>
      </c>
      <c r="V18" s="38">
        <f t="shared" si="7"/>
        <v>1.5</v>
      </c>
      <c r="W18" s="30">
        <f t="shared" si="3"/>
        <v>9.6774193548387094E-2</v>
      </c>
      <c r="X18" s="31">
        <v>1.5</v>
      </c>
      <c r="Y18" s="32">
        <f t="shared" si="5"/>
        <v>1</v>
      </c>
      <c r="Z18" s="4"/>
      <c r="AA18" s="33">
        <v>0</v>
      </c>
      <c r="AB18" s="39">
        <f t="shared" si="6"/>
        <v>0</v>
      </c>
      <c r="AC18" s="328"/>
      <c r="AD18" s="326"/>
      <c r="AE18" s="331"/>
    </row>
    <row r="19" spans="1:31" ht="15" customHeight="1" x14ac:dyDescent="0.25">
      <c r="A19" s="2"/>
      <c r="B19" s="43" t="s">
        <v>106</v>
      </c>
      <c r="C19" s="44">
        <f>SUM(C1:C18)</f>
        <v>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.75" customHeight="1" x14ac:dyDescent="0.25">
      <c r="A21" s="332" t="s">
        <v>107</v>
      </c>
      <c r="B21" s="333"/>
      <c r="C21" s="333"/>
      <c r="D21" s="2"/>
      <c r="E21" s="1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75" customHeight="1" x14ac:dyDescent="0.25">
      <c r="A22" s="352" t="s">
        <v>109</v>
      </c>
      <c r="B22" s="323"/>
      <c r="C22" s="287" t="s">
        <v>110</v>
      </c>
      <c r="D22" s="2"/>
      <c r="E22" s="43" t="s">
        <v>111</v>
      </c>
      <c r="F22" s="45">
        <v>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75" customHeight="1" x14ac:dyDescent="0.25">
      <c r="A23" s="322" t="s">
        <v>112</v>
      </c>
      <c r="B23" s="323"/>
      <c r="C23" s="46">
        <v>0.5</v>
      </c>
      <c r="D23" s="2"/>
      <c r="E23" s="43" t="s">
        <v>113</v>
      </c>
      <c r="F23" s="45">
        <v>27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75" customHeight="1" x14ac:dyDescent="0.25">
      <c r="A24" s="322" t="s">
        <v>114</v>
      </c>
      <c r="B24" s="323"/>
      <c r="C24" s="46">
        <v>1</v>
      </c>
      <c r="D24" s="2"/>
      <c r="E24" s="43" t="s">
        <v>115</v>
      </c>
      <c r="F24" s="45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.75" customHeight="1" x14ac:dyDescent="0.25">
      <c r="A25" s="322" t="s">
        <v>116</v>
      </c>
      <c r="B25" s="323"/>
      <c r="C25" s="46">
        <v>1.5</v>
      </c>
      <c r="D25" s="2"/>
      <c r="E25" s="1" t="s">
        <v>117</v>
      </c>
      <c r="F25" s="45">
        <f>SUM(F22:F24)</f>
        <v>37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.75" customHeight="1" x14ac:dyDescent="0.25">
      <c r="A26" s="322" t="s">
        <v>118</v>
      </c>
      <c r="B26" s="323"/>
      <c r="C26" s="46">
        <v>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75" customHeight="1" x14ac:dyDescent="0.25">
      <c r="A27" s="322" t="s">
        <v>119</v>
      </c>
      <c r="B27" s="323"/>
      <c r="C27" s="46">
        <v>2.5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75" customHeight="1" x14ac:dyDescent="0.25">
      <c r="A28" s="322" t="s">
        <v>120</v>
      </c>
      <c r="B28" s="323"/>
      <c r="C28" s="46">
        <v>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55">
    <mergeCell ref="AD8:AD18"/>
    <mergeCell ref="AB3:AB6"/>
    <mergeCell ref="V3:V4"/>
    <mergeCell ref="A28:B28"/>
    <mergeCell ref="A3:A7"/>
    <mergeCell ref="T5:T6"/>
    <mergeCell ref="L5:L7"/>
    <mergeCell ref="K5:K6"/>
    <mergeCell ref="I7:K7"/>
    <mergeCell ref="M4:Q4"/>
    <mergeCell ref="A25:B25"/>
    <mergeCell ref="AD3:AD7"/>
    <mergeCell ref="M5:M6"/>
    <mergeCell ref="I4:K4"/>
    <mergeCell ref="A27:B27"/>
    <mergeCell ref="I5:I6"/>
    <mergeCell ref="M7:Q7"/>
    <mergeCell ref="G5:G6"/>
    <mergeCell ref="A26:B26"/>
    <mergeCell ref="D7:H7"/>
    <mergeCell ref="S5:S6"/>
    <mergeCell ref="U5:U6"/>
    <mergeCell ref="R4:U4"/>
    <mergeCell ref="A9:A15"/>
    <mergeCell ref="W3:W6"/>
    <mergeCell ref="R7:U7"/>
    <mergeCell ref="Y3:Y6"/>
    <mergeCell ref="AC8:AC18"/>
    <mergeCell ref="AE8:AE18"/>
    <mergeCell ref="AA3:AA7"/>
    <mergeCell ref="A21:C21"/>
    <mergeCell ref="F5:F6"/>
    <mergeCell ref="I3:K3"/>
    <mergeCell ref="N5:N6"/>
    <mergeCell ref="AC3:AC7"/>
    <mergeCell ref="B3:B7"/>
    <mergeCell ref="AE3:AE7"/>
    <mergeCell ref="V5:V7"/>
    <mergeCell ref="D4:H4"/>
    <mergeCell ref="M3:Q3"/>
    <mergeCell ref="D3:H3"/>
    <mergeCell ref="D5:D6"/>
    <mergeCell ref="R3:U3"/>
    <mergeCell ref="O5:O6"/>
    <mergeCell ref="E5:E6"/>
    <mergeCell ref="A24:B24"/>
    <mergeCell ref="Q5:Q6"/>
    <mergeCell ref="A23:B23"/>
    <mergeCell ref="A22:B22"/>
    <mergeCell ref="P5:P6"/>
    <mergeCell ref="H5:H6"/>
    <mergeCell ref="R5:R6"/>
    <mergeCell ref="J5:J6"/>
    <mergeCell ref="A16:A18"/>
    <mergeCell ref="C3:C4"/>
  </mergeCells>
  <conditionalFormatting sqref="D8:G18 I8:J18 M8:P18 R8:T18">
    <cfRule type="cellIs" dxfId="5720" priority="2" operator="between">
      <formula>1.5</formula>
      <formula>2</formula>
    </cfRule>
    <cfRule type="cellIs" dxfId="5719" priority="3" operator="between">
      <formula>0.7</formula>
      <formula>1.49</formula>
    </cfRule>
    <cfRule type="cellIs" dxfId="5718" priority="4" operator="between">
      <formula>0</formula>
      <formula>0.69</formula>
    </cfRule>
  </conditionalFormatting>
  <conditionalFormatting sqref="M12:N15 M16:P16 M17:N18">
    <cfRule type="cellIs" dxfId="5717" priority="5" operator="between">
      <formula>1.5</formula>
      <formula>2</formula>
    </cfRule>
    <cfRule type="cellIs" dxfId="5716" priority="6" operator="between">
      <formula>0.7</formula>
      <formula>1.49</formula>
    </cfRule>
    <cfRule type="cellIs" dxfId="5715" priority="7" operator="between">
      <formula>0</formula>
      <formula>0.69</formula>
    </cfRule>
  </conditionalFormatting>
  <conditionalFormatting sqref="O12:O15 O17:O18">
    <cfRule type="cellIs" dxfId="5714" priority="8" operator="between">
      <formula>1.5</formula>
      <formula>2</formula>
    </cfRule>
    <cfRule type="cellIs" dxfId="5713" priority="9" operator="between">
      <formula>0.7</formula>
      <formula>1.49</formula>
    </cfRule>
    <cfRule type="cellIs" dxfId="5712" priority="10" operator="between">
      <formula>0</formula>
      <formula>0.69</formula>
    </cfRule>
  </conditionalFormatting>
  <conditionalFormatting sqref="P12:P15 P17:P18">
    <cfRule type="cellIs" dxfId="5711" priority="11" operator="between">
      <formula>1.5</formula>
      <formula>2</formula>
    </cfRule>
    <cfRule type="cellIs" dxfId="5710" priority="12" operator="between">
      <formula>0.7</formula>
      <formula>1.49</formula>
    </cfRule>
    <cfRule type="cellIs" dxfId="5709" priority="13" operator="between">
      <formula>0</formula>
      <formula>0.69</formula>
    </cfRule>
  </conditionalFormatting>
  <conditionalFormatting sqref="M8:N8 M9:P9">
    <cfRule type="cellIs" dxfId="5708" priority="14" operator="between">
      <formula>1.5</formula>
      <formula>2</formula>
    </cfRule>
    <cfRule type="cellIs" dxfId="5707" priority="15" operator="between">
      <formula>0.7</formula>
      <formula>1.49</formula>
    </cfRule>
    <cfRule type="cellIs" dxfId="5706" priority="16" operator="between">
      <formula>0</formula>
      <formula>0.69</formula>
    </cfRule>
  </conditionalFormatting>
  <conditionalFormatting sqref="O8">
    <cfRule type="cellIs" dxfId="5705" priority="17" operator="between">
      <formula>1.5</formula>
      <formula>2</formula>
    </cfRule>
    <cfRule type="cellIs" dxfId="5704" priority="18" operator="between">
      <formula>0.7</formula>
      <formula>1.49</formula>
    </cfRule>
    <cfRule type="cellIs" dxfId="5703" priority="19" operator="between">
      <formula>0</formula>
      <formula>0.69</formula>
    </cfRule>
  </conditionalFormatting>
  <conditionalFormatting sqref="P8">
    <cfRule type="cellIs" dxfId="5702" priority="20" operator="between">
      <formula>1.5</formula>
      <formula>2</formula>
    </cfRule>
    <cfRule type="cellIs" dxfId="5701" priority="21" operator="between">
      <formula>0.7</formula>
      <formula>1.49</formula>
    </cfRule>
    <cfRule type="cellIs" dxfId="5700" priority="22" operator="between">
      <formula>0</formula>
      <formula>0.69</formula>
    </cfRule>
  </conditionalFormatting>
  <conditionalFormatting sqref="R12:R18">
    <cfRule type="cellIs" dxfId="5699" priority="23" operator="between">
      <formula>1.5</formula>
      <formula>2</formula>
    </cfRule>
    <cfRule type="cellIs" dxfId="5698" priority="24" operator="between">
      <formula>0.7</formula>
      <formula>1.49</formula>
    </cfRule>
    <cfRule type="cellIs" dxfId="5697" priority="25" operator="between">
      <formula>0</formula>
      <formula>0.69</formula>
    </cfRule>
  </conditionalFormatting>
  <conditionalFormatting sqref="R8">
    <cfRule type="cellIs" dxfId="5696" priority="26" operator="between">
      <formula>1.5</formula>
      <formula>2</formula>
    </cfRule>
    <cfRule type="cellIs" dxfId="5695" priority="27" operator="between">
      <formula>0.7</formula>
      <formula>1.49</formula>
    </cfRule>
    <cfRule type="cellIs" dxfId="5694" priority="28" operator="between">
      <formula>0</formula>
      <formula>0.69</formula>
    </cfRule>
  </conditionalFormatting>
  <dataValidations disablePrompts="1" count="4">
    <dataValidation type="decimal" allowBlank="1" showInputMessage="1" showErrorMessage="1" prompt="Valor Inválido! - Informar:_x000a_0 - Sem dados (Não implantado)_x000a_1 - Dados incompletos (Implantado Parcialmente)_x000a_2 - Possui Custo Total (Implantação Concluída)" sqref="L11:L17">
      <formula1>0</formula1>
      <formula2>2</formula2>
    </dataValidation>
    <dataValidation type="decimal" allowBlank="1" showInputMessage="1" showErrorMessage="1" prompt="Número Inválido! - Informar:_x000a_0 - Sem dados (Não implantado)_x000a_1 - Dados incompletos (Implantado Parcialmente)_x000a_2 - Possui Custo Total (Implantação Concluída)" sqref="L9:L10">
      <formula1>0</formula1>
      <formula2>2</formula2>
    </dataValidation>
    <dataValidation type="decimal" allowBlank="1" showInputMessage="1" showErrorMessage="1" prompt="Valor Inválido! - Favor informar:_x000a_0 - Não implantado_x000a_1 - Implantado" sqref="C9:C18">
      <formula1>0</formula1>
      <formula2>1</formula2>
    </dataValidation>
    <dataValidation type="decimal" allowBlank="1" showInputMessage="1" showErrorMessage="1" prompt="Atenção! - Valor inserido fora do intervalo válido (0 a 2)!" sqref="D9:G18 I9:J18">
      <formula1>0</formula1>
      <formula2>2</formula2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zoomScaleNormal="10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O15" sqref="O15"/>
    </sheetView>
  </sheetViews>
  <sheetFormatPr defaultColWidth="12.625" defaultRowHeight="14.25" x14ac:dyDescent="0.2"/>
  <cols>
    <col min="1" max="1" width="20.25" style="289" customWidth="1"/>
    <col min="2" max="2" width="17.375" style="289" customWidth="1"/>
    <col min="3" max="3" width="42.375" style="289" bestFit="1" customWidth="1"/>
    <col min="4" max="5" width="11.875" style="289" customWidth="1"/>
    <col min="6" max="6" width="8.375" style="289" customWidth="1"/>
    <col min="7" max="7" width="10.25" style="289" customWidth="1"/>
    <col min="8" max="8" width="7.125" style="289" customWidth="1"/>
    <col min="9" max="9" width="14.25" style="289" customWidth="1"/>
    <col min="10" max="10" width="18.125" style="289" customWidth="1"/>
    <col min="11" max="11" width="8.25" style="289" customWidth="1"/>
    <col min="12" max="12" width="12" style="289" customWidth="1"/>
    <col min="13" max="13" width="7.625" style="289" customWidth="1"/>
    <col min="14" max="14" width="12.375" style="289" customWidth="1"/>
    <col min="15" max="15" width="9.125" style="289" customWidth="1"/>
    <col min="16" max="16" width="12.375" style="289" customWidth="1"/>
    <col min="17" max="17" width="5.75" style="289" customWidth="1"/>
    <col min="18" max="18" width="10.5" style="289" customWidth="1"/>
    <col min="19" max="19" width="11.5" style="289" customWidth="1"/>
    <col min="20" max="20" width="9.875" style="289" customWidth="1"/>
    <col min="21" max="21" width="7.75" style="289" customWidth="1"/>
    <col min="22" max="22" width="0.875" style="289" customWidth="1"/>
    <col min="23" max="24" width="9.25" style="289" customWidth="1"/>
    <col min="25" max="25" width="2" style="289" customWidth="1"/>
    <col min="26" max="26" width="16.875" style="289" customWidth="1"/>
    <col min="27" max="30" width="8" style="289" customWidth="1"/>
  </cols>
  <sheetData>
    <row r="1" spans="1:30" ht="15" customHeight="1" x14ac:dyDescent="0.25">
      <c r="A1" s="4"/>
      <c r="B1" s="47"/>
      <c r="C1" s="48"/>
      <c r="D1" s="4"/>
      <c r="E1" s="4"/>
      <c r="F1" s="4"/>
      <c r="G1" s="4"/>
      <c r="H1" s="3"/>
      <c r="I1" s="4"/>
      <c r="J1" s="4"/>
      <c r="K1" s="3"/>
      <c r="L1" s="3"/>
      <c r="M1" s="4"/>
      <c r="N1" s="4"/>
      <c r="O1" s="4"/>
      <c r="P1" s="4"/>
      <c r="Q1" s="3"/>
      <c r="R1" s="4"/>
      <c r="S1" s="4"/>
      <c r="T1" s="4"/>
      <c r="U1" s="3"/>
      <c r="V1" s="4"/>
      <c r="W1" s="3"/>
      <c r="X1" s="3"/>
      <c r="Y1" s="4"/>
      <c r="Z1" s="4"/>
      <c r="AA1" s="4"/>
      <c r="AB1" s="4"/>
      <c r="AC1" s="4"/>
      <c r="AD1" s="4"/>
    </row>
    <row r="2" spans="1:30" ht="15" customHeight="1" x14ac:dyDescent="0.25">
      <c r="A2" s="369" t="s">
        <v>121</v>
      </c>
      <c r="B2" s="336" t="s">
        <v>50</v>
      </c>
      <c r="C2" s="368" t="s">
        <v>51</v>
      </c>
      <c r="D2" s="378" t="s">
        <v>53</v>
      </c>
      <c r="E2" s="341"/>
      <c r="F2" s="341"/>
      <c r="G2" s="341"/>
      <c r="H2" s="323"/>
      <c r="I2" s="373" t="s">
        <v>54</v>
      </c>
      <c r="J2" s="341"/>
      <c r="K2" s="323"/>
      <c r="L2" s="290" t="s">
        <v>55</v>
      </c>
      <c r="M2" s="373" t="s">
        <v>55</v>
      </c>
      <c r="N2" s="341"/>
      <c r="O2" s="341"/>
      <c r="P2" s="341"/>
      <c r="Q2" s="323"/>
      <c r="R2" s="373" t="s">
        <v>56</v>
      </c>
      <c r="S2" s="341"/>
      <c r="T2" s="341"/>
      <c r="U2" s="323"/>
      <c r="V2" s="49"/>
      <c r="W2" s="325" t="s">
        <v>67</v>
      </c>
      <c r="X2" s="325" t="s">
        <v>122</v>
      </c>
      <c r="Y2" s="4"/>
      <c r="Z2" s="50" t="s">
        <v>123</v>
      </c>
      <c r="AA2" s="233">
        <f>(AVERAGE(M7:M42)+AVERAGE(N7:N35)+AVERAGE(O7:O35)+AVERAGE(P7:P35))/8</f>
        <v>0.99961419753086422</v>
      </c>
      <c r="AB2" s="371" t="s">
        <v>124</v>
      </c>
      <c r="AC2" s="372"/>
      <c r="AD2" s="3">
        <v>1</v>
      </c>
    </row>
    <row r="3" spans="1:30" ht="15" customHeight="1" x14ac:dyDescent="0.25">
      <c r="A3" s="348"/>
      <c r="B3" s="326"/>
      <c r="C3" s="326"/>
      <c r="D3" s="364" t="s">
        <v>65</v>
      </c>
      <c r="E3" s="338"/>
      <c r="F3" s="338"/>
      <c r="G3" s="338"/>
      <c r="H3" s="339"/>
      <c r="I3" s="364" t="s">
        <v>66</v>
      </c>
      <c r="J3" s="338"/>
      <c r="K3" s="339"/>
      <c r="L3" s="362" t="s">
        <v>67</v>
      </c>
      <c r="M3" s="364" t="s">
        <v>68</v>
      </c>
      <c r="N3" s="338"/>
      <c r="O3" s="338"/>
      <c r="P3" s="338"/>
      <c r="Q3" s="339"/>
      <c r="R3" s="364" t="s">
        <v>69</v>
      </c>
      <c r="S3" s="338"/>
      <c r="T3" s="338"/>
      <c r="U3" s="339"/>
      <c r="V3" s="49"/>
      <c r="W3" s="326"/>
      <c r="X3" s="326"/>
      <c r="Y3" s="4"/>
      <c r="Z3" s="283" t="s">
        <v>125</v>
      </c>
      <c r="AA3" s="234">
        <f>COUNTIF(L7:L42,"=2")</f>
        <v>27</v>
      </c>
      <c r="AB3" s="348"/>
      <c r="AC3" s="372"/>
      <c r="AD3" s="4"/>
    </row>
    <row r="4" spans="1:30" ht="17.25" customHeight="1" x14ac:dyDescent="0.25">
      <c r="A4" s="348"/>
      <c r="B4" s="326"/>
      <c r="C4" s="321"/>
      <c r="D4" s="365"/>
      <c r="E4" s="366"/>
      <c r="F4" s="366"/>
      <c r="G4" s="366"/>
      <c r="H4" s="367"/>
      <c r="I4" s="365"/>
      <c r="J4" s="366"/>
      <c r="K4" s="367"/>
      <c r="L4" s="363"/>
      <c r="M4" s="365"/>
      <c r="N4" s="366"/>
      <c r="O4" s="366"/>
      <c r="P4" s="366"/>
      <c r="Q4" s="367"/>
      <c r="R4" s="365"/>
      <c r="S4" s="366"/>
      <c r="T4" s="366"/>
      <c r="U4" s="367"/>
      <c r="V4" s="51"/>
      <c r="W4" s="326"/>
      <c r="X4" s="326"/>
      <c r="Y4" s="4"/>
      <c r="Z4" s="283" t="s">
        <v>126</v>
      </c>
      <c r="AA4" s="234">
        <f>COUNTIF(L7:L33,"&lt;&gt;""")</f>
        <v>27</v>
      </c>
      <c r="AB4" s="348"/>
      <c r="AC4" s="372"/>
      <c r="AD4" s="4"/>
    </row>
    <row r="5" spans="1:30" ht="37.5" customHeight="1" x14ac:dyDescent="0.25">
      <c r="A5" s="348"/>
      <c r="B5" s="326"/>
      <c r="C5" s="286" t="s">
        <v>127</v>
      </c>
      <c r="D5" s="52" t="s">
        <v>71</v>
      </c>
      <c r="E5" s="53" t="s">
        <v>72</v>
      </c>
      <c r="F5" s="53" t="s">
        <v>73</v>
      </c>
      <c r="G5" s="53" t="s">
        <v>74</v>
      </c>
      <c r="H5" s="54" t="s">
        <v>75</v>
      </c>
      <c r="I5" s="55" t="s">
        <v>76</v>
      </c>
      <c r="J5" s="53" t="s">
        <v>77</v>
      </c>
      <c r="K5" s="54" t="s">
        <v>75</v>
      </c>
      <c r="L5" s="374" t="s">
        <v>128</v>
      </c>
      <c r="M5" s="55" t="s">
        <v>79</v>
      </c>
      <c r="N5" s="53" t="s">
        <v>80</v>
      </c>
      <c r="O5" s="53" t="s">
        <v>81</v>
      </c>
      <c r="P5" s="53" t="s">
        <v>82</v>
      </c>
      <c r="Q5" s="54" t="s">
        <v>75</v>
      </c>
      <c r="R5" s="55" t="s">
        <v>83</v>
      </c>
      <c r="S5" s="53" t="s">
        <v>84</v>
      </c>
      <c r="T5" s="53" t="s">
        <v>85</v>
      </c>
      <c r="U5" s="54" t="s">
        <v>75</v>
      </c>
      <c r="V5" s="56"/>
      <c r="W5" s="321"/>
      <c r="X5" s="321"/>
      <c r="Y5" s="4"/>
      <c r="Z5" s="283" t="s">
        <v>129</v>
      </c>
      <c r="AA5" s="235">
        <f>AA3/AA4</f>
        <v>1</v>
      </c>
      <c r="AB5" s="348"/>
      <c r="AC5" s="372"/>
      <c r="AD5" s="4"/>
    </row>
    <row r="6" spans="1:30" ht="18" customHeight="1" x14ac:dyDescent="0.25">
      <c r="A6" s="370"/>
      <c r="B6" s="321"/>
      <c r="C6" s="286" t="s">
        <v>130</v>
      </c>
      <c r="D6" s="376" t="s">
        <v>131</v>
      </c>
      <c r="E6" s="338"/>
      <c r="F6" s="338"/>
      <c r="G6" s="338"/>
      <c r="H6" s="377"/>
      <c r="I6" s="376" t="s">
        <v>132</v>
      </c>
      <c r="J6" s="338"/>
      <c r="K6" s="377"/>
      <c r="L6" s="375"/>
      <c r="M6" s="376" t="s">
        <v>133</v>
      </c>
      <c r="N6" s="338"/>
      <c r="O6" s="338"/>
      <c r="P6" s="338"/>
      <c r="Q6" s="377"/>
      <c r="R6" s="376" t="s">
        <v>134</v>
      </c>
      <c r="S6" s="338"/>
      <c r="T6" s="338"/>
      <c r="U6" s="377"/>
      <c r="V6" s="4"/>
      <c r="W6" s="16">
        <v>1</v>
      </c>
      <c r="X6" s="16">
        <v>1</v>
      </c>
      <c r="Y6" s="57"/>
      <c r="Z6" s="58" t="s">
        <v>135</v>
      </c>
      <c r="AA6" s="235">
        <f>(AA5/W6)-1</f>
        <v>0</v>
      </c>
      <c r="AB6" s="59"/>
      <c r="AC6" s="4"/>
      <c r="AD6" s="4"/>
    </row>
    <row r="7" spans="1:30" ht="15" customHeight="1" x14ac:dyDescent="0.25">
      <c r="A7" s="361" t="s">
        <v>136</v>
      </c>
      <c r="B7" s="379"/>
      <c r="C7" s="173" t="s">
        <v>137</v>
      </c>
      <c r="D7" s="175">
        <v>2</v>
      </c>
      <c r="E7" s="176">
        <v>2</v>
      </c>
      <c r="F7" s="176">
        <v>2</v>
      </c>
      <c r="G7" s="176">
        <v>2</v>
      </c>
      <c r="H7" s="37">
        <f t="shared" ref="H7:H35" si="0">SUM(D7:G7)/8</f>
        <v>1</v>
      </c>
      <c r="I7" s="175">
        <v>2</v>
      </c>
      <c r="J7" s="176">
        <v>2</v>
      </c>
      <c r="K7" s="37">
        <f t="shared" ref="K7:K35" si="1">SUM(I7:J7)/4</f>
        <v>1</v>
      </c>
      <c r="L7" s="177">
        <v>2</v>
      </c>
      <c r="M7" s="228">
        <f>[2]AP.Oeste!M7</f>
        <v>2</v>
      </c>
      <c r="N7" s="225">
        <f>[2]AP.Oeste!N7</f>
        <v>2</v>
      </c>
      <c r="O7" s="225">
        <f>[2]AP.Oeste!O7</f>
        <v>2</v>
      </c>
      <c r="P7" s="229">
        <f>[2]AP.Oeste!P7</f>
        <v>2</v>
      </c>
      <c r="Q7" s="37">
        <f t="shared" ref="Q7:Q35" si="2">SUM(M7:P7)/8</f>
        <v>1</v>
      </c>
      <c r="R7" s="60" t="str">
        <f>[3]AP.Oeste!R7</f>
        <v/>
      </c>
      <c r="S7" s="27">
        <f>[3]AP.Oeste!S7</f>
        <v>0</v>
      </c>
      <c r="T7" s="27">
        <f>[3]AP.Oeste!T7</f>
        <v>0</v>
      </c>
      <c r="U7" s="37">
        <f t="shared" ref="U7:U35" si="3">IF(R7="",0,R7/2)</f>
        <v>0</v>
      </c>
      <c r="V7" s="61"/>
      <c r="W7" s="226">
        <f t="shared" ref="W7:W35" si="4">AVERAGE(H7,K7,IF(L7=1,L7/2,IF(L7=2,L7/2,0)))</f>
        <v>1</v>
      </c>
      <c r="X7" s="226">
        <f t="shared" ref="X7:X35" si="5">IF(L7=0,"",AVERAGE(Q7))</f>
        <v>1</v>
      </c>
      <c r="Y7" s="4"/>
      <c r="Z7" s="4"/>
      <c r="AA7" s="4"/>
      <c r="AB7" s="4"/>
      <c r="AC7" s="4"/>
      <c r="AD7" s="4"/>
    </row>
    <row r="8" spans="1:30" ht="15" customHeight="1" x14ac:dyDescent="0.25">
      <c r="A8" s="326"/>
      <c r="B8" s="326"/>
      <c r="C8" s="173" t="s">
        <v>138</v>
      </c>
      <c r="D8" s="175">
        <v>2</v>
      </c>
      <c r="E8" s="176">
        <v>2</v>
      </c>
      <c r="F8" s="176">
        <v>2</v>
      </c>
      <c r="G8" s="176">
        <v>2</v>
      </c>
      <c r="H8" s="37">
        <f t="shared" si="0"/>
        <v>1</v>
      </c>
      <c r="I8" s="175">
        <v>2</v>
      </c>
      <c r="J8" s="176">
        <v>2</v>
      </c>
      <c r="K8" s="37">
        <f t="shared" si="1"/>
        <v>1</v>
      </c>
      <c r="L8" s="177">
        <v>2</v>
      </c>
      <c r="M8" s="228">
        <f>[2]AP.Oeste!M8</f>
        <v>2</v>
      </c>
      <c r="N8" s="225">
        <f>[2]AP.Oeste!N8</f>
        <v>2</v>
      </c>
      <c r="O8" s="225">
        <f>[2]AP.Oeste!O8</f>
        <v>2</v>
      </c>
      <c r="P8" s="229">
        <f>[2]AP.Oeste!P8</f>
        <v>2</v>
      </c>
      <c r="Q8" s="37">
        <f t="shared" si="2"/>
        <v>1</v>
      </c>
      <c r="R8" s="60" t="str">
        <f>[3]AP.Oeste!R8</f>
        <v/>
      </c>
      <c r="S8" s="27">
        <f>[3]AP.Oeste!S8</f>
        <v>0</v>
      </c>
      <c r="T8" s="27">
        <f>[3]AP.Oeste!T8</f>
        <v>0</v>
      </c>
      <c r="U8" s="37">
        <f t="shared" si="3"/>
        <v>0</v>
      </c>
      <c r="V8" s="4"/>
      <c r="W8" s="226">
        <f t="shared" si="4"/>
        <v>1</v>
      </c>
      <c r="X8" s="226">
        <f t="shared" si="5"/>
        <v>1</v>
      </c>
      <c r="Y8" s="4"/>
      <c r="Z8" s="4"/>
      <c r="AA8" s="4"/>
      <c r="AB8" s="4"/>
      <c r="AC8" s="4"/>
      <c r="AD8" s="4"/>
    </row>
    <row r="9" spans="1:30" ht="15" customHeight="1" x14ac:dyDescent="0.25">
      <c r="A9" s="326"/>
      <c r="B9" s="326"/>
      <c r="C9" s="173" t="s">
        <v>139</v>
      </c>
      <c r="D9" s="175">
        <v>2</v>
      </c>
      <c r="E9" s="176">
        <v>2</v>
      </c>
      <c r="F9" s="176">
        <v>2</v>
      </c>
      <c r="G9" s="176">
        <v>2</v>
      </c>
      <c r="H9" s="37">
        <f t="shared" si="0"/>
        <v>1</v>
      </c>
      <c r="I9" s="175">
        <v>2</v>
      </c>
      <c r="J9" s="176">
        <v>2</v>
      </c>
      <c r="K9" s="37">
        <f t="shared" si="1"/>
        <v>1</v>
      </c>
      <c r="L9" s="177">
        <v>2</v>
      </c>
      <c r="M9" s="228">
        <f>[2]AP.Oeste!M9</f>
        <v>2</v>
      </c>
      <c r="N9" s="225">
        <f>[2]AP.Oeste!N9</f>
        <v>2</v>
      </c>
      <c r="O9" s="225">
        <f>[2]AP.Oeste!O9</f>
        <v>2</v>
      </c>
      <c r="P9" s="229">
        <f>[2]AP.Oeste!P9</f>
        <v>2</v>
      </c>
      <c r="Q9" s="37">
        <f t="shared" si="2"/>
        <v>1</v>
      </c>
      <c r="R9" s="60" t="str">
        <f>[3]AP.Oeste!R9</f>
        <v/>
      </c>
      <c r="S9" s="27">
        <f>[3]AP.Oeste!S9</f>
        <v>0</v>
      </c>
      <c r="T9" s="27">
        <f>[3]AP.Oeste!T9</f>
        <v>0</v>
      </c>
      <c r="U9" s="37">
        <f t="shared" si="3"/>
        <v>0</v>
      </c>
      <c r="V9" s="4"/>
      <c r="W9" s="226">
        <f t="shared" si="4"/>
        <v>1</v>
      </c>
      <c r="X9" s="226">
        <f t="shared" si="5"/>
        <v>1</v>
      </c>
      <c r="Y9" s="4"/>
      <c r="Z9" s="4"/>
      <c r="AA9" s="4"/>
      <c r="AB9" s="4"/>
      <c r="AC9" s="4"/>
      <c r="AD9" s="4"/>
    </row>
    <row r="10" spans="1:30" ht="15" customHeight="1" x14ac:dyDescent="0.25">
      <c r="A10" s="326"/>
      <c r="B10" s="326"/>
      <c r="C10" s="173" t="s">
        <v>140</v>
      </c>
      <c r="D10" s="175">
        <v>2</v>
      </c>
      <c r="E10" s="176">
        <v>2</v>
      </c>
      <c r="F10" s="176">
        <v>2</v>
      </c>
      <c r="G10" s="176">
        <v>2</v>
      </c>
      <c r="H10" s="37">
        <f t="shared" si="0"/>
        <v>1</v>
      </c>
      <c r="I10" s="175">
        <v>2</v>
      </c>
      <c r="J10" s="176">
        <v>2</v>
      </c>
      <c r="K10" s="37">
        <f t="shared" si="1"/>
        <v>1</v>
      </c>
      <c r="L10" s="177">
        <v>2</v>
      </c>
      <c r="M10" s="228">
        <f>[2]AP.Oeste!M10</f>
        <v>2</v>
      </c>
      <c r="N10" s="225">
        <f>[2]AP.Oeste!N10</f>
        <v>2</v>
      </c>
      <c r="O10" s="225">
        <f>[2]AP.Oeste!O10</f>
        <v>2</v>
      </c>
      <c r="P10" s="229">
        <f>[2]AP.Oeste!P10</f>
        <v>2</v>
      </c>
      <c r="Q10" s="37">
        <f t="shared" si="2"/>
        <v>1</v>
      </c>
      <c r="R10" s="60" t="str">
        <f>[3]AP.Oeste!R10</f>
        <v/>
      </c>
      <c r="S10" s="27">
        <f>[3]AP.Oeste!S10</f>
        <v>0</v>
      </c>
      <c r="T10" s="27">
        <f>[3]AP.Oeste!T10</f>
        <v>0</v>
      </c>
      <c r="U10" s="37">
        <f t="shared" si="3"/>
        <v>0</v>
      </c>
      <c r="V10" s="4"/>
      <c r="W10" s="226">
        <f t="shared" si="4"/>
        <v>1</v>
      </c>
      <c r="X10" s="226">
        <f t="shared" si="5"/>
        <v>1</v>
      </c>
      <c r="Y10" s="4"/>
      <c r="Z10" s="4"/>
      <c r="AA10" s="4"/>
      <c r="AB10" s="4"/>
      <c r="AC10" s="4"/>
      <c r="AD10" s="4"/>
    </row>
    <row r="11" spans="1:30" ht="15" customHeight="1" x14ac:dyDescent="0.25">
      <c r="A11" s="326"/>
      <c r="B11" s="326"/>
      <c r="C11" s="173" t="s">
        <v>141</v>
      </c>
      <c r="D11" s="175">
        <v>2</v>
      </c>
      <c r="E11" s="176">
        <v>2</v>
      </c>
      <c r="F11" s="176">
        <v>2</v>
      </c>
      <c r="G11" s="176">
        <v>2</v>
      </c>
      <c r="H11" s="37">
        <f t="shared" si="0"/>
        <v>1</v>
      </c>
      <c r="I11" s="175">
        <v>2</v>
      </c>
      <c r="J11" s="176">
        <v>2</v>
      </c>
      <c r="K11" s="37">
        <f t="shared" si="1"/>
        <v>1</v>
      </c>
      <c r="L11" s="177">
        <v>2</v>
      </c>
      <c r="M11" s="228">
        <f>[2]AP.Oeste!M11</f>
        <v>2</v>
      </c>
      <c r="N11" s="225">
        <f>[2]AP.Oeste!N11</f>
        <v>2</v>
      </c>
      <c r="O11" s="225">
        <f>[2]AP.Oeste!O11</f>
        <v>2</v>
      </c>
      <c r="P11" s="229">
        <f>[2]AP.Oeste!P11</f>
        <v>2</v>
      </c>
      <c r="Q11" s="37">
        <f t="shared" si="2"/>
        <v>1</v>
      </c>
      <c r="R11" s="60" t="str">
        <f>[3]AP.Oeste!R11</f>
        <v/>
      </c>
      <c r="S11" s="27">
        <f>[3]AP.Oeste!S11</f>
        <v>0</v>
      </c>
      <c r="T11" s="27">
        <f>[3]AP.Oeste!T11</f>
        <v>0</v>
      </c>
      <c r="U11" s="37">
        <f t="shared" si="3"/>
        <v>0</v>
      </c>
      <c r="V11" s="61"/>
      <c r="W11" s="226">
        <f t="shared" si="4"/>
        <v>1</v>
      </c>
      <c r="X11" s="226">
        <f t="shared" si="5"/>
        <v>1</v>
      </c>
      <c r="Y11" s="4"/>
      <c r="Z11" s="4"/>
      <c r="AA11" s="4"/>
      <c r="AB11" s="4"/>
      <c r="AC11" s="4"/>
      <c r="AD11" s="4"/>
    </row>
    <row r="12" spans="1:30" ht="15" customHeight="1" x14ac:dyDescent="0.25">
      <c r="A12" s="326"/>
      <c r="B12" s="326"/>
      <c r="C12" s="173" t="s">
        <v>142</v>
      </c>
      <c r="D12" s="175">
        <v>2</v>
      </c>
      <c r="E12" s="176">
        <v>2</v>
      </c>
      <c r="F12" s="176">
        <v>2</v>
      </c>
      <c r="G12" s="176">
        <v>2</v>
      </c>
      <c r="H12" s="37">
        <f t="shared" si="0"/>
        <v>1</v>
      </c>
      <c r="I12" s="175">
        <v>2</v>
      </c>
      <c r="J12" s="176">
        <v>2</v>
      </c>
      <c r="K12" s="37">
        <f t="shared" si="1"/>
        <v>1</v>
      </c>
      <c r="L12" s="177">
        <v>2</v>
      </c>
      <c r="M12" s="228">
        <f>[2]AP.Oeste!M12</f>
        <v>2</v>
      </c>
      <c r="N12" s="225">
        <f>[2]AP.Oeste!N12</f>
        <v>2</v>
      </c>
      <c r="O12" s="225">
        <f>[2]AP.Oeste!O12</f>
        <v>2</v>
      </c>
      <c r="P12" s="229">
        <f>[2]AP.Oeste!P12</f>
        <v>2</v>
      </c>
      <c r="Q12" s="37">
        <f t="shared" si="2"/>
        <v>1</v>
      </c>
      <c r="R12" s="60" t="str">
        <f>[3]AP.Oeste!R12</f>
        <v/>
      </c>
      <c r="S12" s="27">
        <f>[3]AP.Oeste!S12</f>
        <v>0</v>
      </c>
      <c r="T12" s="27">
        <f>[3]AP.Oeste!T12</f>
        <v>0</v>
      </c>
      <c r="U12" s="37">
        <f t="shared" si="3"/>
        <v>0</v>
      </c>
      <c r="V12" s="4"/>
      <c r="W12" s="226">
        <f t="shared" si="4"/>
        <v>1</v>
      </c>
      <c r="X12" s="226">
        <f t="shared" si="5"/>
        <v>1</v>
      </c>
      <c r="Y12" s="4"/>
      <c r="Z12" s="4"/>
      <c r="AA12" s="4"/>
      <c r="AB12" s="4"/>
      <c r="AC12" s="4"/>
      <c r="AD12" s="4"/>
    </row>
    <row r="13" spans="1:30" ht="15" customHeight="1" x14ac:dyDescent="0.25">
      <c r="A13" s="326"/>
      <c r="B13" s="326"/>
      <c r="C13" s="173" t="s">
        <v>143</v>
      </c>
      <c r="D13" s="175">
        <v>2</v>
      </c>
      <c r="E13" s="176">
        <v>2</v>
      </c>
      <c r="F13" s="176">
        <v>2</v>
      </c>
      <c r="G13" s="176">
        <v>2</v>
      </c>
      <c r="H13" s="37">
        <f t="shared" si="0"/>
        <v>1</v>
      </c>
      <c r="I13" s="175">
        <v>2</v>
      </c>
      <c r="J13" s="176">
        <v>2</v>
      </c>
      <c r="K13" s="37">
        <f t="shared" si="1"/>
        <v>1</v>
      </c>
      <c r="L13" s="177">
        <v>2</v>
      </c>
      <c r="M13" s="228">
        <f>[2]AP.Oeste!M13</f>
        <v>2</v>
      </c>
      <c r="N13" s="225">
        <f>[2]AP.Oeste!N13</f>
        <v>2</v>
      </c>
      <c r="O13" s="225">
        <f>[2]AP.Oeste!O13</f>
        <v>2</v>
      </c>
      <c r="P13" s="229">
        <f>[2]AP.Oeste!P13</f>
        <v>2</v>
      </c>
      <c r="Q13" s="37">
        <f t="shared" si="2"/>
        <v>1</v>
      </c>
      <c r="R13" s="60" t="str">
        <f>[3]AP.Oeste!R13</f>
        <v/>
      </c>
      <c r="S13" s="27">
        <f>[3]AP.Oeste!S13</f>
        <v>0</v>
      </c>
      <c r="T13" s="27">
        <f>[3]AP.Oeste!T13</f>
        <v>0</v>
      </c>
      <c r="U13" s="37">
        <f t="shared" si="3"/>
        <v>0</v>
      </c>
      <c r="V13" s="61"/>
      <c r="W13" s="226">
        <f t="shared" si="4"/>
        <v>1</v>
      </c>
      <c r="X13" s="226">
        <f t="shared" si="5"/>
        <v>1</v>
      </c>
      <c r="Y13" s="4"/>
      <c r="Z13" s="4"/>
      <c r="AA13" s="4"/>
      <c r="AB13" s="4"/>
      <c r="AC13" s="4"/>
      <c r="AD13" s="4"/>
    </row>
    <row r="14" spans="1:30" ht="15" customHeight="1" x14ac:dyDescent="0.25">
      <c r="A14" s="326"/>
      <c r="B14" s="326"/>
      <c r="C14" s="173" t="s">
        <v>144</v>
      </c>
      <c r="D14" s="175">
        <v>2</v>
      </c>
      <c r="E14" s="176">
        <v>2</v>
      </c>
      <c r="F14" s="176">
        <v>2</v>
      </c>
      <c r="G14" s="176">
        <v>2</v>
      </c>
      <c r="H14" s="37">
        <f t="shared" si="0"/>
        <v>1</v>
      </c>
      <c r="I14" s="175">
        <v>2</v>
      </c>
      <c r="J14" s="176">
        <v>2</v>
      </c>
      <c r="K14" s="37">
        <f t="shared" si="1"/>
        <v>1</v>
      </c>
      <c r="L14" s="177">
        <v>2</v>
      </c>
      <c r="M14" s="228">
        <f>[2]AP.Oeste!M14</f>
        <v>2</v>
      </c>
      <c r="N14" s="225">
        <f>[2]AP.Oeste!N14</f>
        <v>2</v>
      </c>
      <c r="O14" s="225">
        <f>[2]AP.Oeste!O14</f>
        <v>2</v>
      </c>
      <c r="P14" s="229">
        <f>[2]AP.Oeste!P14</f>
        <v>2</v>
      </c>
      <c r="Q14" s="37">
        <f t="shared" si="2"/>
        <v>1</v>
      </c>
      <c r="R14" s="60" t="str">
        <f>[3]AP.Oeste!R14</f>
        <v/>
      </c>
      <c r="S14" s="27">
        <f>[3]AP.Oeste!S14</f>
        <v>0</v>
      </c>
      <c r="T14" s="27">
        <f>[3]AP.Oeste!T14</f>
        <v>0</v>
      </c>
      <c r="U14" s="37">
        <f t="shared" si="3"/>
        <v>0</v>
      </c>
      <c r="V14" s="61"/>
      <c r="W14" s="226">
        <f t="shared" si="4"/>
        <v>1</v>
      </c>
      <c r="X14" s="226">
        <f t="shared" si="5"/>
        <v>1</v>
      </c>
      <c r="Y14" s="4"/>
      <c r="Z14" s="4"/>
      <c r="AA14" s="4"/>
      <c r="AB14" s="4"/>
      <c r="AC14" s="4"/>
      <c r="AD14" s="4"/>
    </row>
    <row r="15" spans="1:30" ht="15" customHeight="1" x14ac:dyDescent="0.25">
      <c r="A15" s="326"/>
      <c r="B15" s="326"/>
      <c r="C15" s="173" t="s">
        <v>145</v>
      </c>
      <c r="D15" s="175">
        <v>2</v>
      </c>
      <c r="E15" s="176">
        <v>2</v>
      </c>
      <c r="F15" s="176">
        <v>2</v>
      </c>
      <c r="G15" s="176">
        <v>2</v>
      </c>
      <c r="H15" s="37">
        <f t="shared" si="0"/>
        <v>1</v>
      </c>
      <c r="I15" s="175">
        <v>2</v>
      </c>
      <c r="J15" s="176">
        <v>2</v>
      </c>
      <c r="K15" s="37">
        <f t="shared" si="1"/>
        <v>1</v>
      </c>
      <c r="L15" s="177">
        <v>2</v>
      </c>
      <c r="M15" s="228">
        <f>[2]AP.Oeste!M15</f>
        <v>2</v>
      </c>
      <c r="N15" s="225">
        <f>[2]AP.Oeste!N15</f>
        <v>2</v>
      </c>
      <c r="O15" s="225">
        <f>[2]AP.Oeste!O15</f>
        <v>2</v>
      </c>
      <c r="P15" s="229">
        <f>[2]AP.Oeste!P15</f>
        <v>2</v>
      </c>
      <c r="Q15" s="37">
        <f t="shared" si="2"/>
        <v>1</v>
      </c>
      <c r="R15" s="60" t="str">
        <f>[3]AP.Oeste!R15</f>
        <v/>
      </c>
      <c r="S15" s="27">
        <f>[3]AP.Oeste!S15</f>
        <v>0</v>
      </c>
      <c r="T15" s="27">
        <f>[3]AP.Oeste!T15</f>
        <v>0</v>
      </c>
      <c r="U15" s="37">
        <f t="shared" si="3"/>
        <v>0</v>
      </c>
      <c r="V15" s="4"/>
      <c r="W15" s="226">
        <f t="shared" si="4"/>
        <v>1</v>
      </c>
      <c r="X15" s="226">
        <f t="shared" si="5"/>
        <v>1</v>
      </c>
      <c r="Y15" s="4"/>
      <c r="Z15" s="4"/>
      <c r="AA15" s="4"/>
      <c r="AB15" s="4"/>
      <c r="AC15" s="4"/>
      <c r="AD15" s="4"/>
    </row>
    <row r="16" spans="1:30" ht="15" customHeight="1" x14ac:dyDescent="0.25">
      <c r="A16" s="326"/>
      <c r="B16" s="326"/>
      <c r="C16" s="173" t="s">
        <v>146</v>
      </c>
      <c r="D16" s="175">
        <v>2</v>
      </c>
      <c r="E16" s="176">
        <v>2</v>
      </c>
      <c r="F16" s="176">
        <v>2</v>
      </c>
      <c r="G16" s="176">
        <v>2</v>
      </c>
      <c r="H16" s="37">
        <f t="shared" si="0"/>
        <v>1</v>
      </c>
      <c r="I16" s="175">
        <v>2</v>
      </c>
      <c r="J16" s="176">
        <v>2</v>
      </c>
      <c r="K16" s="37">
        <f t="shared" si="1"/>
        <v>1</v>
      </c>
      <c r="L16" s="177">
        <v>2</v>
      </c>
      <c r="M16" s="228">
        <f>[2]AP.Oeste!M16</f>
        <v>2</v>
      </c>
      <c r="N16" s="225">
        <f>[2]AP.Oeste!N16</f>
        <v>2</v>
      </c>
      <c r="O16" s="225">
        <f>[2]AP.Oeste!O16</f>
        <v>2</v>
      </c>
      <c r="P16" s="229">
        <f>[2]AP.Oeste!P16</f>
        <v>2</v>
      </c>
      <c r="Q16" s="37">
        <f t="shared" si="2"/>
        <v>1</v>
      </c>
      <c r="R16" s="60" t="str">
        <f>[3]AP.Oeste!R16</f>
        <v/>
      </c>
      <c r="S16" s="27">
        <f>[3]AP.Oeste!S16</f>
        <v>0</v>
      </c>
      <c r="T16" s="27">
        <f>[3]AP.Oeste!T16</f>
        <v>0</v>
      </c>
      <c r="U16" s="37">
        <f t="shared" si="3"/>
        <v>0</v>
      </c>
      <c r="V16" s="4"/>
      <c r="W16" s="226">
        <f t="shared" si="4"/>
        <v>1</v>
      </c>
      <c r="X16" s="226">
        <f t="shared" si="5"/>
        <v>1</v>
      </c>
      <c r="Y16" s="4"/>
      <c r="Z16" s="4"/>
      <c r="AA16" s="4"/>
      <c r="AB16" s="4"/>
      <c r="AC16" s="4"/>
      <c r="AD16" s="4"/>
    </row>
    <row r="17" spans="1:30" ht="15" customHeight="1" x14ac:dyDescent="0.25">
      <c r="A17" s="326"/>
      <c r="B17" s="326"/>
      <c r="C17" s="173" t="s">
        <v>147</v>
      </c>
      <c r="D17" s="175">
        <v>2</v>
      </c>
      <c r="E17" s="176">
        <v>2</v>
      </c>
      <c r="F17" s="176">
        <v>2</v>
      </c>
      <c r="G17" s="176">
        <v>2</v>
      </c>
      <c r="H17" s="37">
        <f t="shared" si="0"/>
        <v>1</v>
      </c>
      <c r="I17" s="175">
        <v>2</v>
      </c>
      <c r="J17" s="176">
        <v>2</v>
      </c>
      <c r="K17" s="37">
        <f t="shared" si="1"/>
        <v>1</v>
      </c>
      <c r="L17" s="177">
        <v>2</v>
      </c>
      <c r="M17" s="228">
        <f>[2]AP.Oeste!M17</f>
        <v>2</v>
      </c>
      <c r="N17" s="225">
        <f>[2]AP.Oeste!N17</f>
        <v>2</v>
      </c>
      <c r="O17" s="225">
        <f>[2]AP.Oeste!O17</f>
        <v>2</v>
      </c>
      <c r="P17" s="229">
        <f>[2]AP.Oeste!P17</f>
        <v>2</v>
      </c>
      <c r="Q17" s="37">
        <f t="shared" si="2"/>
        <v>1</v>
      </c>
      <c r="R17" s="60" t="str">
        <f>[3]AP.Oeste!R17</f>
        <v/>
      </c>
      <c r="S17" s="27">
        <f>[3]AP.Oeste!S17</f>
        <v>0</v>
      </c>
      <c r="T17" s="27">
        <f>[3]AP.Oeste!T17</f>
        <v>0</v>
      </c>
      <c r="U17" s="37">
        <f t="shared" si="3"/>
        <v>0</v>
      </c>
      <c r="V17" s="61"/>
      <c r="W17" s="226">
        <f t="shared" si="4"/>
        <v>1</v>
      </c>
      <c r="X17" s="226">
        <f t="shared" si="5"/>
        <v>1</v>
      </c>
      <c r="Y17" s="4"/>
      <c r="Z17" s="4"/>
      <c r="AA17" s="4"/>
      <c r="AB17" s="4"/>
      <c r="AC17" s="4"/>
      <c r="AD17" s="4"/>
    </row>
    <row r="18" spans="1:30" ht="15" customHeight="1" x14ac:dyDescent="0.25">
      <c r="A18" s="326"/>
      <c r="B18" s="326"/>
      <c r="C18" s="173" t="s">
        <v>148</v>
      </c>
      <c r="D18" s="175">
        <v>2</v>
      </c>
      <c r="E18" s="176">
        <v>2</v>
      </c>
      <c r="F18" s="176">
        <v>2</v>
      </c>
      <c r="G18" s="176">
        <v>2</v>
      </c>
      <c r="H18" s="37">
        <f t="shared" si="0"/>
        <v>1</v>
      </c>
      <c r="I18" s="175">
        <v>2</v>
      </c>
      <c r="J18" s="176">
        <v>2</v>
      </c>
      <c r="K18" s="37">
        <f t="shared" si="1"/>
        <v>1</v>
      </c>
      <c r="L18" s="177">
        <v>2</v>
      </c>
      <c r="M18" s="228">
        <f>[2]AP.Oeste!M18</f>
        <v>2</v>
      </c>
      <c r="N18" s="225">
        <f>[2]AP.Oeste!N18</f>
        <v>2</v>
      </c>
      <c r="O18" s="225">
        <f>[2]AP.Oeste!O18</f>
        <v>2</v>
      </c>
      <c r="P18" s="229">
        <f>[2]AP.Oeste!P18</f>
        <v>2</v>
      </c>
      <c r="Q18" s="37">
        <f t="shared" si="2"/>
        <v>1</v>
      </c>
      <c r="R18" s="60" t="str">
        <f>[3]AP.Oeste!R18</f>
        <v/>
      </c>
      <c r="S18" s="27">
        <f>[3]AP.Oeste!S18</f>
        <v>0</v>
      </c>
      <c r="T18" s="27">
        <f>[3]AP.Oeste!T18</f>
        <v>0</v>
      </c>
      <c r="U18" s="37">
        <f t="shared" si="3"/>
        <v>0</v>
      </c>
      <c r="V18" s="61"/>
      <c r="W18" s="226">
        <f t="shared" si="4"/>
        <v>1</v>
      </c>
      <c r="X18" s="226">
        <f t="shared" si="5"/>
        <v>1</v>
      </c>
      <c r="Y18" s="4"/>
      <c r="Z18" s="4"/>
      <c r="AA18" s="4"/>
      <c r="AB18" s="4"/>
      <c r="AC18" s="4"/>
      <c r="AD18" s="4"/>
    </row>
    <row r="19" spans="1:30" ht="15" customHeight="1" x14ac:dyDescent="0.25">
      <c r="A19" s="326"/>
      <c r="B19" s="326"/>
      <c r="C19" s="173" t="s">
        <v>149</v>
      </c>
      <c r="D19" s="175">
        <v>2</v>
      </c>
      <c r="E19" s="176">
        <v>2</v>
      </c>
      <c r="F19" s="176">
        <v>2</v>
      </c>
      <c r="G19" s="176">
        <v>2</v>
      </c>
      <c r="H19" s="37">
        <f t="shared" si="0"/>
        <v>1</v>
      </c>
      <c r="I19" s="175">
        <v>2</v>
      </c>
      <c r="J19" s="176">
        <v>2</v>
      </c>
      <c r="K19" s="37">
        <f t="shared" si="1"/>
        <v>1</v>
      </c>
      <c r="L19" s="177">
        <v>2</v>
      </c>
      <c r="M19" s="228">
        <f>[2]AP.Oeste!M19</f>
        <v>2</v>
      </c>
      <c r="N19" s="225">
        <f>[2]AP.Oeste!N19</f>
        <v>2</v>
      </c>
      <c r="O19" s="225">
        <f>[2]AP.Oeste!O19</f>
        <v>2</v>
      </c>
      <c r="P19" s="229">
        <f>[2]AP.Oeste!P19</f>
        <v>2</v>
      </c>
      <c r="Q19" s="37">
        <f t="shared" si="2"/>
        <v>1</v>
      </c>
      <c r="R19" s="60" t="str">
        <f>[3]AP.Oeste!R19</f>
        <v/>
      </c>
      <c r="S19" s="27">
        <f>[3]AP.Oeste!S19</f>
        <v>0</v>
      </c>
      <c r="T19" s="27">
        <f>[3]AP.Oeste!T19</f>
        <v>0</v>
      </c>
      <c r="U19" s="37">
        <f t="shared" si="3"/>
        <v>0</v>
      </c>
      <c r="V19" s="4"/>
      <c r="W19" s="226">
        <f t="shared" si="4"/>
        <v>1</v>
      </c>
      <c r="X19" s="226">
        <f t="shared" si="5"/>
        <v>1</v>
      </c>
      <c r="Y19" s="4"/>
      <c r="Z19" s="4"/>
      <c r="AA19" s="4"/>
      <c r="AB19" s="4"/>
      <c r="AC19" s="4"/>
      <c r="AD19" s="4"/>
    </row>
    <row r="20" spans="1:30" ht="15" customHeight="1" x14ac:dyDescent="0.25">
      <c r="A20" s="326"/>
      <c r="B20" s="326"/>
      <c r="C20" s="173" t="s">
        <v>150</v>
      </c>
      <c r="D20" s="175">
        <v>2</v>
      </c>
      <c r="E20" s="176">
        <v>2</v>
      </c>
      <c r="F20" s="176">
        <v>2</v>
      </c>
      <c r="G20" s="176">
        <v>2</v>
      </c>
      <c r="H20" s="37">
        <f t="shared" si="0"/>
        <v>1</v>
      </c>
      <c r="I20" s="175">
        <v>2</v>
      </c>
      <c r="J20" s="176">
        <v>2</v>
      </c>
      <c r="K20" s="37">
        <f t="shared" si="1"/>
        <v>1</v>
      </c>
      <c r="L20" s="177">
        <v>2</v>
      </c>
      <c r="M20" s="228">
        <f>[2]AP.Oeste!M20</f>
        <v>2</v>
      </c>
      <c r="N20" s="225">
        <f>[2]AP.Oeste!N20</f>
        <v>2</v>
      </c>
      <c r="O20" s="225">
        <f>[2]AP.Oeste!O20</f>
        <v>2</v>
      </c>
      <c r="P20" s="229">
        <f>[2]AP.Oeste!P20</f>
        <v>2</v>
      </c>
      <c r="Q20" s="37">
        <f t="shared" si="2"/>
        <v>1</v>
      </c>
      <c r="R20" s="60" t="str">
        <f>[3]AP.Oeste!R20</f>
        <v/>
      </c>
      <c r="S20" s="27">
        <f>[3]AP.Oeste!S20</f>
        <v>0</v>
      </c>
      <c r="T20" s="27">
        <f>[3]AP.Oeste!T20</f>
        <v>0</v>
      </c>
      <c r="U20" s="37">
        <f t="shared" si="3"/>
        <v>0</v>
      </c>
      <c r="V20" s="4"/>
      <c r="W20" s="226">
        <f t="shared" si="4"/>
        <v>1</v>
      </c>
      <c r="X20" s="226">
        <f t="shared" si="5"/>
        <v>1</v>
      </c>
      <c r="Y20" s="4"/>
      <c r="Z20" s="4"/>
      <c r="AA20" s="4"/>
      <c r="AB20" s="4"/>
      <c r="AC20" s="4"/>
      <c r="AD20" s="4"/>
    </row>
    <row r="21" spans="1:30" ht="15" customHeight="1" x14ac:dyDescent="0.25">
      <c r="A21" s="326"/>
      <c r="B21" s="326"/>
      <c r="C21" s="173" t="s">
        <v>151</v>
      </c>
      <c r="D21" s="175"/>
      <c r="E21" s="176"/>
      <c r="F21" s="176"/>
      <c r="G21" s="176"/>
      <c r="H21" s="37">
        <f t="shared" si="0"/>
        <v>0</v>
      </c>
      <c r="I21" s="175"/>
      <c r="J21" s="176"/>
      <c r="K21" s="37">
        <f t="shared" si="1"/>
        <v>0</v>
      </c>
      <c r="L21" s="177"/>
      <c r="M21" s="228" t="str">
        <f>[2]AP.Oeste!M21</f>
        <v/>
      </c>
      <c r="N21" s="225" t="str">
        <f>[2]AP.Oeste!N21</f>
        <v/>
      </c>
      <c r="O21" s="225" t="str">
        <f>[2]AP.Oeste!O21</f>
        <v/>
      </c>
      <c r="P21" s="229" t="str">
        <f>[2]AP.Oeste!P21</f>
        <v/>
      </c>
      <c r="Q21" s="37">
        <f t="shared" si="2"/>
        <v>0</v>
      </c>
      <c r="R21" s="60" t="str">
        <f>[3]AP.Oeste!R21</f>
        <v/>
      </c>
      <c r="S21" s="27">
        <f>[3]AP.Oeste!S21</f>
        <v>0</v>
      </c>
      <c r="T21" s="27">
        <f>[3]AP.Oeste!T21</f>
        <v>0</v>
      </c>
      <c r="U21" s="37">
        <f t="shared" si="3"/>
        <v>0</v>
      </c>
      <c r="V21" s="61"/>
      <c r="W21" s="226">
        <f t="shared" si="4"/>
        <v>0</v>
      </c>
      <c r="X21" s="226" t="str">
        <f t="shared" si="5"/>
        <v/>
      </c>
      <c r="Y21" s="4"/>
      <c r="Z21" s="4"/>
      <c r="AA21" s="4"/>
      <c r="AB21" s="4"/>
      <c r="AC21" s="4"/>
      <c r="AD21" s="4"/>
    </row>
    <row r="22" spans="1:30" ht="15" customHeight="1" x14ac:dyDescent="0.25">
      <c r="A22" s="326"/>
      <c r="B22" s="326"/>
      <c r="C22" s="173" t="s">
        <v>152</v>
      </c>
      <c r="D22" s="175"/>
      <c r="E22" s="176"/>
      <c r="F22" s="176"/>
      <c r="G22" s="176"/>
      <c r="H22" s="37">
        <f t="shared" si="0"/>
        <v>0</v>
      </c>
      <c r="I22" s="175"/>
      <c r="J22" s="176"/>
      <c r="K22" s="37">
        <f t="shared" si="1"/>
        <v>0</v>
      </c>
      <c r="L22" s="177"/>
      <c r="M22" s="228" t="str">
        <f>[2]AP.Oeste!M22</f>
        <v/>
      </c>
      <c r="N22" s="225" t="str">
        <f>[2]AP.Oeste!N22</f>
        <v/>
      </c>
      <c r="O22" s="225" t="str">
        <f>[2]AP.Oeste!O22</f>
        <v/>
      </c>
      <c r="P22" s="229" t="str">
        <f>[2]AP.Oeste!P22</f>
        <v/>
      </c>
      <c r="Q22" s="37">
        <f t="shared" si="2"/>
        <v>0</v>
      </c>
      <c r="R22" s="60" t="str">
        <f>[3]AP.Oeste!R22</f>
        <v/>
      </c>
      <c r="S22" s="27">
        <f>[3]AP.Oeste!S22</f>
        <v>0</v>
      </c>
      <c r="T22" s="27">
        <f>[3]AP.Oeste!T22</f>
        <v>0</v>
      </c>
      <c r="U22" s="37">
        <f t="shared" si="3"/>
        <v>0</v>
      </c>
      <c r="V22" s="61"/>
      <c r="W22" s="226">
        <f t="shared" si="4"/>
        <v>0</v>
      </c>
      <c r="X22" s="226" t="str">
        <f t="shared" si="5"/>
        <v/>
      </c>
      <c r="Y22" s="4"/>
      <c r="Z22" s="4"/>
      <c r="AA22" s="4"/>
      <c r="AB22" s="4"/>
      <c r="AC22" s="4"/>
      <c r="AD22" s="4"/>
    </row>
    <row r="23" spans="1:30" ht="15.75" customHeight="1" x14ac:dyDescent="0.25">
      <c r="A23" s="326"/>
      <c r="B23" s="326"/>
      <c r="C23" s="173" t="s">
        <v>153</v>
      </c>
      <c r="D23" s="175">
        <v>2</v>
      </c>
      <c r="E23" s="176">
        <v>2</v>
      </c>
      <c r="F23" s="176">
        <v>2</v>
      </c>
      <c r="G23" s="176">
        <v>2</v>
      </c>
      <c r="H23" s="37">
        <f t="shared" si="0"/>
        <v>1</v>
      </c>
      <c r="I23" s="175">
        <v>2</v>
      </c>
      <c r="J23" s="176">
        <v>2</v>
      </c>
      <c r="K23" s="37">
        <f t="shared" si="1"/>
        <v>1</v>
      </c>
      <c r="L23" s="177">
        <v>2</v>
      </c>
      <c r="M23" s="228">
        <f>[2]AP.Oeste!M23</f>
        <v>2</v>
      </c>
      <c r="N23" s="225">
        <f>[2]AP.Oeste!N23</f>
        <v>2</v>
      </c>
      <c r="O23" s="225">
        <f>[2]AP.Oeste!O23</f>
        <v>2</v>
      </c>
      <c r="P23" s="229">
        <f>[2]AP.Oeste!P23</f>
        <v>2</v>
      </c>
      <c r="Q23" s="37">
        <f t="shared" si="2"/>
        <v>1</v>
      </c>
      <c r="R23" s="60" t="str">
        <f>[3]AP.Oeste!R23</f>
        <v/>
      </c>
      <c r="S23" s="27">
        <f>[3]AP.Oeste!S23</f>
        <v>0</v>
      </c>
      <c r="T23" s="27">
        <f>[3]AP.Oeste!T23</f>
        <v>0</v>
      </c>
      <c r="U23" s="37">
        <f t="shared" si="3"/>
        <v>0</v>
      </c>
      <c r="V23" s="61"/>
      <c r="W23" s="226">
        <f t="shared" si="4"/>
        <v>1</v>
      </c>
      <c r="X23" s="226">
        <f t="shared" si="5"/>
        <v>1</v>
      </c>
      <c r="Y23" s="4"/>
      <c r="Z23" s="4"/>
      <c r="AA23" s="4"/>
      <c r="AB23" s="4"/>
      <c r="AC23" s="4"/>
      <c r="AD23" s="4"/>
    </row>
    <row r="24" spans="1:30" ht="15.75" customHeight="1" x14ac:dyDescent="0.25">
      <c r="A24" s="326"/>
      <c r="B24" s="321"/>
      <c r="C24" s="173" t="s">
        <v>154</v>
      </c>
      <c r="D24" s="175">
        <v>2</v>
      </c>
      <c r="E24" s="176">
        <v>2</v>
      </c>
      <c r="F24" s="176">
        <v>2</v>
      </c>
      <c r="G24" s="176">
        <v>2</v>
      </c>
      <c r="H24" s="37">
        <f t="shared" si="0"/>
        <v>1</v>
      </c>
      <c r="I24" s="175">
        <v>2</v>
      </c>
      <c r="J24" s="176">
        <v>2</v>
      </c>
      <c r="K24" s="37">
        <f t="shared" si="1"/>
        <v>1</v>
      </c>
      <c r="L24" s="177">
        <v>2</v>
      </c>
      <c r="M24" s="228">
        <f>[2]AP.Oeste!M24</f>
        <v>2</v>
      </c>
      <c r="N24" s="225">
        <f>[2]AP.Oeste!N24</f>
        <v>2</v>
      </c>
      <c r="O24" s="225">
        <f>[2]AP.Oeste!O24</f>
        <v>2</v>
      </c>
      <c r="P24" s="229">
        <f>[2]AP.Oeste!P24</f>
        <v>2</v>
      </c>
      <c r="Q24" s="37">
        <f t="shared" si="2"/>
        <v>1</v>
      </c>
      <c r="R24" s="60" t="str">
        <f>[3]AP.Oeste!R24</f>
        <v/>
      </c>
      <c r="S24" s="27">
        <f>[3]AP.Oeste!S24</f>
        <v>0</v>
      </c>
      <c r="T24" s="27">
        <f>[3]AP.Oeste!T24</f>
        <v>0</v>
      </c>
      <c r="U24" s="37">
        <f t="shared" si="3"/>
        <v>0</v>
      </c>
      <c r="V24" s="61"/>
      <c r="W24" s="226">
        <f t="shared" si="4"/>
        <v>1</v>
      </c>
      <c r="X24" s="226">
        <f t="shared" si="5"/>
        <v>1</v>
      </c>
      <c r="Y24" s="4"/>
      <c r="Z24" s="4"/>
      <c r="AA24" s="4"/>
      <c r="AB24" s="4"/>
      <c r="AC24" s="4"/>
      <c r="AD24" s="4"/>
    </row>
    <row r="25" spans="1:30" ht="15" customHeight="1" x14ac:dyDescent="0.25">
      <c r="A25" s="326"/>
      <c r="B25" s="379"/>
      <c r="C25" s="174" t="s">
        <v>155</v>
      </c>
      <c r="D25" s="175">
        <v>2</v>
      </c>
      <c r="E25" s="176">
        <v>2</v>
      </c>
      <c r="F25" s="176">
        <v>2</v>
      </c>
      <c r="G25" s="176">
        <v>2</v>
      </c>
      <c r="H25" s="37">
        <f t="shared" si="0"/>
        <v>1</v>
      </c>
      <c r="I25" s="175">
        <v>2</v>
      </c>
      <c r="J25" s="176">
        <v>2</v>
      </c>
      <c r="K25" s="37">
        <f t="shared" si="1"/>
        <v>1</v>
      </c>
      <c r="L25" s="177">
        <v>2</v>
      </c>
      <c r="M25" s="228">
        <f>[2]AP.Oeste!M25</f>
        <v>2</v>
      </c>
      <c r="N25" s="225">
        <f>[2]AP.Oeste!N25</f>
        <v>2</v>
      </c>
      <c r="O25" s="225">
        <f>[2]AP.Oeste!O25</f>
        <v>2</v>
      </c>
      <c r="P25" s="229">
        <f>[2]AP.Oeste!P25</f>
        <v>2</v>
      </c>
      <c r="Q25" s="37">
        <f t="shared" si="2"/>
        <v>1</v>
      </c>
      <c r="R25" s="60" t="str">
        <f>[3]AP.Oeste!R25</f>
        <v/>
      </c>
      <c r="S25" s="27">
        <f>[3]AP.Oeste!S25</f>
        <v>0</v>
      </c>
      <c r="T25" s="27">
        <f>[3]AP.Oeste!T25</f>
        <v>0</v>
      </c>
      <c r="U25" s="37">
        <f t="shared" si="3"/>
        <v>0</v>
      </c>
      <c r="V25" s="4"/>
      <c r="W25" s="226">
        <f t="shared" si="4"/>
        <v>1</v>
      </c>
      <c r="X25" s="226">
        <f t="shared" si="5"/>
        <v>1</v>
      </c>
      <c r="Y25" s="4"/>
      <c r="Z25" s="4"/>
      <c r="AA25" s="4"/>
      <c r="AB25" s="4"/>
      <c r="AC25" s="4"/>
      <c r="AD25" s="4"/>
    </row>
    <row r="26" spans="1:30" ht="15.75" customHeight="1" x14ac:dyDescent="0.25">
      <c r="A26" s="326"/>
      <c r="B26" s="326"/>
      <c r="C26" s="174" t="s">
        <v>156</v>
      </c>
      <c r="D26" s="175">
        <v>2</v>
      </c>
      <c r="E26" s="176">
        <v>2</v>
      </c>
      <c r="F26" s="176">
        <v>2</v>
      </c>
      <c r="G26" s="176">
        <v>2</v>
      </c>
      <c r="H26" s="37">
        <f t="shared" si="0"/>
        <v>1</v>
      </c>
      <c r="I26" s="175">
        <v>2</v>
      </c>
      <c r="J26" s="176">
        <v>2</v>
      </c>
      <c r="K26" s="37">
        <f t="shared" si="1"/>
        <v>1</v>
      </c>
      <c r="L26" s="177">
        <v>2</v>
      </c>
      <c r="M26" s="228">
        <f>[2]AP.Oeste!M26</f>
        <v>2</v>
      </c>
      <c r="N26" s="225">
        <f>[2]AP.Oeste!N26</f>
        <v>2</v>
      </c>
      <c r="O26" s="225">
        <f>[2]AP.Oeste!O26</f>
        <v>2</v>
      </c>
      <c r="P26" s="229">
        <f>[2]AP.Oeste!P26</f>
        <v>2</v>
      </c>
      <c r="Q26" s="37">
        <f t="shared" si="2"/>
        <v>1</v>
      </c>
      <c r="R26" s="60" t="str">
        <f>[3]AP.Oeste!R26</f>
        <v/>
      </c>
      <c r="S26" s="27">
        <f>[3]AP.Oeste!S26</f>
        <v>0</v>
      </c>
      <c r="T26" s="27">
        <f>[3]AP.Oeste!T26</f>
        <v>0</v>
      </c>
      <c r="U26" s="37">
        <f t="shared" si="3"/>
        <v>0</v>
      </c>
      <c r="V26" s="4"/>
      <c r="W26" s="226">
        <f t="shared" si="4"/>
        <v>1</v>
      </c>
      <c r="X26" s="226">
        <f t="shared" si="5"/>
        <v>1</v>
      </c>
      <c r="Y26" s="4"/>
      <c r="Z26" s="4"/>
      <c r="AA26" s="4"/>
      <c r="AB26" s="4"/>
      <c r="AC26" s="4"/>
      <c r="AD26" s="4"/>
    </row>
    <row r="27" spans="1:30" ht="15.75" customHeight="1" x14ac:dyDescent="0.25">
      <c r="A27" s="326"/>
      <c r="B27" s="326"/>
      <c r="C27" s="174" t="s">
        <v>157</v>
      </c>
      <c r="D27" s="175">
        <v>2</v>
      </c>
      <c r="E27" s="176">
        <v>2</v>
      </c>
      <c r="F27" s="176">
        <v>2</v>
      </c>
      <c r="G27" s="176">
        <v>2</v>
      </c>
      <c r="H27" s="37">
        <f t="shared" si="0"/>
        <v>1</v>
      </c>
      <c r="I27" s="175">
        <v>2</v>
      </c>
      <c r="J27" s="176">
        <v>2</v>
      </c>
      <c r="K27" s="37">
        <f t="shared" si="1"/>
        <v>1</v>
      </c>
      <c r="L27" s="177">
        <v>2</v>
      </c>
      <c r="M27" s="228">
        <f>[2]AP.Oeste!M27</f>
        <v>2</v>
      </c>
      <c r="N27" s="225">
        <f>[2]AP.Oeste!N27</f>
        <v>2</v>
      </c>
      <c r="O27" s="225">
        <f>[2]AP.Oeste!O27</f>
        <v>2</v>
      </c>
      <c r="P27" s="229">
        <f>[2]AP.Oeste!P27</f>
        <v>2</v>
      </c>
      <c r="Q27" s="37">
        <f t="shared" si="2"/>
        <v>1</v>
      </c>
      <c r="R27" s="60" t="str">
        <f>[3]AP.Oeste!R27</f>
        <v/>
      </c>
      <c r="S27" s="27">
        <f>[3]AP.Oeste!S27</f>
        <v>0</v>
      </c>
      <c r="T27" s="27">
        <f>[3]AP.Oeste!T27</f>
        <v>0</v>
      </c>
      <c r="U27" s="37">
        <f t="shared" si="3"/>
        <v>0</v>
      </c>
      <c r="V27" s="4"/>
      <c r="W27" s="226">
        <f t="shared" si="4"/>
        <v>1</v>
      </c>
      <c r="X27" s="226">
        <f t="shared" si="5"/>
        <v>1</v>
      </c>
      <c r="Y27" s="4"/>
      <c r="Z27" s="4"/>
      <c r="AA27" s="4"/>
      <c r="AB27" s="4"/>
      <c r="AC27" s="4"/>
      <c r="AD27" s="4"/>
    </row>
    <row r="28" spans="1:30" ht="15.75" customHeight="1" x14ac:dyDescent="0.25">
      <c r="A28" s="326"/>
      <c r="B28" s="326"/>
      <c r="C28" s="174" t="s">
        <v>158</v>
      </c>
      <c r="D28" s="175">
        <v>2</v>
      </c>
      <c r="E28" s="176">
        <v>2</v>
      </c>
      <c r="F28" s="176">
        <v>2</v>
      </c>
      <c r="G28" s="176">
        <v>2</v>
      </c>
      <c r="H28" s="37">
        <f t="shared" si="0"/>
        <v>1</v>
      </c>
      <c r="I28" s="175">
        <v>2</v>
      </c>
      <c r="J28" s="176">
        <v>2</v>
      </c>
      <c r="K28" s="37">
        <f t="shared" si="1"/>
        <v>1</v>
      </c>
      <c r="L28" s="177">
        <v>2</v>
      </c>
      <c r="M28" s="228">
        <f>[2]AP.Oeste!M28</f>
        <v>2</v>
      </c>
      <c r="N28" s="225">
        <f>[2]AP.Oeste!N28</f>
        <v>2</v>
      </c>
      <c r="O28" s="225">
        <f>[2]AP.Oeste!O28</f>
        <v>2</v>
      </c>
      <c r="P28" s="229">
        <f>[2]AP.Oeste!P28</f>
        <v>2</v>
      </c>
      <c r="Q28" s="37">
        <f t="shared" si="2"/>
        <v>1</v>
      </c>
      <c r="R28" s="60" t="str">
        <f>[3]AP.Oeste!R28</f>
        <v/>
      </c>
      <c r="S28" s="27">
        <f>[3]AP.Oeste!S28</f>
        <v>0</v>
      </c>
      <c r="T28" s="27">
        <f>[3]AP.Oeste!T28</f>
        <v>0</v>
      </c>
      <c r="U28" s="37">
        <f t="shared" si="3"/>
        <v>0</v>
      </c>
      <c r="V28" s="61"/>
      <c r="W28" s="226">
        <f t="shared" si="4"/>
        <v>1</v>
      </c>
      <c r="X28" s="226">
        <f t="shared" si="5"/>
        <v>1</v>
      </c>
      <c r="Y28" s="4"/>
      <c r="Z28" s="4"/>
      <c r="AA28" s="4"/>
      <c r="AB28" s="4"/>
      <c r="AC28" s="4"/>
      <c r="AD28" s="4"/>
    </row>
    <row r="29" spans="1:30" ht="15.75" customHeight="1" x14ac:dyDescent="0.25">
      <c r="A29" s="326"/>
      <c r="B29" s="326"/>
      <c r="C29" s="173" t="s">
        <v>159</v>
      </c>
      <c r="D29" s="175">
        <v>2</v>
      </c>
      <c r="E29" s="176">
        <v>2</v>
      </c>
      <c r="F29" s="176">
        <v>2</v>
      </c>
      <c r="G29" s="176">
        <v>2</v>
      </c>
      <c r="H29" s="37">
        <f t="shared" si="0"/>
        <v>1</v>
      </c>
      <c r="I29" s="175">
        <v>2</v>
      </c>
      <c r="J29" s="176">
        <v>2</v>
      </c>
      <c r="K29" s="37">
        <f t="shared" si="1"/>
        <v>1</v>
      </c>
      <c r="L29" s="177">
        <v>2</v>
      </c>
      <c r="M29" s="228">
        <f>[2]AP.Oeste!M29</f>
        <v>2</v>
      </c>
      <c r="N29" s="225">
        <f>[2]AP.Oeste!N29</f>
        <v>2</v>
      </c>
      <c r="O29" s="225">
        <f>[2]AP.Oeste!O29</f>
        <v>2</v>
      </c>
      <c r="P29" s="229">
        <f>[2]AP.Oeste!P29</f>
        <v>2</v>
      </c>
      <c r="Q29" s="37">
        <f t="shared" si="2"/>
        <v>1</v>
      </c>
      <c r="R29" s="60" t="str">
        <f>[3]AP.Oeste!R29</f>
        <v/>
      </c>
      <c r="S29" s="27">
        <f>[3]AP.Oeste!S29</f>
        <v>0</v>
      </c>
      <c r="T29" s="27">
        <f>[3]AP.Oeste!T29</f>
        <v>0</v>
      </c>
      <c r="U29" s="37">
        <f t="shared" si="3"/>
        <v>0</v>
      </c>
      <c r="V29" s="61"/>
      <c r="W29" s="226">
        <f t="shared" si="4"/>
        <v>1</v>
      </c>
      <c r="X29" s="226">
        <f t="shared" si="5"/>
        <v>1</v>
      </c>
      <c r="Y29" s="4"/>
      <c r="Z29" s="4"/>
      <c r="AA29" s="4"/>
      <c r="AB29" s="4"/>
      <c r="AC29" s="4"/>
      <c r="AD29" s="4"/>
    </row>
    <row r="30" spans="1:30" ht="15.75" customHeight="1" x14ac:dyDescent="0.25">
      <c r="A30" s="326"/>
      <c r="B30" s="326"/>
      <c r="C30" s="173" t="s">
        <v>160</v>
      </c>
      <c r="D30" s="175">
        <v>2</v>
      </c>
      <c r="E30" s="176">
        <v>2</v>
      </c>
      <c r="F30" s="176">
        <v>2</v>
      </c>
      <c r="G30" s="176">
        <v>2</v>
      </c>
      <c r="H30" s="37">
        <f t="shared" si="0"/>
        <v>1</v>
      </c>
      <c r="I30" s="175">
        <v>2</v>
      </c>
      <c r="J30" s="176">
        <v>2</v>
      </c>
      <c r="K30" s="37">
        <f t="shared" si="1"/>
        <v>1</v>
      </c>
      <c r="L30" s="177">
        <v>2</v>
      </c>
      <c r="M30" s="228">
        <f>[2]AP.Oeste!M30</f>
        <v>2</v>
      </c>
      <c r="N30" s="225">
        <f>[2]AP.Oeste!N30</f>
        <v>2</v>
      </c>
      <c r="O30" s="225">
        <f>[2]AP.Oeste!O30</f>
        <v>2</v>
      </c>
      <c r="P30" s="229">
        <f>[2]AP.Oeste!P30</f>
        <v>2</v>
      </c>
      <c r="Q30" s="37">
        <f t="shared" si="2"/>
        <v>1</v>
      </c>
      <c r="R30" s="60" t="str">
        <f>[3]AP.Oeste!R30</f>
        <v/>
      </c>
      <c r="S30" s="27">
        <f>[3]AP.Oeste!S30</f>
        <v>0</v>
      </c>
      <c r="T30" s="27">
        <f>[3]AP.Oeste!T30</f>
        <v>0</v>
      </c>
      <c r="U30" s="37">
        <f t="shared" si="3"/>
        <v>0</v>
      </c>
      <c r="V30" s="4"/>
      <c r="W30" s="226">
        <f t="shared" si="4"/>
        <v>1</v>
      </c>
      <c r="X30" s="226">
        <f t="shared" si="5"/>
        <v>1</v>
      </c>
      <c r="Y30" s="4"/>
      <c r="Z30" s="4"/>
      <c r="AA30" s="4"/>
      <c r="AB30" s="4"/>
      <c r="AC30" s="4"/>
      <c r="AD30" s="4"/>
    </row>
    <row r="31" spans="1:30" ht="15.75" customHeight="1" x14ac:dyDescent="0.25">
      <c r="A31" s="326"/>
      <c r="B31" s="326"/>
      <c r="C31" s="173" t="s">
        <v>161</v>
      </c>
      <c r="D31" s="175">
        <v>2</v>
      </c>
      <c r="E31" s="176">
        <v>2</v>
      </c>
      <c r="F31" s="176">
        <v>2</v>
      </c>
      <c r="G31" s="176">
        <v>2</v>
      </c>
      <c r="H31" s="37">
        <f t="shared" si="0"/>
        <v>1</v>
      </c>
      <c r="I31" s="175">
        <v>2</v>
      </c>
      <c r="J31" s="176">
        <v>2</v>
      </c>
      <c r="K31" s="37">
        <f t="shared" si="1"/>
        <v>1</v>
      </c>
      <c r="L31" s="177">
        <v>2</v>
      </c>
      <c r="M31" s="228">
        <f>[2]AP.Oeste!M31</f>
        <v>2</v>
      </c>
      <c r="N31" s="225">
        <f>[2]AP.Oeste!N31</f>
        <v>2</v>
      </c>
      <c r="O31" s="225">
        <f>[2]AP.Oeste!O31</f>
        <v>2</v>
      </c>
      <c r="P31" s="229">
        <f>[2]AP.Oeste!P31</f>
        <v>2</v>
      </c>
      <c r="Q31" s="37">
        <f t="shared" si="2"/>
        <v>1</v>
      </c>
      <c r="R31" s="60" t="str">
        <f>[3]AP.Oeste!R31</f>
        <v/>
      </c>
      <c r="S31" s="27">
        <f>[3]AP.Oeste!S31</f>
        <v>0</v>
      </c>
      <c r="T31" s="27">
        <f>[3]AP.Oeste!T31</f>
        <v>0</v>
      </c>
      <c r="U31" s="37">
        <f t="shared" si="3"/>
        <v>0</v>
      </c>
      <c r="V31" s="4"/>
      <c r="W31" s="226">
        <f t="shared" si="4"/>
        <v>1</v>
      </c>
      <c r="X31" s="226">
        <f t="shared" si="5"/>
        <v>1</v>
      </c>
      <c r="Y31" s="4"/>
      <c r="Z31" s="4"/>
      <c r="AA31" s="4"/>
      <c r="AB31" s="4"/>
      <c r="AC31" s="4"/>
      <c r="AD31" s="4"/>
    </row>
    <row r="32" spans="1:30" ht="15.75" customHeight="1" x14ac:dyDescent="0.25">
      <c r="A32" s="326"/>
      <c r="B32" s="326"/>
      <c r="C32" s="173" t="s">
        <v>162</v>
      </c>
      <c r="D32" s="175">
        <v>2</v>
      </c>
      <c r="E32" s="176">
        <v>2</v>
      </c>
      <c r="F32" s="176">
        <v>2</v>
      </c>
      <c r="G32" s="176">
        <v>2</v>
      </c>
      <c r="H32" s="37">
        <f t="shared" si="0"/>
        <v>1</v>
      </c>
      <c r="I32" s="175">
        <v>2</v>
      </c>
      <c r="J32" s="176">
        <v>2</v>
      </c>
      <c r="K32" s="37">
        <f t="shared" si="1"/>
        <v>1</v>
      </c>
      <c r="L32" s="177">
        <v>2</v>
      </c>
      <c r="M32" s="228">
        <f>[2]AP.Oeste!M32</f>
        <v>2</v>
      </c>
      <c r="N32" s="225">
        <f>[2]AP.Oeste!N32</f>
        <v>2</v>
      </c>
      <c r="O32" s="225">
        <f>[2]AP.Oeste!O32</f>
        <v>2</v>
      </c>
      <c r="P32" s="229">
        <f>[2]AP.Oeste!P32</f>
        <v>2</v>
      </c>
      <c r="Q32" s="37">
        <f t="shared" si="2"/>
        <v>1</v>
      </c>
      <c r="R32" s="60" t="str">
        <f>[3]AP.Oeste!R32</f>
        <v/>
      </c>
      <c r="S32" s="27">
        <f>[3]AP.Oeste!S32</f>
        <v>0</v>
      </c>
      <c r="T32" s="27">
        <f>[3]AP.Oeste!T32</f>
        <v>0</v>
      </c>
      <c r="U32" s="37">
        <f t="shared" si="3"/>
        <v>0</v>
      </c>
      <c r="V32" s="4"/>
      <c r="W32" s="226">
        <f t="shared" si="4"/>
        <v>1</v>
      </c>
      <c r="X32" s="226">
        <f t="shared" si="5"/>
        <v>1</v>
      </c>
      <c r="Y32" s="4"/>
      <c r="Z32" s="4"/>
      <c r="AA32" s="4"/>
      <c r="AB32" s="4"/>
      <c r="AC32" s="4"/>
      <c r="AD32" s="4"/>
    </row>
    <row r="33" spans="1:30" ht="15.75" customHeight="1" x14ac:dyDescent="0.25">
      <c r="A33" s="326"/>
      <c r="B33" s="326"/>
      <c r="C33" s="173" t="s">
        <v>163</v>
      </c>
      <c r="D33" s="175">
        <v>2</v>
      </c>
      <c r="E33" s="176">
        <v>2</v>
      </c>
      <c r="F33" s="176">
        <v>2</v>
      </c>
      <c r="G33" s="176">
        <v>2</v>
      </c>
      <c r="H33" s="37">
        <f t="shared" si="0"/>
        <v>1</v>
      </c>
      <c r="I33" s="175">
        <v>2</v>
      </c>
      <c r="J33" s="176">
        <v>2</v>
      </c>
      <c r="K33" s="37">
        <f t="shared" si="1"/>
        <v>1</v>
      </c>
      <c r="L33" s="177">
        <v>2</v>
      </c>
      <c r="M33" s="228">
        <f>[2]AP.Oeste!M33</f>
        <v>2</v>
      </c>
      <c r="N33" s="225">
        <f>[2]AP.Oeste!N33</f>
        <v>1.9166666666666667</v>
      </c>
      <c r="O33" s="225">
        <f>[2]AP.Oeste!O33</f>
        <v>2</v>
      </c>
      <c r="P33" s="229">
        <f>[2]AP.Oeste!P33</f>
        <v>2</v>
      </c>
      <c r="Q33" s="37">
        <f t="shared" si="2"/>
        <v>0.98958333333333337</v>
      </c>
      <c r="R33" s="60" t="str">
        <f>[3]AP.Oeste!R33</f>
        <v/>
      </c>
      <c r="S33" s="27">
        <f>[3]AP.Oeste!S33</f>
        <v>0</v>
      </c>
      <c r="T33" s="27">
        <f>[3]AP.Oeste!T33</f>
        <v>0</v>
      </c>
      <c r="U33" s="37">
        <f t="shared" si="3"/>
        <v>0</v>
      </c>
      <c r="V33" s="4"/>
      <c r="W33" s="226">
        <f t="shared" si="4"/>
        <v>1</v>
      </c>
      <c r="X33" s="226">
        <f t="shared" si="5"/>
        <v>0.98958333333333337</v>
      </c>
      <c r="Y33" s="4"/>
      <c r="Z33" s="4"/>
      <c r="AA33" s="4"/>
      <c r="AB33" s="4"/>
      <c r="AC33" s="4"/>
      <c r="AD33" s="4"/>
    </row>
    <row r="34" spans="1:30" ht="15.75" customHeight="1" x14ac:dyDescent="0.25">
      <c r="A34" s="326"/>
      <c r="B34" s="326"/>
      <c r="C34" s="174" t="s">
        <v>164</v>
      </c>
      <c r="D34" s="175">
        <v>2</v>
      </c>
      <c r="E34" s="176">
        <v>2</v>
      </c>
      <c r="F34" s="176">
        <v>2</v>
      </c>
      <c r="G34" s="176">
        <v>2</v>
      </c>
      <c r="H34" s="37">
        <f t="shared" si="0"/>
        <v>1</v>
      </c>
      <c r="I34" s="175">
        <v>2</v>
      </c>
      <c r="J34" s="176">
        <v>2</v>
      </c>
      <c r="K34" s="37">
        <f t="shared" si="1"/>
        <v>1</v>
      </c>
      <c r="L34" s="177">
        <v>2</v>
      </c>
      <c r="M34" s="228">
        <f>[2]AP.Oeste!M34</f>
        <v>2</v>
      </c>
      <c r="N34" s="225">
        <f>[2]AP.Oeste!N34</f>
        <v>2</v>
      </c>
      <c r="O34" s="225">
        <f>[2]AP.Oeste!O34</f>
        <v>2</v>
      </c>
      <c r="P34" s="229">
        <f>[2]AP.Oeste!P34</f>
        <v>2</v>
      </c>
      <c r="Q34" s="37">
        <f t="shared" si="2"/>
        <v>1</v>
      </c>
      <c r="R34" s="60" t="str">
        <f>[3]AP.Oeste!R34</f>
        <v/>
      </c>
      <c r="S34" s="27">
        <f>[3]AP.Oeste!S34</f>
        <v>0</v>
      </c>
      <c r="T34" s="27">
        <f>[3]AP.Oeste!T34</f>
        <v>0</v>
      </c>
      <c r="U34" s="37">
        <f t="shared" si="3"/>
        <v>0</v>
      </c>
      <c r="V34" s="4"/>
      <c r="W34" s="226">
        <f t="shared" si="4"/>
        <v>1</v>
      </c>
      <c r="X34" s="226">
        <f t="shared" si="5"/>
        <v>1</v>
      </c>
      <c r="Y34" s="4"/>
      <c r="Z34" s="4"/>
      <c r="AA34" s="4"/>
      <c r="AB34" s="4"/>
      <c r="AC34" s="4"/>
      <c r="AD34" s="4"/>
    </row>
    <row r="35" spans="1:30" ht="15.75" customHeight="1" x14ac:dyDescent="0.25">
      <c r="A35" s="321"/>
      <c r="B35" s="321"/>
      <c r="C35" s="174" t="s">
        <v>165</v>
      </c>
      <c r="D35" s="175">
        <v>2</v>
      </c>
      <c r="E35" s="176">
        <v>2</v>
      </c>
      <c r="F35" s="176">
        <v>2</v>
      </c>
      <c r="G35" s="176">
        <v>2</v>
      </c>
      <c r="H35" s="37">
        <f t="shared" si="0"/>
        <v>1</v>
      </c>
      <c r="I35" s="175">
        <v>2</v>
      </c>
      <c r="J35" s="176">
        <v>2</v>
      </c>
      <c r="K35" s="37">
        <f t="shared" si="1"/>
        <v>1</v>
      </c>
      <c r="L35" s="177">
        <v>2</v>
      </c>
      <c r="M35" s="228">
        <f>[2]AP.Oeste!M35</f>
        <v>2</v>
      </c>
      <c r="N35" s="225">
        <f>[2]AP.Oeste!N35</f>
        <v>2</v>
      </c>
      <c r="O35" s="225">
        <f>[2]AP.Oeste!O35</f>
        <v>2</v>
      </c>
      <c r="P35" s="229">
        <f>[2]AP.Oeste!P35</f>
        <v>2</v>
      </c>
      <c r="Q35" s="37">
        <f t="shared" si="2"/>
        <v>1</v>
      </c>
      <c r="R35" s="60" t="str">
        <f>[3]AP.Oeste!R35</f>
        <v/>
      </c>
      <c r="S35" s="27">
        <f>[3]AP.Oeste!S35</f>
        <v>0</v>
      </c>
      <c r="T35" s="27">
        <f>[3]AP.Oeste!T35</f>
        <v>0</v>
      </c>
      <c r="U35" s="37">
        <f t="shared" si="3"/>
        <v>0</v>
      </c>
      <c r="V35" s="4"/>
      <c r="W35" s="226">
        <f t="shared" si="4"/>
        <v>1</v>
      </c>
      <c r="X35" s="226">
        <f t="shared" si="5"/>
        <v>1</v>
      </c>
      <c r="Y35" s="4"/>
      <c r="Z35" s="4"/>
      <c r="AA35" s="4"/>
      <c r="AB35" s="4"/>
      <c r="AC35" s="4"/>
      <c r="AD35" s="4"/>
    </row>
    <row r="36" spans="1:30" ht="15.75" customHeight="1" x14ac:dyDescent="0.25">
      <c r="A36" s="4"/>
      <c r="B36" s="4"/>
      <c r="C36" s="57"/>
      <c r="D36" s="4"/>
      <c r="E36" s="4"/>
      <c r="F36" s="4"/>
      <c r="G36" s="4"/>
      <c r="H36" s="3"/>
      <c r="I36" s="4"/>
      <c r="J36" s="4"/>
      <c r="K36" s="3"/>
      <c r="L36" s="3"/>
      <c r="M36" s="4"/>
      <c r="N36" s="4"/>
      <c r="O36" s="4"/>
      <c r="P36" s="4"/>
      <c r="Q36" s="3"/>
      <c r="R36" s="4"/>
      <c r="S36" s="4"/>
      <c r="T36" s="4"/>
      <c r="U36" s="3"/>
      <c r="V36" s="4"/>
      <c r="W36" s="3"/>
      <c r="X36" s="3"/>
      <c r="Y36" s="4"/>
      <c r="Z36" s="4"/>
      <c r="AA36" s="4"/>
      <c r="AB36" s="4"/>
      <c r="AC36" s="4"/>
      <c r="AD36" s="4"/>
    </row>
    <row r="37" spans="1:30" ht="15.75" customHeight="1" x14ac:dyDescent="0.25">
      <c r="A37" s="4"/>
      <c r="B37" s="4"/>
      <c r="C37" s="57"/>
      <c r="D37" s="4"/>
      <c r="E37" s="4"/>
      <c r="F37" s="4"/>
      <c r="G37" s="4"/>
      <c r="H37" s="3"/>
      <c r="I37" s="4"/>
      <c r="J37" s="4"/>
      <c r="K37" s="3"/>
      <c r="L37" s="3"/>
      <c r="M37" s="4"/>
      <c r="N37" s="4"/>
      <c r="O37" s="4"/>
      <c r="P37" s="4"/>
      <c r="Q37" s="3"/>
      <c r="R37" s="4"/>
      <c r="S37" s="4"/>
      <c r="T37" s="4"/>
      <c r="U37" s="3"/>
      <c r="V37" s="4"/>
      <c r="W37" s="3"/>
      <c r="X37" s="3"/>
      <c r="Y37" s="4"/>
      <c r="Z37" s="4"/>
      <c r="AA37" s="4"/>
      <c r="AB37" s="4"/>
      <c r="AC37" s="4"/>
      <c r="AD37" s="4"/>
    </row>
    <row r="38" spans="1:30" ht="15.75" customHeight="1" x14ac:dyDescent="0.25">
      <c r="A38" s="4"/>
      <c r="B38" s="4"/>
      <c r="C38" s="57"/>
      <c r="D38" s="4"/>
      <c r="E38" s="4"/>
      <c r="F38" s="4"/>
      <c r="G38" s="4"/>
      <c r="H38" s="3"/>
      <c r="I38" s="4"/>
      <c r="J38" s="4"/>
      <c r="K38" s="3"/>
      <c r="L38" s="3"/>
      <c r="M38" s="4"/>
      <c r="N38" s="4"/>
      <c r="O38" s="4"/>
      <c r="P38" s="4"/>
      <c r="Q38" s="3"/>
      <c r="R38" s="4"/>
      <c r="S38" s="4"/>
      <c r="T38" s="4"/>
      <c r="U38" s="3"/>
      <c r="V38" s="4"/>
      <c r="W38" s="3"/>
      <c r="X38" s="3"/>
      <c r="Y38" s="4"/>
      <c r="Z38" s="4"/>
      <c r="AA38" s="4"/>
      <c r="AB38" s="4"/>
      <c r="AC38" s="4"/>
      <c r="AD38" s="4"/>
    </row>
    <row r="39" spans="1:30" ht="15.75" customHeight="1" x14ac:dyDescent="0.25">
      <c r="A39" s="4"/>
      <c r="B39" s="4"/>
      <c r="C39" s="57"/>
      <c r="D39" s="4"/>
      <c r="E39" s="4"/>
      <c r="F39" s="4"/>
      <c r="G39" s="4"/>
      <c r="H39" s="3"/>
      <c r="I39" s="4"/>
      <c r="J39" s="4"/>
      <c r="K39" s="3"/>
      <c r="L39" s="3"/>
      <c r="M39" s="4"/>
      <c r="N39" s="4"/>
      <c r="O39" s="4"/>
      <c r="P39" s="4"/>
      <c r="Q39" s="3"/>
      <c r="R39" s="4"/>
      <c r="S39" s="4"/>
      <c r="T39" s="4"/>
      <c r="U39" s="3"/>
      <c r="V39" s="4"/>
      <c r="W39" s="3"/>
      <c r="X39" s="3"/>
      <c r="Y39" s="4"/>
      <c r="Z39" s="4"/>
      <c r="AA39" s="4"/>
      <c r="AB39" s="4"/>
      <c r="AC39" s="4"/>
      <c r="AD39" s="4"/>
    </row>
    <row r="40" spans="1:30" ht="15.75" customHeight="1" x14ac:dyDescent="0.25">
      <c r="A40" s="4"/>
      <c r="B40" s="4"/>
      <c r="C40" s="57"/>
      <c r="D40" s="4"/>
      <c r="E40" s="4"/>
      <c r="F40" s="4"/>
      <c r="G40" s="4"/>
      <c r="H40" s="3"/>
      <c r="I40" s="4"/>
      <c r="J40" s="4"/>
      <c r="K40" s="3"/>
      <c r="L40" s="3"/>
      <c r="M40" s="4"/>
      <c r="N40" s="4"/>
      <c r="O40" s="4"/>
      <c r="P40" s="4"/>
      <c r="Q40" s="3"/>
      <c r="R40" s="4"/>
      <c r="S40" s="4"/>
      <c r="T40" s="4"/>
      <c r="U40" s="3"/>
      <c r="V40" s="4"/>
      <c r="W40" s="3"/>
      <c r="X40" s="3"/>
      <c r="Y40" s="4"/>
      <c r="Z40" s="4"/>
      <c r="AA40" s="4"/>
      <c r="AB40" s="4"/>
      <c r="AC40" s="4"/>
      <c r="AD40" s="4"/>
    </row>
    <row r="41" spans="1:30" ht="15.75" customHeight="1" x14ac:dyDescent="0.25">
      <c r="A41" s="4"/>
      <c r="B41" s="4"/>
      <c r="C41" s="57"/>
      <c r="D41" s="4"/>
      <c r="E41" s="4"/>
      <c r="F41" s="4"/>
      <c r="G41" s="4"/>
      <c r="H41" s="3"/>
      <c r="I41" s="4"/>
      <c r="J41" s="4"/>
      <c r="K41" s="3"/>
      <c r="L41" s="3"/>
      <c r="M41" s="4"/>
      <c r="N41" s="4"/>
      <c r="O41" s="4"/>
      <c r="P41" s="4"/>
      <c r="Q41" s="3"/>
      <c r="R41" s="4"/>
      <c r="S41" s="4"/>
      <c r="T41" s="4"/>
      <c r="U41" s="3"/>
      <c r="V41" s="4"/>
      <c r="W41" s="3"/>
      <c r="X41" s="3"/>
      <c r="Y41" s="4"/>
      <c r="Z41" s="4"/>
      <c r="AA41" s="4"/>
      <c r="AB41" s="4"/>
      <c r="AC41" s="4"/>
      <c r="AD41" s="4"/>
    </row>
    <row r="42" spans="1:30" ht="15.75" customHeight="1" x14ac:dyDescent="0.25">
      <c r="A42" s="4"/>
      <c r="B42" s="4"/>
      <c r="C42" s="57"/>
      <c r="D42" s="4"/>
      <c r="E42" s="4"/>
      <c r="F42" s="4"/>
      <c r="G42" s="4"/>
      <c r="H42" s="3"/>
      <c r="I42" s="4"/>
      <c r="J42" s="4"/>
      <c r="K42" s="3"/>
      <c r="L42" s="3"/>
      <c r="M42" s="4"/>
      <c r="N42" s="4"/>
      <c r="O42" s="4"/>
      <c r="P42" s="4"/>
      <c r="Q42" s="3"/>
      <c r="R42" s="4"/>
      <c r="S42" s="4"/>
      <c r="T42" s="4"/>
      <c r="U42" s="3"/>
      <c r="V42" s="4"/>
      <c r="W42" s="3"/>
      <c r="X42" s="3"/>
      <c r="Y42" s="4"/>
      <c r="Z42" s="4"/>
      <c r="AA42" s="4"/>
      <c r="AB42" s="4"/>
      <c r="AC42" s="4"/>
      <c r="AD42" s="4"/>
    </row>
    <row r="43" spans="1:30" ht="15.75" customHeight="1" x14ac:dyDescent="0.25">
      <c r="A43" s="4"/>
      <c r="B43" s="4"/>
      <c r="C43" s="57"/>
      <c r="D43" s="4"/>
      <c r="E43" s="4"/>
      <c r="F43" s="4"/>
      <c r="G43" s="4"/>
      <c r="H43" s="3"/>
      <c r="I43" s="4"/>
      <c r="J43" s="4"/>
      <c r="K43" s="3"/>
      <c r="L43" s="3"/>
      <c r="M43" s="4"/>
      <c r="N43" s="4"/>
      <c r="O43" s="4"/>
      <c r="P43" s="4"/>
      <c r="Q43" s="3"/>
      <c r="R43" s="4"/>
      <c r="S43" s="4"/>
      <c r="T43" s="4"/>
      <c r="U43" s="3"/>
      <c r="V43" s="4"/>
      <c r="W43" s="3"/>
      <c r="X43" s="3"/>
      <c r="Y43" s="4"/>
      <c r="Z43" s="4"/>
      <c r="AA43" s="4"/>
      <c r="AB43" s="4"/>
      <c r="AC43" s="4"/>
      <c r="AD43" s="4"/>
    </row>
    <row r="44" spans="1:30" ht="15.75" customHeight="1" x14ac:dyDescent="0.25">
      <c r="A44" s="4"/>
      <c r="B44" s="4"/>
      <c r="C44" s="57"/>
      <c r="D44" s="4"/>
      <c r="E44" s="4"/>
      <c r="F44" s="4"/>
      <c r="G44" s="4"/>
      <c r="H44" s="3"/>
      <c r="I44" s="4"/>
      <c r="J44" s="4"/>
      <c r="K44" s="3"/>
      <c r="L44" s="3"/>
      <c r="M44" s="4"/>
      <c r="N44" s="4"/>
      <c r="O44" s="4"/>
      <c r="P44" s="4"/>
      <c r="Q44" s="3"/>
      <c r="R44" s="4"/>
      <c r="S44" s="4"/>
      <c r="T44" s="4"/>
      <c r="U44" s="3"/>
      <c r="V44" s="4"/>
      <c r="W44" s="3"/>
      <c r="X44" s="3"/>
      <c r="Y44" s="4"/>
      <c r="Z44" s="4"/>
      <c r="AA44" s="4"/>
      <c r="AB44" s="4"/>
      <c r="AC44" s="4"/>
      <c r="AD44" s="4"/>
    </row>
    <row r="45" spans="1:30" ht="15.75" customHeight="1" x14ac:dyDescent="0.25">
      <c r="A45" s="4"/>
      <c r="B45" s="4"/>
      <c r="C45" s="57"/>
      <c r="D45" s="4"/>
      <c r="E45" s="4"/>
      <c r="F45" s="4"/>
      <c r="G45" s="4"/>
      <c r="H45" s="3"/>
      <c r="I45" s="4"/>
      <c r="J45" s="4"/>
      <c r="K45" s="3"/>
      <c r="L45" s="3"/>
      <c r="M45" s="4"/>
      <c r="N45" s="4"/>
      <c r="O45" s="4"/>
      <c r="P45" s="4"/>
      <c r="Q45" s="3"/>
      <c r="R45" s="4"/>
      <c r="S45" s="4"/>
      <c r="T45" s="4"/>
      <c r="U45" s="3"/>
      <c r="V45" s="4"/>
      <c r="W45" s="3"/>
      <c r="X45" s="3"/>
      <c r="Y45" s="4"/>
      <c r="Z45" s="4"/>
      <c r="AA45" s="4"/>
      <c r="AB45" s="4"/>
      <c r="AC45" s="4"/>
      <c r="AD45" s="4"/>
    </row>
    <row r="46" spans="1:30" ht="15.75" customHeight="1" x14ac:dyDescent="0.25">
      <c r="A46" s="4"/>
      <c r="B46" s="4"/>
      <c r="C46" s="57"/>
      <c r="D46" s="4"/>
      <c r="E46" s="4"/>
      <c r="F46" s="4"/>
      <c r="G46" s="4"/>
      <c r="H46" s="3"/>
      <c r="I46" s="4"/>
      <c r="J46" s="4"/>
      <c r="K46" s="3"/>
      <c r="L46" s="3"/>
      <c r="M46" s="4"/>
      <c r="N46" s="4"/>
      <c r="O46" s="4"/>
      <c r="P46" s="4"/>
      <c r="Q46" s="3"/>
      <c r="R46" s="4"/>
      <c r="S46" s="4"/>
      <c r="T46" s="4"/>
      <c r="U46" s="3"/>
      <c r="V46" s="4"/>
      <c r="W46" s="3"/>
      <c r="X46" s="3"/>
      <c r="Y46" s="4"/>
      <c r="Z46" s="4"/>
      <c r="AA46" s="4"/>
      <c r="AB46" s="4"/>
      <c r="AC46" s="4"/>
      <c r="AD46" s="4"/>
    </row>
    <row r="47" spans="1:30" ht="15.75" customHeight="1" x14ac:dyDescent="0.25">
      <c r="A47" s="4"/>
      <c r="B47" s="4"/>
      <c r="C47" s="57"/>
      <c r="D47" s="4"/>
      <c r="E47" s="4"/>
      <c r="F47" s="4"/>
      <c r="G47" s="4"/>
      <c r="H47" s="3"/>
      <c r="I47" s="4"/>
      <c r="J47" s="4"/>
      <c r="K47" s="3"/>
      <c r="L47" s="3"/>
      <c r="M47" s="4"/>
      <c r="N47" s="4"/>
      <c r="O47" s="4"/>
      <c r="P47" s="4"/>
      <c r="Q47" s="3"/>
      <c r="R47" s="4"/>
      <c r="S47" s="4"/>
      <c r="T47" s="4"/>
      <c r="U47" s="3"/>
      <c r="V47" s="4"/>
      <c r="W47" s="3"/>
      <c r="X47" s="3"/>
      <c r="Y47" s="4"/>
      <c r="Z47" s="4"/>
      <c r="AA47" s="4"/>
      <c r="AB47" s="4"/>
      <c r="AC47" s="4"/>
      <c r="AD47" s="4"/>
    </row>
    <row r="48" spans="1:30" ht="15.75" customHeight="1" x14ac:dyDescent="0.25">
      <c r="A48" s="4"/>
      <c r="B48" s="4"/>
      <c r="C48" s="57"/>
      <c r="D48" s="4"/>
      <c r="E48" s="4"/>
      <c r="F48" s="4"/>
      <c r="G48" s="4"/>
      <c r="H48" s="3"/>
      <c r="I48" s="4"/>
      <c r="J48" s="4"/>
      <c r="K48" s="3"/>
      <c r="L48" s="3"/>
      <c r="M48" s="4"/>
      <c r="N48" s="4"/>
      <c r="O48" s="4"/>
      <c r="P48" s="4"/>
      <c r="Q48" s="3"/>
      <c r="R48" s="4"/>
      <c r="S48" s="4"/>
      <c r="T48" s="4"/>
      <c r="U48" s="3"/>
      <c r="V48" s="4"/>
      <c r="W48" s="3"/>
      <c r="X48" s="3"/>
      <c r="Y48" s="4"/>
      <c r="Z48" s="4"/>
      <c r="AA48" s="4"/>
      <c r="AB48" s="4"/>
      <c r="AC48" s="4"/>
      <c r="AD48" s="4"/>
    </row>
    <row r="49" spans="1:30" ht="15.75" customHeight="1" x14ac:dyDescent="0.25">
      <c r="A49" s="4"/>
      <c r="B49" s="4"/>
      <c r="C49" s="57"/>
      <c r="D49" s="4"/>
      <c r="E49" s="4"/>
      <c r="F49" s="4"/>
      <c r="G49" s="4"/>
      <c r="H49" s="3"/>
      <c r="I49" s="4"/>
      <c r="J49" s="4"/>
      <c r="K49" s="3"/>
      <c r="L49" s="3"/>
      <c r="M49" s="4"/>
      <c r="N49" s="4"/>
      <c r="O49" s="4"/>
      <c r="P49" s="4"/>
      <c r="Q49" s="3"/>
      <c r="R49" s="4"/>
      <c r="S49" s="4"/>
      <c r="T49" s="4"/>
      <c r="U49" s="3"/>
      <c r="V49" s="4"/>
      <c r="W49" s="3"/>
      <c r="X49" s="3"/>
      <c r="Y49" s="4"/>
      <c r="Z49" s="4"/>
      <c r="AA49" s="4"/>
      <c r="AB49" s="4"/>
      <c r="AC49" s="4"/>
      <c r="AD49" s="4"/>
    </row>
    <row r="50" spans="1:30" ht="15.75" customHeight="1" x14ac:dyDescent="0.25">
      <c r="A50" s="4"/>
      <c r="B50" s="4"/>
      <c r="C50" s="57"/>
      <c r="D50" s="4"/>
      <c r="E50" s="4"/>
      <c r="F50" s="4"/>
      <c r="G50" s="4"/>
      <c r="H50" s="3"/>
      <c r="I50" s="4"/>
      <c r="J50" s="4"/>
      <c r="K50" s="3"/>
      <c r="L50" s="3"/>
      <c r="M50" s="4"/>
      <c r="N50" s="4"/>
      <c r="O50" s="4"/>
      <c r="P50" s="4"/>
      <c r="Q50" s="3"/>
      <c r="R50" s="4"/>
      <c r="S50" s="4"/>
      <c r="T50" s="4"/>
      <c r="U50" s="3"/>
      <c r="V50" s="4"/>
      <c r="W50" s="3"/>
      <c r="X50" s="3"/>
      <c r="Y50" s="4"/>
      <c r="Z50" s="4"/>
      <c r="AA50" s="4"/>
      <c r="AB50" s="4"/>
      <c r="AC50" s="4"/>
      <c r="AD50" s="4"/>
    </row>
    <row r="51" spans="1:30" ht="15.75" customHeight="1" x14ac:dyDescent="0.25">
      <c r="A51" s="4"/>
      <c r="B51" s="4"/>
      <c r="C51" s="57"/>
      <c r="D51" s="4"/>
      <c r="E51" s="4"/>
      <c r="F51" s="4"/>
      <c r="G51" s="4"/>
      <c r="H51" s="3"/>
      <c r="I51" s="4"/>
      <c r="J51" s="4"/>
      <c r="K51" s="3"/>
      <c r="L51" s="3"/>
      <c r="M51" s="4"/>
      <c r="N51" s="4"/>
      <c r="O51" s="4"/>
      <c r="P51" s="4"/>
      <c r="Q51" s="3"/>
      <c r="R51" s="4"/>
      <c r="S51" s="4"/>
      <c r="T51" s="4"/>
      <c r="U51" s="3"/>
      <c r="V51" s="4"/>
      <c r="W51" s="3"/>
      <c r="X51" s="3"/>
      <c r="Y51" s="4"/>
      <c r="Z51" s="4"/>
      <c r="AA51" s="4"/>
      <c r="AB51" s="4"/>
      <c r="AC51" s="4"/>
      <c r="AD51" s="4"/>
    </row>
    <row r="52" spans="1:30" ht="15.75" customHeight="1" x14ac:dyDescent="0.25">
      <c r="A52" s="4"/>
      <c r="B52" s="4"/>
      <c r="C52" s="57"/>
      <c r="D52" s="4"/>
      <c r="E52" s="4"/>
      <c r="F52" s="4"/>
      <c r="G52" s="4"/>
      <c r="H52" s="3"/>
      <c r="I52" s="4"/>
      <c r="J52" s="4"/>
      <c r="K52" s="3"/>
      <c r="L52" s="3"/>
      <c r="M52" s="4"/>
      <c r="N52" s="4"/>
      <c r="O52" s="4"/>
      <c r="P52" s="4"/>
      <c r="Q52" s="3"/>
      <c r="R52" s="4"/>
      <c r="S52" s="4"/>
      <c r="T52" s="4"/>
      <c r="U52" s="3"/>
      <c r="V52" s="4"/>
      <c r="W52" s="3"/>
      <c r="X52" s="3"/>
      <c r="Y52" s="4"/>
      <c r="Z52" s="4"/>
      <c r="AA52" s="4"/>
      <c r="AB52" s="4"/>
      <c r="AC52" s="4"/>
      <c r="AD52" s="4"/>
    </row>
    <row r="53" spans="1:30" ht="15.75" customHeight="1" x14ac:dyDescent="0.25">
      <c r="A53" s="4"/>
      <c r="B53" s="4"/>
      <c r="C53" s="57"/>
      <c r="D53" s="4"/>
      <c r="E53" s="4"/>
      <c r="F53" s="4"/>
      <c r="G53" s="4"/>
      <c r="H53" s="3"/>
      <c r="I53" s="4"/>
      <c r="J53" s="4"/>
      <c r="K53" s="3"/>
      <c r="L53" s="3"/>
      <c r="M53" s="4"/>
      <c r="N53" s="4"/>
      <c r="O53" s="4"/>
      <c r="P53" s="4"/>
      <c r="Q53" s="3"/>
      <c r="R53" s="4"/>
      <c r="S53" s="4"/>
      <c r="T53" s="4"/>
      <c r="U53" s="3"/>
      <c r="V53" s="4"/>
      <c r="W53" s="3"/>
      <c r="X53" s="3"/>
      <c r="Y53" s="4"/>
      <c r="Z53" s="4"/>
      <c r="AA53" s="4"/>
      <c r="AB53" s="4"/>
      <c r="AC53" s="4"/>
      <c r="AD53" s="4"/>
    </row>
    <row r="54" spans="1:30" ht="15.75" customHeight="1" x14ac:dyDescent="0.25">
      <c r="A54" s="4"/>
      <c r="B54" s="4"/>
      <c r="C54" s="57"/>
      <c r="D54" s="4"/>
      <c r="E54" s="4"/>
      <c r="F54" s="4"/>
      <c r="G54" s="4"/>
      <c r="H54" s="3"/>
      <c r="I54" s="4"/>
      <c r="J54" s="4"/>
      <c r="K54" s="3"/>
      <c r="L54" s="3"/>
      <c r="M54" s="4"/>
      <c r="N54" s="4"/>
      <c r="O54" s="4"/>
      <c r="P54" s="4"/>
      <c r="Q54" s="3"/>
      <c r="R54" s="4"/>
      <c r="S54" s="4"/>
      <c r="T54" s="4"/>
      <c r="U54" s="3"/>
      <c r="V54" s="4"/>
      <c r="W54" s="3"/>
      <c r="X54" s="3"/>
      <c r="Y54" s="4"/>
      <c r="Z54" s="4"/>
      <c r="AA54" s="4"/>
      <c r="AB54" s="4"/>
      <c r="AC54" s="4"/>
      <c r="AD54" s="4"/>
    </row>
    <row r="55" spans="1:30" ht="15.75" customHeight="1" x14ac:dyDescent="0.25">
      <c r="A55" s="4"/>
      <c r="B55" s="4"/>
      <c r="C55" s="57"/>
      <c r="D55" s="4"/>
      <c r="E55" s="4"/>
      <c r="F55" s="4"/>
      <c r="G55" s="4"/>
      <c r="H55" s="3"/>
      <c r="I55" s="4"/>
      <c r="J55" s="4"/>
      <c r="K55" s="3"/>
      <c r="L55" s="3"/>
      <c r="M55" s="4"/>
      <c r="N55" s="4"/>
      <c r="O55" s="4"/>
      <c r="P55" s="4"/>
      <c r="Q55" s="3"/>
      <c r="R55" s="4"/>
      <c r="S55" s="4"/>
      <c r="T55" s="4"/>
      <c r="U55" s="3"/>
      <c r="V55" s="4"/>
      <c r="W55" s="3"/>
      <c r="X55" s="3"/>
      <c r="Y55" s="4"/>
      <c r="Z55" s="4"/>
      <c r="AA55" s="4"/>
      <c r="AB55" s="4"/>
      <c r="AC55" s="4"/>
      <c r="AD55" s="4"/>
    </row>
    <row r="56" spans="1:30" ht="15.75" customHeight="1" x14ac:dyDescent="0.25">
      <c r="A56" s="4"/>
      <c r="B56" s="4"/>
      <c r="C56" s="57"/>
      <c r="D56" s="4"/>
      <c r="E56" s="4"/>
      <c r="F56" s="4"/>
      <c r="G56" s="4"/>
      <c r="H56" s="3"/>
      <c r="I56" s="4"/>
      <c r="J56" s="4"/>
      <c r="K56" s="3"/>
      <c r="L56" s="3"/>
      <c r="M56" s="4"/>
      <c r="N56" s="4"/>
      <c r="O56" s="4"/>
      <c r="P56" s="4"/>
      <c r="Q56" s="3"/>
      <c r="R56" s="4"/>
      <c r="S56" s="4"/>
      <c r="T56" s="4"/>
      <c r="U56" s="3"/>
      <c r="V56" s="4"/>
      <c r="W56" s="3"/>
      <c r="X56" s="3"/>
      <c r="Y56" s="4"/>
      <c r="Z56" s="4"/>
      <c r="AA56" s="4"/>
      <c r="AB56" s="4"/>
      <c r="AC56" s="4"/>
      <c r="AD56" s="4"/>
    </row>
    <row r="57" spans="1:30" ht="15.75" customHeight="1" x14ac:dyDescent="0.25">
      <c r="A57" s="4"/>
      <c r="B57" s="4"/>
      <c r="C57" s="57"/>
      <c r="D57" s="4"/>
      <c r="E57" s="4"/>
      <c r="F57" s="4"/>
      <c r="G57" s="4"/>
      <c r="H57" s="3"/>
      <c r="I57" s="4"/>
      <c r="J57" s="4"/>
      <c r="K57" s="3"/>
      <c r="L57" s="3"/>
      <c r="M57" s="4"/>
      <c r="N57" s="4"/>
      <c r="O57" s="4"/>
      <c r="P57" s="4"/>
      <c r="Q57" s="3"/>
      <c r="R57" s="4"/>
      <c r="S57" s="4"/>
      <c r="T57" s="4"/>
      <c r="U57" s="3"/>
      <c r="V57" s="4"/>
      <c r="W57" s="3"/>
      <c r="X57" s="3"/>
      <c r="Y57" s="4"/>
      <c r="Z57" s="4"/>
      <c r="AA57" s="4"/>
      <c r="AB57" s="4"/>
      <c r="AC57" s="4"/>
      <c r="AD57" s="4"/>
    </row>
    <row r="58" spans="1:30" ht="15.75" customHeight="1" x14ac:dyDescent="0.25">
      <c r="A58" s="4"/>
      <c r="B58" s="4"/>
      <c r="C58" s="57"/>
      <c r="D58" s="4"/>
      <c r="E58" s="4"/>
      <c r="F58" s="4"/>
      <c r="G58" s="4"/>
      <c r="H58" s="3"/>
      <c r="I58" s="4"/>
      <c r="J58" s="4"/>
      <c r="K58" s="3"/>
      <c r="L58" s="3"/>
      <c r="M58" s="4"/>
      <c r="N58" s="4"/>
      <c r="O58" s="4"/>
      <c r="P58" s="4"/>
      <c r="Q58" s="3"/>
      <c r="R58" s="4"/>
      <c r="S58" s="4"/>
      <c r="T58" s="4"/>
      <c r="U58" s="3"/>
      <c r="V58" s="4"/>
      <c r="W58" s="3"/>
      <c r="X58" s="3"/>
      <c r="Y58" s="4"/>
      <c r="Z58" s="4"/>
      <c r="AA58" s="4"/>
      <c r="AB58" s="4"/>
      <c r="AC58" s="4"/>
      <c r="AD58" s="4"/>
    </row>
    <row r="59" spans="1:30" ht="15.75" customHeight="1" x14ac:dyDescent="0.25">
      <c r="A59" s="4"/>
      <c r="B59" s="4"/>
      <c r="C59" s="57"/>
      <c r="D59" s="4"/>
      <c r="E59" s="4"/>
      <c r="F59" s="4"/>
      <c r="G59" s="4"/>
      <c r="H59" s="3"/>
      <c r="I59" s="4"/>
      <c r="J59" s="4"/>
      <c r="K59" s="3"/>
      <c r="L59" s="3"/>
      <c r="M59" s="4"/>
      <c r="N59" s="4"/>
      <c r="O59" s="4"/>
      <c r="P59" s="4"/>
      <c r="Q59" s="3"/>
      <c r="R59" s="4"/>
      <c r="S59" s="4"/>
      <c r="T59" s="4"/>
      <c r="U59" s="3"/>
      <c r="V59" s="4"/>
      <c r="W59" s="3"/>
      <c r="X59" s="3"/>
      <c r="Y59" s="4"/>
      <c r="Z59" s="4"/>
      <c r="AA59" s="4"/>
      <c r="AB59" s="4"/>
      <c r="AC59" s="4"/>
      <c r="AD59" s="4"/>
    </row>
    <row r="60" spans="1:30" ht="15.75" customHeight="1" x14ac:dyDescent="0.25">
      <c r="A60" s="4"/>
      <c r="B60" s="4"/>
      <c r="C60" s="57"/>
      <c r="D60" s="4"/>
      <c r="E60" s="4"/>
      <c r="F60" s="4"/>
      <c r="G60" s="4"/>
      <c r="H60" s="3"/>
      <c r="I60" s="4"/>
      <c r="J60" s="4"/>
      <c r="K60" s="3"/>
      <c r="L60" s="3"/>
      <c r="M60" s="4"/>
      <c r="N60" s="4"/>
      <c r="O60" s="4"/>
      <c r="P60" s="4"/>
      <c r="Q60" s="3"/>
      <c r="R60" s="4"/>
      <c r="S60" s="4"/>
      <c r="T60" s="4"/>
      <c r="U60" s="3"/>
      <c r="V60" s="4"/>
      <c r="W60" s="3"/>
      <c r="X60" s="3"/>
      <c r="Y60" s="4"/>
      <c r="Z60" s="4"/>
      <c r="AA60" s="4"/>
      <c r="AB60" s="4"/>
      <c r="AC60" s="4"/>
      <c r="AD60" s="4"/>
    </row>
    <row r="61" spans="1:30" ht="15.75" customHeight="1" x14ac:dyDescent="0.25">
      <c r="A61" s="4"/>
      <c r="B61" s="4"/>
      <c r="C61" s="57"/>
      <c r="D61" s="4"/>
      <c r="E61" s="4"/>
      <c r="F61" s="4"/>
      <c r="G61" s="4"/>
      <c r="H61" s="3"/>
      <c r="I61" s="4"/>
      <c r="J61" s="4"/>
      <c r="K61" s="3"/>
      <c r="L61" s="3"/>
      <c r="M61" s="4"/>
      <c r="N61" s="4"/>
      <c r="O61" s="4"/>
      <c r="P61" s="4"/>
      <c r="Q61" s="3"/>
      <c r="R61" s="4"/>
      <c r="S61" s="4"/>
      <c r="T61" s="4"/>
      <c r="U61" s="3"/>
      <c r="V61" s="4"/>
      <c r="W61" s="3"/>
      <c r="X61" s="3"/>
      <c r="Y61" s="4"/>
      <c r="Z61" s="4"/>
      <c r="AA61" s="4"/>
      <c r="AB61" s="4"/>
      <c r="AC61" s="4"/>
      <c r="AD61" s="4"/>
    </row>
    <row r="62" spans="1:30" ht="15.75" customHeight="1" x14ac:dyDescent="0.25">
      <c r="A62" s="4"/>
      <c r="B62" s="4"/>
      <c r="C62" s="57"/>
      <c r="D62" s="4"/>
      <c r="E62" s="4"/>
      <c r="F62" s="4"/>
      <c r="G62" s="4"/>
      <c r="H62" s="3"/>
      <c r="I62" s="4"/>
      <c r="J62" s="4"/>
      <c r="K62" s="3"/>
      <c r="L62" s="3"/>
      <c r="M62" s="4"/>
      <c r="N62" s="4"/>
      <c r="O62" s="4"/>
      <c r="P62" s="4"/>
      <c r="Q62" s="3"/>
      <c r="R62" s="4"/>
      <c r="S62" s="4"/>
      <c r="T62" s="4"/>
      <c r="U62" s="3"/>
      <c r="V62" s="4"/>
      <c r="W62" s="3"/>
      <c r="X62" s="3"/>
      <c r="Y62" s="4"/>
      <c r="Z62" s="4"/>
      <c r="AA62" s="4"/>
      <c r="AB62" s="4"/>
      <c r="AC62" s="4"/>
      <c r="AD62" s="4"/>
    </row>
    <row r="63" spans="1:30" ht="15.75" customHeight="1" x14ac:dyDescent="0.25">
      <c r="A63" s="4"/>
      <c r="B63" s="4"/>
      <c r="C63" s="57"/>
      <c r="D63" s="4"/>
      <c r="E63" s="4"/>
      <c r="F63" s="4"/>
      <c r="G63" s="4"/>
      <c r="H63" s="3"/>
      <c r="I63" s="4"/>
      <c r="J63" s="4"/>
      <c r="K63" s="3"/>
      <c r="L63" s="3"/>
      <c r="M63" s="4"/>
      <c r="N63" s="4"/>
      <c r="O63" s="4"/>
      <c r="P63" s="4"/>
      <c r="Q63" s="3"/>
      <c r="R63" s="4"/>
      <c r="S63" s="4"/>
      <c r="T63" s="4"/>
      <c r="U63" s="3"/>
      <c r="V63" s="4"/>
      <c r="W63" s="3"/>
      <c r="X63" s="3"/>
      <c r="Y63" s="4"/>
      <c r="Z63" s="4"/>
      <c r="AA63" s="4"/>
      <c r="AB63" s="4"/>
      <c r="AC63" s="4"/>
      <c r="AD63" s="4"/>
    </row>
    <row r="64" spans="1:30" ht="15.75" customHeight="1" x14ac:dyDescent="0.25">
      <c r="A64" s="4"/>
      <c r="B64" s="4"/>
      <c r="C64" s="57"/>
      <c r="D64" s="4"/>
      <c r="E64" s="4"/>
      <c r="F64" s="4"/>
      <c r="G64" s="4"/>
      <c r="H64" s="3"/>
      <c r="I64" s="4"/>
      <c r="J64" s="4"/>
      <c r="K64" s="3"/>
      <c r="L64" s="3"/>
      <c r="M64" s="4"/>
      <c r="N64" s="4"/>
      <c r="O64" s="4"/>
      <c r="P64" s="4"/>
      <c r="Q64" s="3"/>
      <c r="R64" s="4"/>
      <c r="S64" s="4"/>
      <c r="T64" s="4"/>
      <c r="U64" s="3"/>
      <c r="V64" s="4"/>
      <c r="W64" s="3"/>
      <c r="X64" s="3"/>
      <c r="Y64" s="4"/>
      <c r="Z64" s="4"/>
      <c r="AA64" s="4"/>
      <c r="AB64" s="4"/>
      <c r="AC64" s="4"/>
      <c r="AD64" s="4"/>
    </row>
    <row r="65" spans="1:30" ht="15.75" customHeight="1" x14ac:dyDescent="0.25">
      <c r="A65" s="4"/>
      <c r="B65" s="4"/>
      <c r="C65" s="57"/>
      <c r="D65" s="4"/>
      <c r="E65" s="4"/>
      <c r="F65" s="4"/>
      <c r="G65" s="4"/>
      <c r="H65" s="3"/>
      <c r="I65" s="4"/>
      <c r="J65" s="4"/>
      <c r="K65" s="3"/>
      <c r="L65" s="3"/>
      <c r="M65" s="4"/>
      <c r="N65" s="4"/>
      <c r="O65" s="4"/>
      <c r="P65" s="4"/>
      <c r="Q65" s="3"/>
      <c r="R65" s="4"/>
      <c r="S65" s="4"/>
      <c r="T65" s="4"/>
      <c r="U65" s="3"/>
      <c r="V65" s="4"/>
      <c r="W65" s="3"/>
      <c r="X65" s="3"/>
      <c r="Y65" s="4"/>
      <c r="Z65" s="4"/>
      <c r="AA65" s="4"/>
      <c r="AB65" s="4"/>
      <c r="AC65" s="4"/>
      <c r="AD65" s="4"/>
    </row>
    <row r="66" spans="1:30" ht="15.75" customHeight="1" x14ac:dyDescent="0.25">
      <c r="A66" s="4"/>
      <c r="B66" s="4"/>
      <c r="C66" s="57"/>
      <c r="D66" s="4"/>
      <c r="E66" s="4"/>
      <c r="F66" s="4"/>
      <c r="G66" s="4"/>
      <c r="H66" s="3"/>
      <c r="I66" s="4"/>
      <c r="J66" s="4"/>
      <c r="K66" s="3"/>
      <c r="L66" s="3"/>
      <c r="M66" s="4"/>
      <c r="N66" s="4"/>
      <c r="O66" s="4"/>
      <c r="P66" s="4"/>
      <c r="Q66" s="3"/>
      <c r="R66" s="4"/>
      <c r="S66" s="4"/>
      <c r="T66" s="4"/>
      <c r="U66" s="3"/>
      <c r="V66" s="4"/>
      <c r="W66" s="3"/>
      <c r="X66" s="3"/>
      <c r="Y66" s="4"/>
      <c r="Z66" s="4"/>
      <c r="AA66" s="4"/>
      <c r="AB66" s="4"/>
      <c r="AC66" s="4"/>
      <c r="AD66" s="4"/>
    </row>
    <row r="67" spans="1:30" ht="15.75" customHeight="1" x14ac:dyDescent="0.25">
      <c r="A67" s="4"/>
      <c r="B67" s="4"/>
      <c r="C67" s="57"/>
      <c r="D67" s="4"/>
      <c r="E67" s="4"/>
      <c r="F67" s="4"/>
      <c r="G67" s="4"/>
      <c r="H67" s="3"/>
      <c r="I67" s="4"/>
      <c r="J67" s="4"/>
      <c r="K67" s="3"/>
      <c r="L67" s="3"/>
      <c r="M67" s="4"/>
      <c r="N67" s="4"/>
      <c r="O67" s="4"/>
      <c r="P67" s="4"/>
      <c r="Q67" s="3"/>
      <c r="R67" s="4"/>
      <c r="S67" s="4"/>
      <c r="T67" s="4"/>
      <c r="U67" s="3"/>
      <c r="V67" s="4"/>
      <c r="W67" s="3"/>
      <c r="X67" s="3"/>
      <c r="Y67" s="4"/>
      <c r="Z67" s="4"/>
      <c r="AA67" s="4"/>
      <c r="AB67" s="4"/>
      <c r="AC67" s="4"/>
      <c r="AD67" s="4"/>
    </row>
    <row r="68" spans="1:30" ht="15.75" customHeight="1" x14ac:dyDescent="0.25">
      <c r="A68" s="4"/>
      <c r="B68" s="4"/>
      <c r="C68" s="57"/>
      <c r="D68" s="4"/>
      <c r="E68" s="4"/>
      <c r="F68" s="4"/>
      <c r="G68" s="4"/>
      <c r="H68" s="3"/>
      <c r="I68" s="4"/>
      <c r="J68" s="4"/>
      <c r="K68" s="3"/>
      <c r="L68" s="3"/>
      <c r="M68" s="4"/>
      <c r="N68" s="4"/>
      <c r="O68" s="4"/>
      <c r="P68" s="4"/>
      <c r="Q68" s="3"/>
      <c r="R68" s="4"/>
      <c r="S68" s="4"/>
      <c r="T68" s="4"/>
      <c r="U68" s="3"/>
      <c r="V68" s="4"/>
      <c r="W68" s="3"/>
      <c r="X68" s="3"/>
      <c r="Y68" s="4"/>
      <c r="Z68" s="4"/>
      <c r="AA68" s="4"/>
      <c r="AB68" s="4"/>
      <c r="AC68" s="4"/>
      <c r="AD68" s="4"/>
    </row>
    <row r="69" spans="1:30" ht="15.75" customHeight="1" x14ac:dyDescent="0.25">
      <c r="A69" s="4"/>
      <c r="B69" s="4"/>
      <c r="C69" s="57"/>
      <c r="D69" s="4"/>
      <c r="E69" s="4"/>
      <c r="F69" s="4"/>
      <c r="G69" s="4"/>
      <c r="H69" s="3"/>
      <c r="I69" s="4"/>
      <c r="J69" s="4"/>
      <c r="K69" s="3"/>
      <c r="L69" s="3"/>
      <c r="M69" s="4"/>
      <c r="N69" s="4"/>
      <c r="O69" s="4"/>
      <c r="P69" s="4"/>
      <c r="Q69" s="3"/>
      <c r="R69" s="4"/>
      <c r="S69" s="4"/>
      <c r="T69" s="4"/>
      <c r="U69" s="3"/>
      <c r="V69" s="4"/>
      <c r="W69" s="3"/>
      <c r="X69" s="3"/>
      <c r="Y69" s="4"/>
      <c r="Z69" s="4"/>
      <c r="AA69" s="4"/>
      <c r="AB69" s="4"/>
      <c r="AC69" s="4"/>
      <c r="AD69" s="4"/>
    </row>
    <row r="70" spans="1:30" ht="15.75" customHeight="1" x14ac:dyDescent="0.25">
      <c r="A70" s="4"/>
      <c r="B70" s="4"/>
      <c r="C70" s="57"/>
      <c r="D70" s="4"/>
      <c r="E70" s="4"/>
      <c r="F70" s="4"/>
      <c r="G70" s="4"/>
      <c r="H70" s="3"/>
      <c r="I70" s="4"/>
      <c r="J70" s="4"/>
      <c r="K70" s="3"/>
      <c r="L70" s="3"/>
      <c r="M70" s="4"/>
      <c r="N70" s="4"/>
      <c r="O70" s="4"/>
      <c r="P70" s="4"/>
      <c r="Q70" s="3"/>
      <c r="R70" s="4"/>
      <c r="S70" s="4"/>
      <c r="T70" s="4"/>
      <c r="U70" s="3"/>
      <c r="V70" s="4"/>
      <c r="W70" s="3"/>
      <c r="X70" s="3"/>
      <c r="Y70" s="4"/>
      <c r="Z70" s="4"/>
      <c r="AA70" s="4"/>
      <c r="AB70" s="4"/>
      <c r="AC70" s="4"/>
      <c r="AD70" s="4"/>
    </row>
    <row r="71" spans="1:30" ht="15.75" customHeight="1" x14ac:dyDescent="0.25">
      <c r="A71" s="4"/>
      <c r="B71" s="4"/>
      <c r="C71" s="57"/>
      <c r="D71" s="4"/>
      <c r="E71" s="4"/>
      <c r="F71" s="4"/>
      <c r="G71" s="4"/>
      <c r="H71" s="3"/>
      <c r="I71" s="4"/>
      <c r="J71" s="4"/>
      <c r="K71" s="3"/>
      <c r="L71" s="3"/>
      <c r="M71" s="4"/>
      <c r="N71" s="4"/>
      <c r="O71" s="4"/>
      <c r="P71" s="4"/>
      <c r="Q71" s="3"/>
      <c r="R71" s="4"/>
      <c r="S71" s="4"/>
      <c r="T71" s="4"/>
      <c r="U71" s="3"/>
      <c r="V71" s="4"/>
      <c r="W71" s="3"/>
      <c r="X71" s="3"/>
      <c r="Y71" s="4"/>
      <c r="Z71" s="4"/>
      <c r="AA71" s="4"/>
      <c r="AB71" s="4"/>
      <c r="AC71" s="4"/>
      <c r="AD71" s="4"/>
    </row>
    <row r="72" spans="1:30" ht="15.75" customHeight="1" x14ac:dyDescent="0.25">
      <c r="A72" s="4"/>
      <c r="B72" s="4"/>
      <c r="C72" s="57"/>
      <c r="D72" s="4"/>
      <c r="E72" s="4"/>
      <c r="F72" s="4"/>
      <c r="G72" s="4"/>
      <c r="H72" s="3"/>
      <c r="I72" s="4"/>
      <c r="J72" s="4"/>
      <c r="K72" s="3"/>
      <c r="L72" s="3"/>
      <c r="M72" s="4"/>
      <c r="N72" s="4"/>
      <c r="O72" s="4"/>
      <c r="P72" s="4"/>
      <c r="Q72" s="3"/>
      <c r="R72" s="4"/>
      <c r="S72" s="4"/>
      <c r="T72" s="4"/>
      <c r="U72" s="3"/>
      <c r="V72" s="4"/>
      <c r="W72" s="3"/>
      <c r="X72" s="3"/>
      <c r="Y72" s="4"/>
      <c r="Z72" s="4"/>
      <c r="AA72" s="4"/>
      <c r="AB72" s="4"/>
      <c r="AC72" s="4"/>
      <c r="AD72" s="4"/>
    </row>
    <row r="73" spans="1:30" ht="15.75" customHeight="1" x14ac:dyDescent="0.25">
      <c r="A73" s="4"/>
      <c r="B73" s="4"/>
      <c r="C73" s="57"/>
      <c r="D73" s="4"/>
      <c r="E73" s="4"/>
      <c r="F73" s="4"/>
      <c r="G73" s="4"/>
      <c r="H73" s="3"/>
      <c r="I73" s="4"/>
      <c r="J73" s="4"/>
      <c r="K73" s="3"/>
      <c r="L73" s="3"/>
      <c r="M73" s="4"/>
      <c r="N73" s="4"/>
      <c r="O73" s="4"/>
      <c r="P73" s="4"/>
      <c r="Q73" s="3"/>
      <c r="R73" s="4"/>
      <c r="S73" s="4"/>
      <c r="T73" s="4"/>
      <c r="U73" s="3"/>
      <c r="V73" s="4"/>
      <c r="W73" s="3"/>
      <c r="X73" s="3"/>
      <c r="Y73" s="4"/>
      <c r="Z73" s="4"/>
      <c r="AA73" s="4"/>
      <c r="AB73" s="4"/>
      <c r="AC73" s="4"/>
      <c r="AD73" s="4"/>
    </row>
    <row r="74" spans="1:30" ht="15.75" customHeight="1" x14ac:dyDescent="0.25">
      <c r="A74" s="4"/>
      <c r="B74" s="4"/>
      <c r="C74" s="57"/>
      <c r="D74" s="4"/>
      <c r="E74" s="4"/>
      <c r="F74" s="4"/>
      <c r="G74" s="4"/>
      <c r="H74" s="3"/>
      <c r="I74" s="4"/>
      <c r="J74" s="4"/>
      <c r="K74" s="3"/>
      <c r="L74" s="3"/>
      <c r="M74" s="4"/>
      <c r="N74" s="4"/>
      <c r="O74" s="4"/>
      <c r="P74" s="4"/>
      <c r="Q74" s="3"/>
      <c r="R74" s="4"/>
      <c r="S74" s="4"/>
      <c r="T74" s="4"/>
      <c r="U74" s="3"/>
      <c r="V74" s="4"/>
      <c r="W74" s="3"/>
      <c r="X74" s="3"/>
      <c r="Y74" s="4"/>
      <c r="Z74" s="4"/>
      <c r="AA74" s="4"/>
      <c r="AB74" s="4"/>
      <c r="AC74" s="4"/>
      <c r="AD74" s="4"/>
    </row>
    <row r="75" spans="1:30" ht="15.75" customHeight="1" x14ac:dyDescent="0.25">
      <c r="A75" s="4"/>
      <c r="B75" s="4"/>
      <c r="C75" s="57"/>
      <c r="D75" s="4"/>
      <c r="E75" s="4"/>
      <c r="F75" s="4"/>
      <c r="G75" s="4"/>
      <c r="H75" s="3"/>
      <c r="I75" s="4"/>
      <c r="J75" s="4"/>
      <c r="K75" s="3"/>
      <c r="L75" s="3"/>
      <c r="M75" s="4"/>
      <c r="N75" s="4"/>
      <c r="O75" s="4"/>
      <c r="P75" s="4"/>
      <c r="Q75" s="3"/>
      <c r="R75" s="4"/>
      <c r="S75" s="4"/>
      <c r="T75" s="4"/>
      <c r="U75" s="3"/>
      <c r="V75" s="4"/>
      <c r="W75" s="3"/>
      <c r="X75" s="3"/>
      <c r="Y75" s="4"/>
      <c r="Z75" s="4"/>
      <c r="AA75" s="4"/>
      <c r="AB75" s="4"/>
      <c r="AC75" s="4"/>
      <c r="AD75" s="4"/>
    </row>
    <row r="76" spans="1:30" ht="15.75" customHeight="1" x14ac:dyDescent="0.25">
      <c r="A76" s="4"/>
      <c r="B76" s="4"/>
      <c r="C76" s="57"/>
      <c r="D76" s="4"/>
      <c r="E76" s="4"/>
      <c r="F76" s="4"/>
      <c r="G76" s="4"/>
      <c r="H76" s="3"/>
      <c r="I76" s="4"/>
      <c r="J76" s="4"/>
      <c r="K76" s="3"/>
      <c r="L76" s="3"/>
      <c r="M76" s="4"/>
      <c r="N76" s="4"/>
      <c r="O76" s="4"/>
      <c r="P76" s="4"/>
      <c r="Q76" s="3"/>
      <c r="R76" s="4"/>
      <c r="S76" s="4"/>
      <c r="T76" s="4"/>
      <c r="U76" s="3"/>
      <c r="V76" s="4"/>
      <c r="W76" s="3"/>
      <c r="X76" s="3"/>
      <c r="Y76" s="4"/>
      <c r="Z76" s="4"/>
      <c r="AA76" s="4"/>
      <c r="AB76" s="4"/>
      <c r="AC76" s="4"/>
      <c r="AD76" s="4"/>
    </row>
    <row r="77" spans="1:30" ht="15.75" customHeight="1" x14ac:dyDescent="0.25">
      <c r="A77" s="4"/>
      <c r="B77" s="4"/>
      <c r="C77" s="57"/>
      <c r="D77" s="4"/>
      <c r="E77" s="4"/>
      <c r="F77" s="4"/>
      <c r="G77" s="4"/>
      <c r="H77" s="3"/>
      <c r="I77" s="4"/>
      <c r="J77" s="4"/>
      <c r="K77" s="3"/>
      <c r="L77" s="3"/>
      <c r="M77" s="4"/>
      <c r="N77" s="4"/>
      <c r="O77" s="4"/>
      <c r="P77" s="4"/>
      <c r="Q77" s="3"/>
      <c r="R77" s="4"/>
      <c r="S77" s="4"/>
      <c r="T77" s="4"/>
      <c r="U77" s="3"/>
      <c r="V77" s="4"/>
      <c r="W77" s="3"/>
      <c r="X77" s="3"/>
      <c r="Y77" s="4"/>
      <c r="Z77" s="4"/>
      <c r="AA77" s="4"/>
      <c r="AB77" s="4"/>
      <c r="AC77" s="4"/>
      <c r="AD77" s="4"/>
    </row>
    <row r="78" spans="1:30" ht="15.75" customHeight="1" x14ac:dyDescent="0.25">
      <c r="A78" s="4"/>
      <c r="B78" s="4"/>
      <c r="C78" s="57"/>
      <c r="D78" s="4"/>
      <c r="E78" s="4"/>
      <c r="F78" s="4"/>
      <c r="G78" s="4"/>
      <c r="H78" s="3"/>
      <c r="I78" s="4"/>
      <c r="J78" s="4"/>
      <c r="K78" s="3"/>
      <c r="L78" s="3"/>
      <c r="M78" s="4"/>
      <c r="N78" s="4"/>
      <c r="O78" s="4"/>
      <c r="P78" s="4"/>
      <c r="Q78" s="3"/>
      <c r="R78" s="4"/>
      <c r="S78" s="4"/>
      <c r="T78" s="4"/>
      <c r="U78" s="3"/>
      <c r="V78" s="4"/>
      <c r="W78" s="3"/>
      <c r="X78" s="3"/>
      <c r="Y78" s="4"/>
      <c r="Z78" s="4"/>
      <c r="AA78" s="4"/>
      <c r="AB78" s="4"/>
      <c r="AC78" s="4"/>
      <c r="AD78" s="4"/>
    </row>
    <row r="79" spans="1:30" ht="15.75" customHeight="1" x14ac:dyDescent="0.25">
      <c r="A79" s="4"/>
      <c r="B79" s="4"/>
      <c r="C79" s="57"/>
      <c r="D79" s="4"/>
      <c r="E79" s="4"/>
      <c r="F79" s="4"/>
      <c r="G79" s="4"/>
      <c r="H79" s="3"/>
      <c r="I79" s="4"/>
      <c r="J79" s="4"/>
      <c r="K79" s="3"/>
      <c r="L79" s="3"/>
      <c r="M79" s="4"/>
      <c r="N79" s="4"/>
      <c r="O79" s="4"/>
      <c r="P79" s="4"/>
      <c r="Q79" s="3"/>
      <c r="R79" s="4"/>
      <c r="S79" s="4"/>
      <c r="T79" s="4"/>
      <c r="U79" s="3"/>
      <c r="V79" s="4"/>
      <c r="W79" s="3"/>
      <c r="X79" s="3"/>
      <c r="Y79" s="4"/>
      <c r="Z79" s="4"/>
      <c r="AA79" s="4"/>
      <c r="AB79" s="4"/>
      <c r="AC79" s="4"/>
      <c r="AD79" s="4"/>
    </row>
    <row r="80" spans="1:30" ht="15.75" customHeight="1" x14ac:dyDescent="0.25">
      <c r="A80" s="4"/>
      <c r="B80" s="4"/>
      <c r="C80" s="57"/>
      <c r="D80" s="4"/>
      <c r="E80" s="4"/>
      <c r="F80" s="4"/>
      <c r="G80" s="4"/>
      <c r="H80" s="3"/>
      <c r="I80" s="4"/>
      <c r="J80" s="4"/>
      <c r="K80" s="3"/>
      <c r="L80" s="3"/>
      <c r="M80" s="4"/>
      <c r="N80" s="4"/>
      <c r="O80" s="4"/>
      <c r="P80" s="4"/>
      <c r="Q80" s="3"/>
      <c r="R80" s="4"/>
      <c r="S80" s="4"/>
      <c r="T80" s="4"/>
      <c r="U80" s="3"/>
      <c r="V80" s="4"/>
      <c r="W80" s="3"/>
      <c r="X80" s="3"/>
      <c r="Y80" s="4"/>
      <c r="Z80" s="4"/>
      <c r="AA80" s="4"/>
      <c r="AB80" s="4"/>
      <c r="AC80" s="4"/>
      <c r="AD80" s="4"/>
    </row>
    <row r="81" spans="1:30" ht="15.75" customHeight="1" x14ac:dyDescent="0.25">
      <c r="A81" s="4"/>
      <c r="B81" s="4"/>
      <c r="C81" s="57"/>
      <c r="D81" s="4"/>
      <c r="E81" s="4"/>
      <c r="F81" s="4"/>
      <c r="G81" s="4"/>
      <c r="H81" s="3"/>
      <c r="I81" s="4"/>
      <c r="J81" s="4"/>
      <c r="K81" s="3"/>
      <c r="L81" s="3"/>
      <c r="M81" s="4"/>
      <c r="N81" s="4"/>
      <c r="O81" s="4"/>
      <c r="P81" s="4"/>
      <c r="Q81" s="3"/>
      <c r="R81" s="4"/>
      <c r="S81" s="4"/>
      <c r="T81" s="4"/>
      <c r="U81" s="3"/>
      <c r="V81" s="4"/>
      <c r="W81" s="3"/>
      <c r="X81" s="3"/>
      <c r="Y81" s="4"/>
      <c r="Z81" s="4"/>
      <c r="AA81" s="4"/>
      <c r="AB81" s="4"/>
      <c r="AC81" s="4"/>
      <c r="AD81" s="4"/>
    </row>
    <row r="82" spans="1:30" ht="15.75" customHeight="1" x14ac:dyDescent="0.25">
      <c r="A82" s="4"/>
      <c r="B82" s="4"/>
      <c r="C82" s="57"/>
      <c r="D82" s="4"/>
      <c r="E82" s="4"/>
      <c r="F82" s="4"/>
      <c r="G82" s="4"/>
      <c r="H82" s="3"/>
      <c r="I82" s="4"/>
      <c r="J82" s="4"/>
      <c r="K82" s="3"/>
      <c r="L82" s="3"/>
      <c r="M82" s="4"/>
      <c r="N82" s="4"/>
      <c r="O82" s="4"/>
      <c r="P82" s="4"/>
      <c r="Q82" s="3"/>
      <c r="R82" s="4"/>
      <c r="S82" s="4"/>
      <c r="T82" s="4"/>
      <c r="U82" s="3"/>
      <c r="V82" s="4"/>
      <c r="W82" s="3"/>
      <c r="X82" s="3"/>
      <c r="Y82" s="4"/>
      <c r="Z82" s="4"/>
      <c r="AA82" s="4"/>
      <c r="AB82" s="4"/>
      <c r="AC82" s="4"/>
      <c r="AD82" s="4"/>
    </row>
    <row r="83" spans="1:30" ht="15.75" customHeight="1" x14ac:dyDescent="0.25">
      <c r="A83" s="4"/>
      <c r="B83" s="4"/>
      <c r="C83" s="57"/>
      <c r="D83" s="4"/>
      <c r="E83" s="4"/>
      <c r="F83" s="4"/>
      <c r="G83" s="4"/>
      <c r="H83" s="3"/>
      <c r="I83" s="4"/>
      <c r="J83" s="4"/>
      <c r="K83" s="3"/>
      <c r="L83" s="3"/>
      <c r="M83" s="4"/>
      <c r="N83" s="4"/>
      <c r="O83" s="4"/>
      <c r="P83" s="4"/>
      <c r="Q83" s="3"/>
      <c r="R83" s="4"/>
      <c r="S83" s="4"/>
      <c r="T83" s="4"/>
      <c r="U83" s="3"/>
      <c r="V83" s="4"/>
      <c r="W83" s="3"/>
      <c r="X83" s="3"/>
      <c r="Y83" s="4"/>
      <c r="Z83" s="4"/>
      <c r="AA83" s="4"/>
      <c r="AB83" s="4"/>
      <c r="AC83" s="4"/>
      <c r="AD83" s="4"/>
    </row>
    <row r="84" spans="1:30" ht="15.75" customHeight="1" x14ac:dyDescent="0.25">
      <c r="A84" s="4"/>
      <c r="B84" s="4"/>
      <c r="C84" s="57"/>
      <c r="D84" s="4"/>
      <c r="E84" s="4"/>
      <c r="F84" s="4"/>
      <c r="G84" s="4"/>
      <c r="H84" s="3"/>
      <c r="I84" s="4"/>
      <c r="J84" s="4"/>
      <c r="K84" s="3"/>
      <c r="L84" s="3"/>
      <c r="M84" s="4"/>
      <c r="N84" s="4"/>
      <c r="O84" s="4"/>
      <c r="P84" s="4"/>
      <c r="Q84" s="3"/>
      <c r="R84" s="4"/>
      <c r="S84" s="4"/>
      <c r="T84" s="4"/>
      <c r="U84" s="3"/>
      <c r="V84" s="4"/>
      <c r="W84" s="3"/>
      <c r="X84" s="3"/>
      <c r="Y84" s="4"/>
      <c r="Z84" s="4"/>
      <c r="AA84" s="4"/>
      <c r="AB84" s="4"/>
      <c r="AC84" s="4"/>
      <c r="AD84" s="4"/>
    </row>
    <row r="85" spans="1:30" ht="15.75" customHeight="1" x14ac:dyDescent="0.25">
      <c r="A85" s="4"/>
      <c r="B85" s="4"/>
      <c r="C85" s="57"/>
      <c r="D85" s="4"/>
      <c r="E85" s="4"/>
      <c r="F85" s="4"/>
      <c r="G85" s="4"/>
      <c r="H85" s="3"/>
      <c r="I85" s="4"/>
      <c r="J85" s="4"/>
      <c r="K85" s="3"/>
      <c r="L85" s="3"/>
      <c r="M85" s="4"/>
      <c r="N85" s="4"/>
      <c r="O85" s="4"/>
      <c r="P85" s="4"/>
      <c r="Q85" s="3"/>
      <c r="R85" s="4"/>
      <c r="S85" s="4"/>
      <c r="T85" s="4"/>
      <c r="U85" s="3"/>
      <c r="V85" s="4"/>
      <c r="W85" s="3"/>
      <c r="X85" s="3"/>
      <c r="Y85" s="4"/>
      <c r="Z85" s="4"/>
      <c r="AA85" s="4"/>
      <c r="AB85" s="4"/>
      <c r="AC85" s="4"/>
      <c r="AD85" s="4"/>
    </row>
    <row r="86" spans="1:30" ht="15.75" customHeight="1" x14ac:dyDescent="0.25">
      <c r="A86" s="4"/>
      <c r="B86" s="4"/>
      <c r="C86" s="57"/>
      <c r="D86" s="4"/>
      <c r="E86" s="4"/>
      <c r="F86" s="4"/>
      <c r="G86" s="4"/>
      <c r="H86" s="3"/>
      <c r="I86" s="4"/>
      <c r="J86" s="4"/>
      <c r="K86" s="3"/>
      <c r="L86" s="3"/>
      <c r="M86" s="4"/>
      <c r="N86" s="4"/>
      <c r="O86" s="4"/>
      <c r="P86" s="4"/>
      <c r="Q86" s="3"/>
      <c r="R86" s="4"/>
      <c r="S86" s="4"/>
      <c r="T86" s="4"/>
      <c r="U86" s="3"/>
      <c r="V86" s="4"/>
      <c r="W86" s="3"/>
      <c r="X86" s="3"/>
      <c r="Y86" s="4"/>
      <c r="Z86" s="4"/>
      <c r="AA86" s="4"/>
      <c r="AB86" s="4"/>
      <c r="AC86" s="4"/>
      <c r="AD86" s="4"/>
    </row>
    <row r="87" spans="1:30" ht="15.75" customHeight="1" x14ac:dyDescent="0.25">
      <c r="A87" s="4"/>
      <c r="B87" s="4"/>
      <c r="C87" s="57"/>
      <c r="D87" s="4"/>
      <c r="E87" s="4"/>
      <c r="F87" s="4"/>
      <c r="G87" s="4"/>
      <c r="H87" s="3"/>
      <c r="I87" s="4"/>
      <c r="J87" s="4"/>
      <c r="K87" s="3"/>
      <c r="L87" s="3"/>
      <c r="M87" s="4"/>
      <c r="N87" s="4"/>
      <c r="O87" s="4"/>
      <c r="P87" s="4"/>
      <c r="Q87" s="3"/>
      <c r="R87" s="4"/>
      <c r="S87" s="4"/>
      <c r="T87" s="4"/>
      <c r="U87" s="3"/>
      <c r="V87" s="4"/>
      <c r="W87" s="3"/>
      <c r="X87" s="3"/>
      <c r="Y87" s="4"/>
      <c r="Z87" s="4"/>
      <c r="AA87" s="4"/>
      <c r="AB87" s="4"/>
      <c r="AC87" s="4"/>
      <c r="AD87" s="4"/>
    </row>
    <row r="88" spans="1:30" ht="15.75" customHeight="1" x14ac:dyDescent="0.25">
      <c r="A88" s="4"/>
      <c r="B88" s="4"/>
      <c r="C88" s="57"/>
      <c r="D88" s="4"/>
      <c r="E88" s="4"/>
      <c r="F88" s="4"/>
      <c r="G88" s="4"/>
      <c r="H88" s="3"/>
      <c r="I88" s="4"/>
      <c r="J88" s="4"/>
      <c r="K88" s="3"/>
      <c r="L88" s="3"/>
      <c r="M88" s="4"/>
      <c r="N88" s="4"/>
      <c r="O88" s="4"/>
      <c r="P88" s="4"/>
      <c r="Q88" s="3"/>
      <c r="R88" s="4"/>
      <c r="S88" s="4"/>
      <c r="T88" s="4"/>
      <c r="U88" s="3"/>
      <c r="V88" s="4"/>
      <c r="W88" s="3"/>
      <c r="X88" s="3"/>
      <c r="Y88" s="4"/>
      <c r="Z88" s="4"/>
      <c r="AA88" s="4"/>
      <c r="AB88" s="4"/>
      <c r="AC88" s="4"/>
      <c r="AD88" s="4"/>
    </row>
    <row r="89" spans="1:30" ht="15.75" customHeight="1" x14ac:dyDescent="0.25">
      <c r="A89" s="4"/>
      <c r="B89" s="4"/>
      <c r="C89" s="57"/>
      <c r="D89" s="4"/>
      <c r="E89" s="4"/>
      <c r="F89" s="4"/>
      <c r="G89" s="4"/>
      <c r="H89" s="3"/>
      <c r="I89" s="4"/>
      <c r="J89" s="4"/>
      <c r="K89" s="3"/>
      <c r="L89" s="3"/>
      <c r="M89" s="4"/>
      <c r="N89" s="4"/>
      <c r="O89" s="4"/>
      <c r="P89" s="4"/>
      <c r="Q89" s="3"/>
      <c r="R89" s="4"/>
      <c r="S89" s="4"/>
      <c r="T89" s="4"/>
      <c r="U89" s="3"/>
      <c r="V89" s="4"/>
      <c r="W89" s="3"/>
      <c r="X89" s="3"/>
      <c r="Y89" s="4"/>
      <c r="Z89" s="4"/>
      <c r="AA89" s="4"/>
      <c r="AB89" s="4"/>
      <c r="AC89" s="4"/>
      <c r="AD89" s="4"/>
    </row>
    <row r="90" spans="1:30" ht="15.75" customHeight="1" x14ac:dyDescent="0.25">
      <c r="A90" s="4"/>
      <c r="B90" s="4"/>
      <c r="C90" s="57"/>
      <c r="D90" s="4"/>
      <c r="E90" s="4"/>
      <c r="F90" s="4"/>
      <c r="G90" s="4"/>
      <c r="H90" s="3"/>
      <c r="I90" s="4"/>
      <c r="J90" s="4"/>
      <c r="K90" s="3"/>
      <c r="L90" s="3"/>
      <c r="M90" s="4"/>
      <c r="N90" s="4"/>
      <c r="O90" s="4"/>
      <c r="P90" s="4"/>
      <c r="Q90" s="3"/>
      <c r="R90" s="4"/>
      <c r="S90" s="4"/>
      <c r="T90" s="4"/>
      <c r="U90" s="3"/>
      <c r="V90" s="4"/>
      <c r="W90" s="3"/>
      <c r="X90" s="3"/>
      <c r="Y90" s="4"/>
      <c r="Z90" s="4"/>
      <c r="AA90" s="4"/>
      <c r="AB90" s="4"/>
      <c r="AC90" s="4"/>
      <c r="AD90" s="4"/>
    </row>
    <row r="91" spans="1:30" ht="15.75" customHeight="1" x14ac:dyDescent="0.25">
      <c r="A91" s="4"/>
      <c r="B91" s="4"/>
      <c r="C91" s="57"/>
      <c r="D91" s="4"/>
      <c r="E91" s="4"/>
      <c r="F91" s="4"/>
      <c r="G91" s="4"/>
      <c r="H91" s="3"/>
      <c r="I91" s="4"/>
      <c r="J91" s="4"/>
      <c r="K91" s="3"/>
      <c r="L91" s="3"/>
      <c r="M91" s="4"/>
      <c r="N91" s="4"/>
      <c r="O91" s="4"/>
      <c r="P91" s="4"/>
      <c r="Q91" s="3"/>
      <c r="R91" s="4"/>
      <c r="S91" s="4"/>
      <c r="T91" s="4"/>
      <c r="U91" s="3"/>
      <c r="V91" s="4"/>
      <c r="W91" s="3"/>
      <c r="X91" s="3"/>
      <c r="Y91" s="4"/>
      <c r="Z91" s="4"/>
      <c r="AA91" s="4"/>
      <c r="AB91" s="4"/>
      <c r="AC91" s="4"/>
      <c r="AD91" s="4"/>
    </row>
    <row r="92" spans="1:30" ht="15.75" customHeight="1" x14ac:dyDescent="0.25">
      <c r="A92" s="4"/>
      <c r="B92" s="4"/>
      <c r="C92" s="57"/>
      <c r="D92" s="4"/>
      <c r="E92" s="4"/>
      <c r="F92" s="4"/>
      <c r="G92" s="4"/>
      <c r="H92" s="3"/>
      <c r="I92" s="4"/>
      <c r="J92" s="4"/>
      <c r="K92" s="3"/>
      <c r="L92" s="3"/>
      <c r="M92" s="4"/>
      <c r="N92" s="4"/>
      <c r="O92" s="4"/>
      <c r="P92" s="4"/>
      <c r="Q92" s="3"/>
      <c r="R92" s="4"/>
      <c r="S92" s="4"/>
      <c r="T92" s="4"/>
      <c r="U92" s="3"/>
      <c r="V92" s="4"/>
      <c r="W92" s="3"/>
      <c r="X92" s="3"/>
      <c r="Y92" s="4"/>
      <c r="Z92" s="4"/>
      <c r="AA92" s="4"/>
      <c r="AB92" s="4"/>
      <c r="AC92" s="4"/>
      <c r="AD92" s="4"/>
    </row>
    <row r="93" spans="1:30" ht="15.75" customHeight="1" x14ac:dyDescent="0.25">
      <c r="A93" s="4"/>
      <c r="B93" s="4"/>
      <c r="C93" s="57"/>
      <c r="D93" s="4"/>
      <c r="E93" s="4"/>
      <c r="F93" s="4"/>
      <c r="G93" s="4"/>
      <c r="H93" s="3"/>
      <c r="I93" s="4"/>
      <c r="J93" s="4"/>
      <c r="K93" s="3"/>
      <c r="L93" s="3"/>
      <c r="M93" s="4"/>
      <c r="N93" s="4"/>
      <c r="O93" s="4"/>
      <c r="P93" s="4"/>
      <c r="Q93" s="3"/>
      <c r="R93" s="4"/>
      <c r="S93" s="4"/>
      <c r="T93" s="4"/>
      <c r="U93" s="3"/>
      <c r="V93" s="4"/>
      <c r="W93" s="3"/>
      <c r="X93" s="3"/>
      <c r="Y93" s="4"/>
      <c r="Z93" s="4"/>
      <c r="AA93" s="4"/>
      <c r="AB93" s="4"/>
      <c r="AC93" s="4"/>
      <c r="AD93" s="4"/>
    </row>
    <row r="94" spans="1:30" ht="15.75" customHeight="1" x14ac:dyDescent="0.25">
      <c r="A94" s="4"/>
      <c r="B94" s="4"/>
      <c r="C94" s="57"/>
      <c r="D94" s="4"/>
      <c r="E94" s="4"/>
      <c r="F94" s="4"/>
      <c r="G94" s="4"/>
      <c r="H94" s="3"/>
      <c r="I94" s="4"/>
      <c r="J94" s="4"/>
      <c r="K94" s="3"/>
      <c r="L94" s="3"/>
      <c r="M94" s="4"/>
      <c r="N94" s="4"/>
      <c r="O94" s="4"/>
      <c r="P94" s="4"/>
      <c r="Q94" s="3"/>
      <c r="R94" s="4"/>
      <c r="S94" s="4"/>
      <c r="T94" s="4"/>
      <c r="U94" s="3"/>
      <c r="V94" s="4"/>
      <c r="W94" s="3"/>
      <c r="X94" s="3"/>
      <c r="Y94" s="4"/>
      <c r="Z94" s="4"/>
      <c r="AA94" s="4"/>
      <c r="AB94" s="4"/>
      <c r="AC94" s="4"/>
      <c r="AD94" s="4"/>
    </row>
    <row r="95" spans="1:30" ht="15.75" customHeight="1" x14ac:dyDescent="0.25">
      <c r="A95" s="4"/>
      <c r="B95" s="4"/>
      <c r="C95" s="57"/>
      <c r="D95" s="4"/>
      <c r="E95" s="4"/>
      <c r="F95" s="4"/>
      <c r="G95" s="4"/>
      <c r="H95" s="3"/>
      <c r="I95" s="4"/>
      <c r="J95" s="4"/>
      <c r="K95" s="3"/>
      <c r="L95" s="3"/>
      <c r="M95" s="4"/>
      <c r="N95" s="4"/>
      <c r="O95" s="4"/>
      <c r="P95" s="4"/>
      <c r="Q95" s="3"/>
      <c r="R95" s="4"/>
      <c r="S95" s="4"/>
      <c r="T95" s="4"/>
      <c r="U95" s="3"/>
      <c r="V95" s="4"/>
      <c r="W95" s="3"/>
      <c r="X95" s="3"/>
      <c r="Y95" s="4"/>
      <c r="Z95" s="4"/>
      <c r="AA95" s="4"/>
      <c r="AB95" s="4"/>
      <c r="AC95" s="4"/>
      <c r="AD95" s="4"/>
    </row>
    <row r="96" spans="1:30" ht="15.75" customHeight="1" x14ac:dyDescent="0.25">
      <c r="A96" s="4"/>
      <c r="B96" s="4"/>
      <c r="C96" s="57"/>
      <c r="D96" s="4"/>
      <c r="E96" s="4"/>
      <c r="F96" s="4"/>
      <c r="G96" s="4"/>
      <c r="H96" s="3"/>
      <c r="I96" s="4"/>
      <c r="J96" s="4"/>
      <c r="K96" s="3"/>
      <c r="L96" s="3"/>
      <c r="M96" s="4"/>
      <c r="N96" s="4"/>
      <c r="O96" s="4"/>
      <c r="P96" s="4"/>
      <c r="Q96" s="3"/>
      <c r="R96" s="4"/>
      <c r="S96" s="4"/>
      <c r="T96" s="4"/>
      <c r="U96" s="3"/>
      <c r="V96" s="4"/>
      <c r="W96" s="3"/>
      <c r="X96" s="3"/>
      <c r="Y96" s="4"/>
      <c r="Z96" s="4"/>
      <c r="AA96" s="4"/>
      <c r="AB96" s="4"/>
      <c r="AC96" s="4"/>
      <c r="AD96" s="4"/>
    </row>
    <row r="97" spans="1:30" ht="15.75" customHeight="1" x14ac:dyDescent="0.25">
      <c r="A97" s="4"/>
      <c r="B97" s="4"/>
      <c r="C97" s="57"/>
      <c r="D97" s="4"/>
      <c r="E97" s="4"/>
      <c r="F97" s="4"/>
      <c r="G97" s="4"/>
      <c r="H97" s="3"/>
      <c r="I97" s="4"/>
      <c r="J97" s="4"/>
      <c r="K97" s="3"/>
      <c r="L97" s="3"/>
      <c r="M97" s="4"/>
      <c r="N97" s="4"/>
      <c r="O97" s="4"/>
      <c r="P97" s="4"/>
      <c r="Q97" s="3"/>
      <c r="R97" s="4"/>
      <c r="S97" s="4"/>
      <c r="T97" s="4"/>
      <c r="U97" s="3"/>
      <c r="V97" s="4"/>
      <c r="W97" s="3"/>
      <c r="X97" s="3"/>
      <c r="Y97" s="4"/>
      <c r="Z97" s="4"/>
      <c r="AA97" s="4"/>
      <c r="AB97" s="4"/>
      <c r="AC97" s="4"/>
      <c r="AD97" s="4"/>
    </row>
    <row r="98" spans="1:30" ht="15.75" customHeight="1" x14ac:dyDescent="0.25">
      <c r="A98" s="4"/>
      <c r="B98" s="4"/>
      <c r="C98" s="57"/>
      <c r="D98" s="4"/>
      <c r="E98" s="4"/>
      <c r="F98" s="4"/>
      <c r="G98" s="4"/>
      <c r="H98" s="3"/>
      <c r="I98" s="4"/>
      <c r="J98" s="4"/>
      <c r="K98" s="3"/>
      <c r="L98" s="3"/>
      <c r="M98" s="4"/>
      <c r="N98" s="4"/>
      <c r="O98" s="4"/>
      <c r="P98" s="4"/>
      <c r="Q98" s="3"/>
      <c r="R98" s="4"/>
      <c r="S98" s="4"/>
      <c r="T98" s="4"/>
      <c r="U98" s="3"/>
      <c r="V98" s="4"/>
      <c r="W98" s="3"/>
      <c r="X98" s="3"/>
      <c r="Y98" s="4"/>
      <c r="Z98" s="4"/>
      <c r="AA98" s="4"/>
      <c r="AB98" s="4"/>
      <c r="AC98" s="4"/>
      <c r="AD98" s="4"/>
    </row>
    <row r="99" spans="1:30" ht="15.75" customHeight="1" x14ac:dyDescent="0.25">
      <c r="A99" s="4"/>
      <c r="B99" s="4"/>
      <c r="C99" s="57"/>
      <c r="D99" s="4"/>
      <c r="E99" s="4"/>
      <c r="F99" s="4"/>
      <c r="G99" s="4"/>
      <c r="H99" s="3"/>
      <c r="I99" s="4"/>
      <c r="J99" s="4"/>
      <c r="K99" s="3"/>
      <c r="L99" s="3"/>
      <c r="M99" s="4"/>
      <c r="N99" s="4"/>
      <c r="O99" s="4"/>
      <c r="P99" s="4"/>
      <c r="Q99" s="3"/>
      <c r="R99" s="4"/>
      <c r="S99" s="4"/>
      <c r="T99" s="4"/>
      <c r="U99" s="3"/>
      <c r="V99" s="4"/>
      <c r="W99" s="3"/>
      <c r="X99" s="3"/>
      <c r="Y99" s="4"/>
      <c r="Z99" s="4"/>
      <c r="AA99" s="4"/>
      <c r="AB99" s="4"/>
      <c r="AC99" s="4"/>
      <c r="AD99" s="4"/>
    </row>
    <row r="100" spans="1:30" ht="15.75" customHeight="1" x14ac:dyDescent="0.25">
      <c r="A100" s="4"/>
      <c r="B100" s="4"/>
      <c r="C100" s="57"/>
      <c r="D100" s="4"/>
      <c r="E100" s="4"/>
      <c r="F100" s="4"/>
      <c r="G100" s="4"/>
      <c r="H100" s="3"/>
      <c r="I100" s="4"/>
      <c r="J100" s="4"/>
      <c r="K100" s="3"/>
      <c r="L100" s="3"/>
      <c r="M100" s="4"/>
      <c r="N100" s="4"/>
      <c r="O100" s="4"/>
      <c r="P100" s="4"/>
      <c r="Q100" s="3"/>
      <c r="R100" s="4"/>
      <c r="S100" s="4"/>
      <c r="T100" s="4"/>
      <c r="U100" s="3"/>
      <c r="V100" s="4"/>
      <c r="W100" s="3"/>
      <c r="X100" s="3"/>
      <c r="Y100" s="4"/>
      <c r="Z100" s="4"/>
      <c r="AA100" s="4"/>
      <c r="AB100" s="4"/>
      <c r="AC100" s="4"/>
      <c r="AD100" s="4"/>
    </row>
    <row r="101" spans="1:30" ht="15.75" customHeight="1" x14ac:dyDescent="0.25">
      <c r="A101" s="4"/>
      <c r="B101" s="4"/>
      <c r="C101" s="57"/>
      <c r="D101" s="4"/>
      <c r="E101" s="4"/>
      <c r="F101" s="4"/>
      <c r="G101" s="4"/>
      <c r="H101" s="3"/>
      <c r="I101" s="4"/>
      <c r="J101" s="4"/>
      <c r="K101" s="3"/>
      <c r="L101" s="3"/>
      <c r="M101" s="4"/>
      <c r="N101" s="4"/>
      <c r="O101" s="4"/>
      <c r="P101" s="4"/>
      <c r="Q101" s="3"/>
      <c r="R101" s="4"/>
      <c r="S101" s="4"/>
      <c r="T101" s="4"/>
      <c r="U101" s="3"/>
      <c r="V101" s="4"/>
      <c r="W101" s="3"/>
      <c r="X101" s="3"/>
      <c r="Y101" s="4"/>
      <c r="Z101" s="4"/>
      <c r="AA101" s="4"/>
      <c r="AB101" s="4"/>
      <c r="AC101" s="4"/>
      <c r="AD101" s="4"/>
    </row>
    <row r="102" spans="1:30" ht="15.75" customHeight="1" x14ac:dyDescent="0.25">
      <c r="A102" s="4"/>
      <c r="B102" s="4"/>
      <c r="C102" s="57"/>
      <c r="D102" s="4"/>
      <c r="E102" s="4"/>
      <c r="F102" s="4"/>
      <c r="G102" s="4"/>
      <c r="H102" s="3"/>
      <c r="I102" s="4"/>
      <c r="J102" s="4"/>
      <c r="K102" s="3"/>
      <c r="L102" s="3"/>
      <c r="M102" s="4"/>
      <c r="N102" s="4"/>
      <c r="O102" s="4"/>
      <c r="P102" s="4"/>
      <c r="Q102" s="3"/>
      <c r="R102" s="4"/>
      <c r="S102" s="4"/>
      <c r="T102" s="4"/>
      <c r="U102" s="3"/>
      <c r="V102" s="4"/>
      <c r="W102" s="3"/>
      <c r="X102" s="3"/>
      <c r="Y102" s="4"/>
      <c r="Z102" s="4"/>
      <c r="AA102" s="4"/>
      <c r="AB102" s="4"/>
      <c r="AC102" s="4"/>
      <c r="AD102" s="4"/>
    </row>
    <row r="103" spans="1:30" ht="15.75" customHeight="1" x14ac:dyDescent="0.25">
      <c r="A103" s="4"/>
      <c r="B103" s="4"/>
      <c r="C103" s="57"/>
      <c r="D103" s="4"/>
      <c r="E103" s="4"/>
      <c r="F103" s="4"/>
      <c r="G103" s="4"/>
      <c r="H103" s="3"/>
      <c r="I103" s="4"/>
      <c r="J103" s="4"/>
      <c r="K103" s="3"/>
      <c r="L103" s="3"/>
      <c r="M103" s="4"/>
      <c r="N103" s="4"/>
      <c r="O103" s="4"/>
      <c r="P103" s="4"/>
      <c r="Q103" s="3"/>
      <c r="R103" s="4"/>
      <c r="S103" s="4"/>
      <c r="T103" s="4"/>
      <c r="U103" s="3"/>
      <c r="V103" s="4"/>
      <c r="W103" s="3"/>
      <c r="X103" s="3"/>
      <c r="Y103" s="4"/>
      <c r="Z103" s="4"/>
      <c r="AA103" s="4"/>
      <c r="AB103" s="4"/>
      <c r="AC103" s="4"/>
      <c r="AD103" s="4"/>
    </row>
    <row r="104" spans="1:30" ht="15.75" customHeight="1" x14ac:dyDescent="0.25">
      <c r="A104" s="4"/>
      <c r="B104" s="4"/>
      <c r="C104" s="57"/>
      <c r="D104" s="4"/>
      <c r="E104" s="4"/>
      <c r="F104" s="4"/>
      <c r="G104" s="4"/>
      <c r="H104" s="3"/>
      <c r="I104" s="4"/>
      <c r="J104" s="4"/>
      <c r="K104" s="3"/>
      <c r="L104" s="3"/>
      <c r="M104" s="4"/>
      <c r="N104" s="4"/>
      <c r="O104" s="4"/>
      <c r="P104" s="4"/>
      <c r="Q104" s="3"/>
      <c r="R104" s="4"/>
      <c r="S104" s="4"/>
      <c r="T104" s="4"/>
      <c r="U104" s="3"/>
      <c r="V104" s="4"/>
      <c r="W104" s="3"/>
      <c r="X104" s="3"/>
      <c r="Y104" s="4"/>
      <c r="Z104" s="4"/>
      <c r="AA104" s="4"/>
      <c r="AB104" s="4"/>
      <c r="AC104" s="4"/>
      <c r="AD104" s="4"/>
    </row>
    <row r="105" spans="1:30" ht="15.75" customHeight="1" x14ac:dyDescent="0.25">
      <c r="A105" s="4"/>
      <c r="B105" s="4"/>
      <c r="C105" s="57"/>
      <c r="D105" s="4"/>
      <c r="E105" s="4"/>
      <c r="F105" s="4"/>
      <c r="G105" s="4"/>
      <c r="H105" s="3"/>
      <c r="I105" s="4"/>
      <c r="J105" s="4"/>
      <c r="K105" s="3"/>
      <c r="L105" s="3"/>
      <c r="M105" s="4"/>
      <c r="N105" s="4"/>
      <c r="O105" s="4"/>
      <c r="P105" s="4"/>
      <c r="Q105" s="3"/>
      <c r="R105" s="4"/>
      <c r="S105" s="4"/>
      <c r="T105" s="4"/>
      <c r="U105" s="3"/>
      <c r="V105" s="4"/>
      <c r="W105" s="3"/>
      <c r="X105" s="3"/>
      <c r="Y105" s="4"/>
      <c r="Z105" s="4"/>
      <c r="AA105" s="4"/>
      <c r="AB105" s="4"/>
      <c r="AC105" s="4"/>
      <c r="AD105" s="4"/>
    </row>
    <row r="106" spans="1:30" ht="15.75" customHeight="1" x14ac:dyDescent="0.25">
      <c r="A106" s="4"/>
      <c r="B106" s="4"/>
      <c r="C106" s="57"/>
      <c r="D106" s="4"/>
      <c r="E106" s="4"/>
      <c r="F106" s="4"/>
      <c r="G106" s="4"/>
      <c r="H106" s="3"/>
      <c r="I106" s="4"/>
      <c r="J106" s="4"/>
      <c r="K106" s="3"/>
      <c r="L106" s="3"/>
      <c r="M106" s="4"/>
      <c r="N106" s="4"/>
      <c r="O106" s="4"/>
      <c r="P106" s="4"/>
      <c r="Q106" s="3"/>
      <c r="R106" s="4"/>
      <c r="S106" s="4"/>
      <c r="T106" s="4"/>
      <c r="U106" s="3"/>
      <c r="V106" s="4"/>
      <c r="W106" s="3"/>
      <c r="X106" s="3"/>
      <c r="Y106" s="4"/>
      <c r="Z106" s="4"/>
      <c r="AA106" s="4"/>
      <c r="AB106" s="4"/>
      <c r="AC106" s="4"/>
      <c r="AD106" s="4"/>
    </row>
    <row r="107" spans="1:30" ht="15.75" customHeight="1" x14ac:dyDescent="0.25">
      <c r="A107" s="4"/>
      <c r="B107" s="4"/>
      <c r="C107" s="57"/>
      <c r="D107" s="4"/>
      <c r="E107" s="4"/>
      <c r="F107" s="4"/>
      <c r="G107" s="4"/>
      <c r="H107" s="3"/>
      <c r="I107" s="4"/>
      <c r="J107" s="4"/>
      <c r="K107" s="3"/>
      <c r="L107" s="3"/>
      <c r="M107" s="4"/>
      <c r="N107" s="4"/>
      <c r="O107" s="4"/>
      <c r="P107" s="4"/>
      <c r="Q107" s="3"/>
      <c r="R107" s="4"/>
      <c r="S107" s="4"/>
      <c r="T107" s="4"/>
      <c r="U107" s="3"/>
      <c r="V107" s="4"/>
      <c r="W107" s="3"/>
      <c r="X107" s="3"/>
      <c r="Y107" s="4"/>
      <c r="Z107" s="4"/>
      <c r="AA107" s="4"/>
      <c r="AB107" s="4"/>
      <c r="AC107" s="4"/>
      <c r="AD107" s="4"/>
    </row>
    <row r="108" spans="1:30" ht="15.75" customHeight="1" x14ac:dyDescent="0.25">
      <c r="A108" s="4"/>
      <c r="B108" s="4"/>
      <c r="C108" s="57"/>
      <c r="D108" s="4"/>
      <c r="E108" s="4"/>
      <c r="F108" s="4"/>
      <c r="G108" s="4"/>
      <c r="H108" s="3"/>
      <c r="I108" s="4"/>
      <c r="J108" s="4"/>
      <c r="K108" s="3"/>
      <c r="L108" s="3"/>
      <c r="M108" s="4"/>
      <c r="N108" s="4"/>
      <c r="O108" s="4"/>
      <c r="P108" s="4"/>
      <c r="Q108" s="3"/>
      <c r="R108" s="4"/>
      <c r="S108" s="4"/>
      <c r="T108" s="4"/>
      <c r="U108" s="3"/>
      <c r="V108" s="4"/>
      <c r="W108" s="3"/>
      <c r="X108" s="3"/>
      <c r="Y108" s="4"/>
      <c r="Z108" s="4"/>
      <c r="AA108" s="4"/>
      <c r="AB108" s="4"/>
      <c r="AC108" s="4"/>
      <c r="AD108" s="4"/>
    </row>
    <row r="109" spans="1:30" ht="15.75" customHeight="1" x14ac:dyDescent="0.25">
      <c r="A109" s="4"/>
      <c r="B109" s="4"/>
      <c r="C109" s="57"/>
      <c r="D109" s="4"/>
      <c r="E109" s="4"/>
      <c r="F109" s="4"/>
      <c r="G109" s="4"/>
      <c r="H109" s="3"/>
      <c r="I109" s="4"/>
      <c r="J109" s="4"/>
      <c r="K109" s="3"/>
      <c r="L109" s="3"/>
      <c r="M109" s="4"/>
      <c r="N109" s="4"/>
      <c r="O109" s="4"/>
      <c r="P109" s="4"/>
      <c r="Q109" s="3"/>
      <c r="R109" s="4"/>
      <c r="S109" s="4"/>
      <c r="T109" s="4"/>
      <c r="U109" s="3"/>
      <c r="V109" s="4"/>
      <c r="W109" s="3"/>
      <c r="X109" s="3"/>
      <c r="Y109" s="4"/>
      <c r="Z109" s="4"/>
      <c r="AA109" s="4"/>
      <c r="AB109" s="4"/>
      <c r="AC109" s="4"/>
      <c r="AD109" s="4"/>
    </row>
    <row r="110" spans="1:30" ht="15.75" customHeight="1" x14ac:dyDescent="0.25">
      <c r="A110" s="4"/>
      <c r="B110" s="4"/>
      <c r="C110" s="57"/>
      <c r="D110" s="4"/>
      <c r="E110" s="4"/>
      <c r="F110" s="4"/>
      <c r="G110" s="4"/>
      <c r="H110" s="3"/>
      <c r="I110" s="4"/>
      <c r="J110" s="4"/>
      <c r="K110" s="3"/>
      <c r="L110" s="3"/>
      <c r="M110" s="4"/>
      <c r="N110" s="4"/>
      <c r="O110" s="4"/>
      <c r="P110" s="4"/>
      <c r="Q110" s="3"/>
      <c r="R110" s="4"/>
      <c r="S110" s="4"/>
      <c r="T110" s="4"/>
      <c r="U110" s="3"/>
      <c r="V110" s="4"/>
      <c r="W110" s="3"/>
      <c r="X110" s="3"/>
      <c r="Y110" s="4"/>
      <c r="Z110" s="4"/>
      <c r="AA110" s="4"/>
      <c r="AB110" s="4"/>
      <c r="AC110" s="4"/>
      <c r="AD110" s="4"/>
    </row>
    <row r="111" spans="1:30" ht="15.75" customHeight="1" x14ac:dyDescent="0.25">
      <c r="A111" s="4"/>
      <c r="B111" s="4"/>
      <c r="C111" s="57"/>
      <c r="D111" s="4"/>
      <c r="E111" s="4"/>
      <c r="F111" s="4"/>
      <c r="G111" s="4"/>
      <c r="H111" s="3"/>
      <c r="I111" s="4"/>
      <c r="J111" s="4"/>
      <c r="K111" s="3"/>
      <c r="L111" s="3"/>
      <c r="M111" s="4"/>
      <c r="N111" s="4"/>
      <c r="O111" s="4"/>
      <c r="P111" s="4"/>
      <c r="Q111" s="3"/>
      <c r="R111" s="4"/>
      <c r="S111" s="4"/>
      <c r="T111" s="4"/>
      <c r="U111" s="3"/>
      <c r="V111" s="4"/>
      <c r="W111" s="3"/>
      <c r="X111" s="3"/>
      <c r="Y111" s="4"/>
      <c r="Z111" s="4"/>
      <c r="AA111" s="4"/>
      <c r="AB111" s="4"/>
      <c r="AC111" s="4"/>
      <c r="AD111" s="4"/>
    </row>
    <row r="112" spans="1:30" ht="15.75" customHeight="1" x14ac:dyDescent="0.25">
      <c r="A112" s="4"/>
      <c r="B112" s="4"/>
      <c r="C112" s="57"/>
      <c r="D112" s="4"/>
      <c r="E112" s="4"/>
      <c r="F112" s="4"/>
      <c r="G112" s="4"/>
      <c r="H112" s="3"/>
      <c r="I112" s="4"/>
      <c r="J112" s="4"/>
      <c r="K112" s="3"/>
      <c r="L112" s="3"/>
      <c r="M112" s="4"/>
      <c r="N112" s="4"/>
      <c r="O112" s="4"/>
      <c r="P112" s="4"/>
      <c r="Q112" s="3"/>
      <c r="R112" s="4"/>
      <c r="S112" s="4"/>
      <c r="T112" s="4"/>
      <c r="U112" s="3"/>
      <c r="V112" s="4"/>
      <c r="W112" s="3"/>
      <c r="X112" s="3"/>
      <c r="Y112" s="4"/>
      <c r="Z112" s="4"/>
      <c r="AA112" s="4"/>
      <c r="AB112" s="4"/>
      <c r="AC112" s="4"/>
      <c r="AD112" s="4"/>
    </row>
    <row r="113" spans="1:30" ht="15.75" customHeight="1" x14ac:dyDescent="0.25">
      <c r="A113" s="4"/>
      <c r="B113" s="4"/>
      <c r="C113" s="57"/>
      <c r="D113" s="4"/>
      <c r="E113" s="4"/>
      <c r="F113" s="4"/>
      <c r="G113" s="4"/>
      <c r="H113" s="3"/>
      <c r="I113" s="4"/>
      <c r="J113" s="4"/>
      <c r="K113" s="3"/>
      <c r="L113" s="3"/>
      <c r="M113" s="4"/>
      <c r="N113" s="4"/>
      <c r="O113" s="4"/>
      <c r="P113" s="4"/>
      <c r="Q113" s="3"/>
      <c r="R113" s="4"/>
      <c r="S113" s="4"/>
      <c r="T113" s="4"/>
      <c r="U113" s="3"/>
      <c r="V113" s="4"/>
      <c r="W113" s="3"/>
      <c r="X113" s="3"/>
      <c r="Y113" s="4"/>
      <c r="Z113" s="4"/>
      <c r="AA113" s="4"/>
      <c r="AB113" s="4"/>
      <c r="AC113" s="4"/>
      <c r="AD113" s="4"/>
    </row>
    <row r="114" spans="1:30" ht="15.75" customHeight="1" x14ac:dyDescent="0.25">
      <c r="A114" s="4"/>
      <c r="B114" s="4"/>
      <c r="C114" s="57"/>
      <c r="D114" s="4"/>
      <c r="E114" s="4"/>
      <c r="F114" s="4"/>
      <c r="G114" s="4"/>
      <c r="H114" s="3"/>
      <c r="I114" s="4"/>
      <c r="J114" s="4"/>
      <c r="K114" s="3"/>
      <c r="L114" s="3"/>
      <c r="M114" s="4"/>
      <c r="N114" s="4"/>
      <c r="O114" s="4"/>
      <c r="P114" s="4"/>
      <c r="Q114" s="3"/>
      <c r="R114" s="4"/>
      <c r="S114" s="4"/>
      <c r="T114" s="4"/>
      <c r="U114" s="3"/>
      <c r="V114" s="4"/>
      <c r="W114" s="3"/>
      <c r="X114" s="3"/>
      <c r="Y114" s="4"/>
      <c r="Z114" s="4"/>
      <c r="AA114" s="4"/>
      <c r="AB114" s="4"/>
      <c r="AC114" s="4"/>
      <c r="AD114" s="4"/>
    </row>
    <row r="115" spans="1:30" ht="15.75" customHeight="1" x14ac:dyDescent="0.25">
      <c r="A115" s="4"/>
      <c r="B115" s="4"/>
      <c r="C115" s="57"/>
      <c r="D115" s="4"/>
      <c r="E115" s="4"/>
      <c r="F115" s="4"/>
      <c r="G115" s="4"/>
      <c r="H115" s="3"/>
      <c r="I115" s="4"/>
      <c r="J115" s="4"/>
      <c r="K115" s="3"/>
      <c r="L115" s="3"/>
      <c r="M115" s="4"/>
      <c r="N115" s="4"/>
      <c r="O115" s="4"/>
      <c r="P115" s="4"/>
      <c r="Q115" s="3"/>
      <c r="R115" s="4"/>
      <c r="S115" s="4"/>
      <c r="T115" s="4"/>
      <c r="U115" s="3"/>
      <c r="V115" s="4"/>
      <c r="W115" s="3"/>
      <c r="X115" s="3"/>
      <c r="Y115" s="4"/>
      <c r="Z115" s="4"/>
      <c r="AA115" s="4"/>
      <c r="AB115" s="4"/>
      <c r="AC115" s="4"/>
      <c r="AD115" s="4"/>
    </row>
    <row r="116" spans="1:30" ht="15.75" customHeight="1" x14ac:dyDescent="0.25">
      <c r="A116" s="4"/>
      <c r="B116" s="4"/>
      <c r="C116" s="57"/>
      <c r="D116" s="4"/>
      <c r="E116" s="4"/>
      <c r="F116" s="4"/>
      <c r="G116" s="4"/>
      <c r="H116" s="3"/>
      <c r="I116" s="4"/>
      <c r="J116" s="4"/>
      <c r="K116" s="3"/>
      <c r="L116" s="3"/>
      <c r="M116" s="4"/>
      <c r="N116" s="4"/>
      <c r="O116" s="4"/>
      <c r="P116" s="4"/>
      <c r="Q116" s="3"/>
      <c r="R116" s="4"/>
      <c r="S116" s="4"/>
      <c r="T116" s="4"/>
      <c r="U116" s="3"/>
      <c r="V116" s="4"/>
      <c r="W116" s="3"/>
      <c r="X116" s="3"/>
      <c r="Y116" s="4"/>
      <c r="Z116" s="4"/>
      <c r="AA116" s="4"/>
      <c r="AB116" s="4"/>
      <c r="AC116" s="4"/>
      <c r="AD116" s="4"/>
    </row>
    <row r="117" spans="1:30" ht="15.75" customHeight="1" x14ac:dyDescent="0.25">
      <c r="A117" s="4"/>
      <c r="B117" s="4"/>
      <c r="C117" s="57"/>
      <c r="D117" s="4"/>
      <c r="E117" s="4"/>
      <c r="F117" s="4"/>
      <c r="G117" s="4"/>
      <c r="H117" s="3"/>
      <c r="I117" s="4"/>
      <c r="J117" s="4"/>
      <c r="K117" s="3"/>
      <c r="L117" s="3"/>
      <c r="M117" s="4"/>
      <c r="N117" s="4"/>
      <c r="O117" s="4"/>
      <c r="P117" s="4"/>
      <c r="Q117" s="3"/>
      <c r="R117" s="4"/>
      <c r="S117" s="4"/>
      <c r="T117" s="4"/>
      <c r="U117" s="3"/>
      <c r="V117" s="4"/>
      <c r="W117" s="3"/>
      <c r="X117" s="3"/>
      <c r="Y117" s="4"/>
      <c r="Z117" s="4"/>
      <c r="AA117" s="4"/>
      <c r="AB117" s="4"/>
      <c r="AC117" s="4"/>
      <c r="AD117" s="4"/>
    </row>
    <row r="118" spans="1:30" ht="15.75" customHeight="1" x14ac:dyDescent="0.25">
      <c r="A118" s="4"/>
      <c r="B118" s="4"/>
      <c r="C118" s="57"/>
      <c r="D118" s="4"/>
      <c r="E118" s="4"/>
      <c r="F118" s="4"/>
      <c r="G118" s="4"/>
      <c r="H118" s="3"/>
      <c r="I118" s="4"/>
      <c r="J118" s="4"/>
      <c r="K118" s="3"/>
      <c r="L118" s="3"/>
      <c r="M118" s="4"/>
      <c r="N118" s="4"/>
      <c r="O118" s="4"/>
      <c r="P118" s="4"/>
      <c r="Q118" s="3"/>
      <c r="R118" s="4"/>
      <c r="S118" s="4"/>
      <c r="T118" s="4"/>
      <c r="U118" s="3"/>
      <c r="V118" s="4"/>
      <c r="W118" s="3"/>
      <c r="X118" s="3"/>
      <c r="Y118" s="4"/>
      <c r="Z118" s="4"/>
      <c r="AA118" s="4"/>
      <c r="AB118" s="4"/>
      <c r="AC118" s="4"/>
      <c r="AD118" s="4"/>
    </row>
    <row r="119" spans="1:30" ht="15.75" customHeight="1" x14ac:dyDescent="0.25">
      <c r="A119" s="4"/>
      <c r="B119" s="4"/>
      <c r="C119" s="57"/>
      <c r="D119" s="4"/>
      <c r="E119" s="4"/>
      <c r="F119" s="4"/>
      <c r="G119" s="4"/>
      <c r="H119" s="3"/>
      <c r="I119" s="4"/>
      <c r="J119" s="4"/>
      <c r="K119" s="3"/>
      <c r="L119" s="3"/>
      <c r="M119" s="4"/>
      <c r="N119" s="4"/>
      <c r="O119" s="4"/>
      <c r="P119" s="4"/>
      <c r="Q119" s="3"/>
      <c r="R119" s="4"/>
      <c r="S119" s="4"/>
      <c r="T119" s="4"/>
      <c r="U119" s="3"/>
      <c r="V119" s="4"/>
      <c r="W119" s="3"/>
      <c r="X119" s="3"/>
      <c r="Y119" s="4"/>
      <c r="Z119" s="4"/>
      <c r="AA119" s="4"/>
      <c r="AB119" s="4"/>
      <c r="AC119" s="4"/>
      <c r="AD119" s="4"/>
    </row>
    <row r="120" spans="1:30" ht="15.75" customHeight="1" x14ac:dyDescent="0.25">
      <c r="A120" s="4"/>
      <c r="B120" s="4"/>
      <c r="C120" s="57"/>
      <c r="D120" s="4"/>
      <c r="E120" s="4"/>
      <c r="F120" s="4"/>
      <c r="G120" s="4"/>
      <c r="H120" s="3"/>
      <c r="I120" s="4"/>
      <c r="J120" s="4"/>
      <c r="K120" s="3"/>
      <c r="L120" s="3"/>
      <c r="M120" s="4"/>
      <c r="N120" s="4"/>
      <c r="O120" s="4"/>
      <c r="P120" s="4"/>
      <c r="Q120" s="3"/>
      <c r="R120" s="4"/>
      <c r="S120" s="4"/>
      <c r="T120" s="4"/>
      <c r="U120" s="3"/>
      <c r="V120" s="4"/>
      <c r="W120" s="3"/>
      <c r="X120" s="3"/>
      <c r="Y120" s="4"/>
      <c r="Z120" s="4"/>
      <c r="AA120" s="4"/>
      <c r="AB120" s="4"/>
      <c r="AC120" s="4"/>
      <c r="AD120" s="4"/>
    </row>
    <row r="121" spans="1:30" ht="15.75" customHeight="1" x14ac:dyDescent="0.25">
      <c r="A121" s="4"/>
      <c r="B121" s="4"/>
      <c r="C121" s="57"/>
      <c r="D121" s="4"/>
      <c r="E121" s="4"/>
      <c r="F121" s="4"/>
      <c r="G121" s="4"/>
      <c r="H121" s="3"/>
      <c r="I121" s="4"/>
      <c r="J121" s="4"/>
      <c r="K121" s="3"/>
      <c r="L121" s="3"/>
      <c r="M121" s="4"/>
      <c r="N121" s="4"/>
      <c r="O121" s="4"/>
      <c r="P121" s="4"/>
      <c r="Q121" s="3"/>
      <c r="R121" s="4"/>
      <c r="S121" s="4"/>
      <c r="T121" s="4"/>
      <c r="U121" s="3"/>
      <c r="V121" s="4"/>
      <c r="W121" s="3"/>
      <c r="X121" s="3"/>
      <c r="Y121" s="4"/>
      <c r="Z121" s="4"/>
      <c r="AA121" s="4"/>
      <c r="AB121" s="4"/>
      <c r="AC121" s="4"/>
      <c r="AD121" s="4"/>
    </row>
    <row r="122" spans="1:30" ht="15.75" customHeight="1" x14ac:dyDescent="0.25">
      <c r="A122" s="4"/>
      <c r="B122" s="4"/>
      <c r="C122" s="57"/>
      <c r="D122" s="4"/>
      <c r="E122" s="4"/>
      <c r="F122" s="4"/>
      <c r="G122" s="4"/>
      <c r="H122" s="3"/>
      <c r="I122" s="4"/>
      <c r="J122" s="4"/>
      <c r="K122" s="3"/>
      <c r="L122" s="3"/>
      <c r="M122" s="4"/>
      <c r="N122" s="4"/>
      <c r="O122" s="4"/>
      <c r="P122" s="4"/>
      <c r="Q122" s="3"/>
      <c r="R122" s="4"/>
      <c r="S122" s="4"/>
      <c r="T122" s="4"/>
      <c r="U122" s="3"/>
      <c r="V122" s="4"/>
      <c r="W122" s="3"/>
      <c r="X122" s="3"/>
      <c r="Y122" s="4"/>
      <c r="Z122" s="4"/>
      <c r="AA122" s="4"/>
      <c r="AB122" s="4"/>
      <c r="AC122" s="4"/>
      <c r="AD122" s="4"/>
    </row>
    <row r="123" spans="1:30" ht="15.75" customHeight="1" x14ac:dyDescent="0.25">
      <c r="A123" s="4"/>
      <c r="B123" s="4"/>
      <c r="C123" s="57"/>
      <c r="D123" s="4"/>
      <c r="E123" s="4"/>
      <c r="F123" s="4"/>
      <c r="G123" s="4"/>
      <c r="H123" s="3"/>
      <c r="I123" s="4"/>
      <c r="J123" s="4"/>
      <c r="K123" s="3"/>
      <c r="L123" s="3"/>
      <c r="M123" s="4"/>
      <c r="N123" s="4"/>
      <c r="O123" s="4"/>
      <c r="P123" s="4"/>
      <c r="Q123" s="3"/>
      <c r="R123" s="4"/>
      <c r="S123" s="4"/>
      <c r="T123" s="4"/>
      <c r="U123" s="3"/>
      <c r="V123" s="4"/>
      <c r="W123" s="3"/>
      <c r="X123" s="3"/>
      <c r="Y123" s="4"/>
      <c r="Z123" s="4"/>
      <c r="AA123" s="4"/>
      <c r="AB123" s="4"/>
      <c r="AC123" s="4"/>
      <c r="AD123" s="4"/>
    </row>
    <row r="124" spans="1:30" ht="15.75" customHeight="1" x14ac:dyDescent="0.25">
      <c r="A124" s="4"/>
      <c r="B124" s="4"/>
      <c r="C124" s="57"/>
      <c r="D124" s="4"/>
      <c r="E124" s="4"/>
      <c r="F124" s="4"/>
      <c r="G124" s="4"/>
      <c r="H124" s="3"/>
      <c r="I124" s="4"/>
      <c r="J124" s="4"/>
      <c r="K124" s="3"/>
      <c r="L124" s="3"/>
      <c r="M124" s="4"/>
      <c r="N124" s="4"/>
      <c r="O124" s="4"/>
      <c r="P124" s="4"/>
      <c r="Q124" s="3"/>
      <c r="R124" s="4"/>
      <c r="S124" s="4"/>
      <c r="T124" s="4"/>
      <c r="U124" s="3"/>
      <c r="V124" s="4"/>
      <c r="W124" s="3"/>
      <c r="X124" s="3"/>
      <c r="Y124" s="4"/>
      <c r="Z124" s="4"/>
      <c r="AA124" s="4"/>
      <c r="AB124" s="4"/>
      <c r="AC124" s="4"/>
      <c r="AD124" s="4"/>
    </row>
    <row r="125" spans="1:30" ht="15.75" customHeight="1" x14ac:dyDescent="0.25">
      <c r="A125" s="4"/>
      <c r="B125" s="4"/>
      <c r="C125" s="57"/>
      <c r="D125" s="4"/>
      <c r="E125" s="4"/>
      <c r="F125" s="4"/>
      <c r="G125" s="4"/>
      <c r="H125" s="3"/>
      <c r="I125" s="4"/>
      <c r="J125" s="4"/>
      <c r="K125" s="3"/>
      <c r="L125" s="3"/>
      <c r="M125" s="4"/>
      <c r="N125" s="4"/>
      <c r="O125" s="4"/>
      <c r="P125" s="4"/>
      <c r="Q125" s="3"/>
      <c r="R125" s="4"/>
      <c r="S125" s="4"/>
      <c r="T125" s="4"/>
      <c r="U125" s="3"/>
      <c r="V125" s="4"/>
      <c r="W125" s="3"/>
      <c r="X125" s="3"/>
      <c r="Y125" s="4"/>
      <c r="Z125" s="4"/>
      <c r="AA125" s="4"/>
      <c r="AB125" s="4"/>
      <c r="AC125" s="4"/>
      <c r="AD125" s="4"/>
    </row>
    <row r="126" spans="1:30" ht="15.75" customHeight="1" x14ac:dyDescent="0.25">
      <c r="A126" s="4"/>
      <c r="B126" s="4"/>
      <c r="C126" s="57"/>
      <c r="D126" s="4"/>
      <c r="E126" s="4"/>
      <c r="F126" s="4"/>
      <c r="G126" s="4"/>
      <c r="H126" s="3"/>
      <c r="I126" s="4"/>
      <c r="J126" s="4"/>
      <c r="K126" s="3"/>
      <c r="L126" s="3"/>
      <c r="M126" s="4"/>
      <c r="N126" s="4"/>
      <c r="O126" s="4"/>
      <c r="P126" s="4"/>
      <c r="Q126" s="3"/>
      <c r="R126" s="4"/>
      <c r="S126" s="4"/>
      <c r="T126" s="4"/>
      <c r="U126" s="3"/>
      <c r="V126" s="4"/>
      <c r="W126" s="3"/>
      <c r="X126" s="3"/>
      <c r="Y126" s="4"/>
      <c r="Z126" s="4"/>
      <c r="AA126" s="4"/>
      <c r="AB126" s="4"/>
      <c r="AC126" s="4"/>
      <c r="AD126" s="4"/>
    </row>
    <row r="127" spans="1:30" ht="15.75" customHeight="1" x14ac:dyDescent="0.25">
      <c r="A127" s="4"/>
      <c r="B127" s="4"/>
      <c r="C127" s="57"/>
      <c r="D127" s="4"/>
      <c r="E127" s="4"/>
      <c r="F127" s="4"/>
      <c r="G127" s="4"/>
      <c r="H127" s="3"/>
      <c r="I127" s="4"/>
      <c r="J127" s="4"/>
      <c r="K127" s="3"/>
      <c r="L127" s="3"/>
      <c r="M127" s="4"/>
      <c r="N127" s="4"/>
      <c r="O127" s="4"/>
      <c r="P127" s="4"/>
      <c r="Q127" s="3"/>
      <c r="R127" s="4"/>
      <c r="S127" s="4"/>
      <c r="T127" s="4"/>
      <c r="U127" s="3"/>
      <c r="V127" s="4"/>
      <c r="W127" s="3"/>
      <c r="X127" s="3"/>
      <c r="Y127" s="4"/>
      <c r="Z127" s="4"/>
      <c r="AA127" s="4"/>
      <c r="AB127" s="4"/>
      <c r="AC127" s="4"/>
      <c r="AD127" s="4"/>
    </row>
    <row r="128" spans="1:30" ht="15.75" customHeight="1" x14ac:dyDescent="0.25">
      <c r="A128" s="4"/>
      <c r="B128" s="4"/>
      <c r="C128" s="57"/>
      <c r="D128" s="4"/>
      <c r="E128" s="4"/>
      <c r="F128" s="4"/>
      <c r="G128" s="4"/>
      <c r="H128" s="3"/>
      <c r="I128" s="4"/>
      <c r="J128" s="4"/>
      <c r="K128" s="3"/>
      <c r="L128" s="3"/>
      <c r="M128" s="4"/>
      <c r="N128" s="4"/>
      <c r="O128" s="4"/>
      <c r="P128" s="4"/>
      <c r="Q128" s="3"/>
      <c r="R128" s="4"/>
      <c r="S128" s="4"/>
      <c r="T128" s="4"/>
      <c r="U128" s="3"/>
      <c r="V128" s="4"/>
      <c r="W128" s="3"/>
      <c r="X128" s="3"/>
      <c r="Y128" s="4"/>
      <c r="Z128" s="4"/>
      <c r="AA128" s="4"/>
      <c r="AB128" s="4"/>
      <c r="AC128" s="4"/>
      <c r="AD128" s="4"/>
    </row>
    <row r="129" spans="1:30" ht="15.75" customHeight="1" x14ac:dyDescent="0.25">
      <c r="A129" s="4"/>
      <c r="B129" s="4"/>
      <c r="C129" s="57"/>
      <c r="D129" s="4"/>
      <c r="E129" s="4"/>
      <c r="F129" s="4"/>
      <c r="G129" s="4"/>
      <c r="H129" s="3"/>
      <c r="I129" s="4"/>
      <c r="J129" s="4"/>
      <c r="K129" s="3"/>
      <c r="L129" s="3"/>
      <c r="M129" s="4"/>
      <c r="N129" s="4"/>
      <c r="O129" s="4"/>
      <c r="P129" s="4"/>
      <c r="Q129" s="3"/>
      <c r="R129" s="4"/>
      <c r="S129" s="4"/>
      <c r="T129" s="4"/>
      <c r="U129" s="3"/>
      <c r="V129" s="4"/>
      <c r="W129" s="3"/>
      <c r="X129" s="3"/>
      <c r="Y129" s="4"/>
      <c r="Z129" s="4"/>
      <c r="AA129" s="4"/>
      <c r="AB129" s="4"/>
      <c r="AC129" s="4"/>
      <c r="AD129" s="4"/>
    </row>
    <row r="130" spans="1:30" ht="15.75" customHeight="1" x14ac:dyDescent="0.25">
      <c r="A130" s="4"/>
      <c r="B130" s="4"/>
      <c r="C130" s="57"/>
      <c r="D130" s="4"/>
      <c r="E130" s="4"/>
      <c r="F130" s="4"/>
      <c r="G130" s="4"/>
      <c r="H130" s="3"/>
      <c r="I130" s="4"/>
      <c r="J130" s="4"/>
      <c r="K130" s="3"/>
      <c r="L130" s="3"/>
      <c r="M130" s="4"/>
      <c r="N130" s="4"/>
      <c r="O130" s="4"/>
      <c r="P130" s="4"/>
      <c r="Q130" s="3"/>
      <c r="R130" s="4"/>
      <c r="S130" s="4"/>
      <c r="T130" s="4"/>
      <c r="U130" s="3"/>
      <c r="V130" s="4"/>
      <c r="W130" s="3"/>
      <c r="X130" s="3"/>
      <c r="Y130" s="4"/>
      <c r="Z130" s="4"/>
      <c r="AA130" s="4"/>
      <c r="AB130" s="4"/>
      <c r="AC130" s="4"/>
      <c r="AD130" s="4"/>
    </row>
    <row r="131" spans="1:30" ht="15.75" customHeight="1" x14ac:dyDescent="0.25">
      <c r="A131" s="4"/>
      <c r="B131" s="4"/>
      <c r="C131" s="57"/>
      <c r="D131" s="4"/>
      <c r="E131" s="4"/>
      <c r="F131" s="4"/>
      <c r="G131" s="4"/>
      <c r="H131" s="3"/>
      <c r="I131" s="4"/>
      <c r="J131" s="4"/>
      <c r="K131" s="3"/>
      <c r="L131" s="3"/>
      <c r="M131" s="4"/>
      <c r="N131" s="4"/>
      <c r="O131" s="4"/>
      <c r="P131" s="4"/>
      <c r="Q131" s="3"/>
      <c r="R131" s="4"/>
      <c r="S131" s="4"/>
      <c r="T131" s="4"/>
      <c r="U131" s="3"/>
      <c r="V131" s="4"/>
      <c r="W131" s="3"/>
      <c r="X131" s="3"/>
      <c r="Y131" s="4"/>
      <c r="Z131" s="4"/>
      <c r="AA131" s="4"/>
      <c r="AB131" s="4"/>
      <c r="AC131" s="4"/>
      <c r="AD131" s="4"/>
    </row>
    <row r="132" spans="1:30" ht="15.75" customHeight="1" x14ac:dyDescent="0.25">
      <c r="A132" s="4"/>
      <c r="B132" s="4"/>
      <c r="C132" s="57"/>
      <c r="D132" s="4"/>
      <c r="E132" s="4"/>
      <c r="F132" s="4"/>
      <c r="G132" s="4"/>
      <c r="H132" s="3"/>
      <c r="I132" s="4"/>
      <c r="J132" s="4"/>
      <c r="K132" s="3"/>
      <c r="L132" s="3"/>
      <c r="M132" s="4"/>
      <c r="N132" s="4"/>
      <c r="O132" s="4"/>
      <c r="P132" s="4"/>
      <c r="Q132" s="3"/>
      <c r="R132" s="4"/>
      <c r="S132" s="4"/>
      <c r="T132" s="4"/>
      <c r="U132" s="3"/>
      <c r="V132" s="4"/>
      <c r="W132" s="3"/>
      <c r="X132" s="3"/>
      <c r="Y132" s="4"/>
      <c r="Z132" s="4"/>
      <c r="AA132" s="4"/>
      <c r="AB132" s="4"/>
      <c r="AC132" s="4"/>
      <c r="AD132" s="4"/>
    </row>
    <row r="133" spans="1:30" ht="15.75" customHeight="1" x14ac:dyDescent="0.25">
      <c r="A133" s="4"/>
      <c r="B133" s="4"/>
      <c r="C133" s="57"/>
      <c r="D133" s="4"/>
      <c r="E133" s="4"/>
      <c r="F133" s="4"/>
      <c r="G133" s="4"/>
      <c r="H133" s="3"/>
      <c r="I133" s="4"/>
      <c r="J133" s="4"/>
      <c r="K133" s="3"/>
      <c r="L133" s="3"/>
      <c r="M133" s="4"/>
      <c r="N133" s="4"/>
      <c r="O133" s="4"/>
      <c r="P133" s="4"/>
      <c r="Q133" s="3"/>
      <c r="R133" s="4"/>
      <c r="S133" s="4"/>
      <c r="T133" s="4"/>
      <c r="U133" s="3"/>
      <c r="V133" s="4"/>
      <c r="W133" s="3"/>
      <c r="X133" s="3"/>
      <c r="Y133" s="4"/>
      <c r="Z133" s="4"/>
      <c r="AA133" s="4"/>
      <c r="AB133" s="4"/>
      <c r="AC133" s="4"/>
      <c r="AD133" s="4"/>
    </row>
    <row r="134" spans="1:30" ht="15.75" customHeight="1" x14ac:dyDescent="0.25">
      <c r="A134" s="4"/>
      <c r="B134" s="4"/>
      <c r="C134" s="57"/>
      <c r="D134" s="4"/>
      <c r="E134" s="4"/>
      <c r="F134" s="4"/>
      <c r="G134" s="4"/>
      <c r="H134" s="3"/>
      <c r="I134" s="4"/>
      <c r="J134" s="4"/>
      <c r="K134" s="3"/>
      <c r="L134" s="3"/>
      <c r="M134" s="4"/>
      <c r="N134" s="4"/>
      <c r="O134" s="4"/>
      <c r="P134" s="4"/>
      <c r="Q134" s="3"/>
      <c r="R134" s="4"/>
      <c r="S134" s="4"/>
      <c r="T134" s="4"/>
      <c r="U134" s="3"/>
      <c r="V134" s="4"/>
      <c r="W134" s="3"/>
      <c r="X134" s="3"/>
      <c r="Y134" s="4"/>
      <c r="Z134" s="4"/>
      <c r="AA134" s="4"/>
      <c r="AB134" s="4"/>
      <c r="AC134" s="4"/>
      <c r="AD134" s="4"/>
    </row>
    <row r="135" spans="1:30" ht="15.75" customHeight="1" x14ac:dyDescent="0.25">
      <c r="A135" s="4"/>
      <c r="B135" s="4"/>
      <c r="C135" s="57"/>
      <c r="D135" s="4"/>
      <c r="E135" s="4"/>
      <c r="F135" s="4"/>
      <c r="G135" s="4"/>
      <c r="H135" s="3"/>
      <c r="I135" s="4"/>
      <c r="J135" s="4"/>
      <c r="K135" s="3"/>
      <c r="L135" s="3"/>
      <c r="M135" s="4"/>
      <c r="N135" s="4"/>
      <c r="O135" s="4"/>
      <c r="P135" s="4"/>
      <c r="Q135" s="3"/>
      <c r="R135" s="4"/>
      <c r="S135" s="4"/>
      <c r="T135" s="4"/>
      <c r="U135" s="3"/>
      <c r="V135" s="4"/>
      <c r="W135" s="3"/>
      <c r="X135" s="3"/>
      <c r="Y135" s="4"/>
      <c r="Z135" s="4"/>
      <c r="AA135" s="4"/>
      <c r="AB135" s="4"/>
      <c r="AC135" s="4"/>
      <c r="AD135" s="4"/>
    </row>
    <row r="136" spans="1:30" ht="15.75" customHeight="1" x14ac:dyDescent="0.25">
      <c r="A136" s="4"/>
      <c r="B136" s="4"/>
      <c r="C136" s="57"/>
      <c r="D136" s="4"/>
      <c r="E136" s="4"/>
      <c r="F136" s="4"/>
      <c r="G136" s="4"/>
      <c r="H136" s="3"/>
      <c r="I136" s="4"/>
      <c r="J136" s="4"/>
      <c r="K136" s="3"/>
      <c r="L136" s="3"/>
      <c r="M136" s="4"/>
      <c r="N136" s="4"/>
      <c r="O136" s="4"/>
      <c r="P136" s="4"/>
      <c r="Q136" s="3"/>
      <c r="R136" s="4"/>
      <c r="S136" s="4"/>
      <c r="T136" s="4"/>
      <c r="U136" s="3"/>
      <c r="V136" s="4"/>
      <c r="W136" s="3"/>
      <c r="X136" s="3"/>
      <c r="Y136" s="4"/>
      <c r="Z136" s="4"/>
      <c r="AA136" s="4"/>
      <c r="AB136" s="4"/>
      <c r="AC136" s="4"/>
      <c r="AD136" s="4"/>
    </row>
    <row r="137" spans="1:30" ht="15.75" customHeight="1" x14ac:dyDescent="0.25">
      <c r="A137" s="4"/>
      <c r="B137" s="4"/>
      <c r="C137" s="57"/>
      <c r="D137" s="4"/>
      <c r="E137" s="4"/>
      <c r="F137" s="4"/>
      <c r="G137" s="4"/>
      <c r="H137" s="3"/>
      <c r="I137" s="4"/>
      <c r="J137" s="4"/>
      <c r="K137" s="3"/>
      <c r="L137" s="3"/>
      <c r="M137" s="4"/>
      <c r="N137" s="4"/>
      <c r="O137" s="4"/>
      <c r="P137" s="4"/>
      <c r="Q137" s="3"/>
      <c r="R137" s="4"/>
      <c r="S137" s="4"/>
      <c r="T137" s="4"/>
      <c r="U137" s="3"/>
      <c r="V137" s="4"/>
      <c r="W137" s="3"/>
      <c r="X137" s="3"/>
      <c r="Y137" s="4"/>
      <c r="Z137" s="4"/>
      <c r="AA137" s="4"/>
      <c r="AB137" s="4"/>
      <c r="AC137" s="4"/>
      <c r="AD137" s="4"/>
    </row>
    <row r="138" spans="1:30" ht="15.75" customHeight="1" x14ac:dyDescent="0.25">
      <c r="A138" s="4"/>
      <c r="B138" s="4"/>
      <c r="C138" s="57"/>
      <c r="D138" s="4"/>
      <c r="E138" s="4"/>
      <c r="F138" s="4"/>
      <c r="G138" s="4"/>
      <c r="H138" s="3"/>
      <c r="I138" s="4"/>
      <c r="J138" s="4"/>
      <c r="K138" s="3"/>
      <c r="L138" s="3"/>
      <c r="M138" s="4"/>
      <c r="N138" s="4"/>
      <c r="O138" s="4"/>
      <c r="P138" s="4"/>
      <c r="Q138" s="3"/>
      <c r="R138" s="4"/>
      <c r="S138" s="4"/>
      <c r="T138" s="4"/>
      <c r="U138" s="3"/>
      <c r="V138" s="4"/>
      <c r="W138" s="3"/>
      <c r="X138" s="3"/>
      <c r="Y138" s="4"/>
      <c r="Z138" s="4"/>
      <c r="AA138" s="4"/>
      <c r="AB138" s="4"/>
      <c r="AC138" s="4"/>
      <c r="AD138" s="4"/>
    </row>
    <row r="139" spans="1:30" ht="15.75" customHeight="1" x14ac:dyDescent="0.25">
      <c r="A139" s="4"/>
      <c r="B139" s="4"/>
      <c r="C139" s="57"/>
      <c r="D139" s="4"/>
      <c r="E139" s="4"/>
      <c r="F139" s="4"/>
      <c r="G139" s="4"/>
      <c r="H139" s="3"/>
      <c r="I139" s="4"/>
      <c r="J139" s="4"/>
      <c r="K139" s="3"/>
      <c r="L139" s="3"/>
      <c r="M139" s="4"/>
      <c r="N139" s="4"/>
      <c r="O139" s="4"/>
      <c r="P139" s="4"/>
      <c r="Q139" s="3"/>
      <c r="R139" s="4"/>
      <c r="S139" s="4"/>
      <c r="T139" s="4"/>
      <c r="U139" s="3"/>
      <c r="V139" s="4"/>
      <c r="W139" s="3"/>
      <c r="X139" s="3"/>
      <c r="Y139" s="4"/>
      <c r="Z139" s="4"/>
      <c r="AA139" s="4"/>
      <c r="AB139" s="4"/>
      <c r="AC139" s="4"/>
      <c r="AD139" s="4"/>
    </row>
    <row r="140" spans="1:30" ht="15.75" customHeight="1" x14ac:dyDescent="0.25">
      <c r="A140" s="4"/>
      <c r="B140" s="4"/>
      <c r="C140" s="57"/>
      <c r="D140" s="4"/>
      <c r="E140" s="4"/>
      <c r="F140" s="4"/>
      <c r="G140" s="4"/>
      <c r="H140" s="3"/>
      <c r="I140" s="4"/>
      <c r="J140" s="4"/>
      <c r="K140" s="3"/>
      <c r="L140" s="3"/>
      <c r="M140" s="4"/>
      <c r="N140" s="4"/>
      <c r="O140" s="4"/>
      <c r="P140" s="4"/>
      <c r="Q140" s="3"/>
      <c r="R140" s="4"/>
      <c r="S140" s="4"/>
      <c r="T140" s="4"/>
      <c r="U140" s="3"/>
      <c r="V140" s="4"/>
      <c r="W140" s="3"/>
      <c r="X140" s="3"/>
      <c r="Y140" s="4"/>
      <c r="Z140" s="4"/>
      <c r="AA140" s="4"/>
      <c r="AB140" s="4"/>
      <c r="AC140" s="4"/>
      <c r="AD140" s="4"/>
    </row>
    <row r="141" spans="1:30" ht="15.75" customHeight="1" x14ac:dyDescent="0.25">
      <c r="A141" s="4"/>
      <c r="B141" s="4"/>
      <c r="C141" s="57"/>
      <c r="D141" s="4"/>
      <c r="E141" s="4"/>
      <c r="F141" s="4"/>
      <c r="G141" s="4"/>
      <c r="H141" s="3"/>
      <c r="I141" s="4"/>
      <c r="J141" s="4"/>
      <c r="K141" s="3"/>
      <c r="L141" s="3"/>
      <c r="M141" s="4"/>
      <c r="N141" s="4"/>
      <c r="O141" s="4"/>
      <c r="P141" s="4"/>
      <c r="Q141" s="3"/>
      <c r="R141" s="4"/>
      <c r="S141" s="4"/>
      <c r="T141" s="4"/>
      <c r="U141" s="3"/>
      <c r="V141" s="4"/>
      <c r="W141" s="3"/>
      <c r="X141" s="3"/>
      <c r="Y141" s="4"/>
      <c r="Z141" s="4"/>
      <c r="AA141" s="4"/>
      <c r="AB141" s="4"/>
      <c r="AC141" s="4"/>
      <c r="AD141" s="4"/>
    </row>
    <row r="142" spans="1:30" ht="15.75" customHeight="1" x14ac:dyDescent="0.25">
      <c r="A142" s="4"/>
      <c r="B142" s="4"/>
      <c r="C142" s="57"/>
      <c r="D142" s="4"/>
      <c r="E142" s="4"/>
      <c r="F142" s="4"/>
      <c r="G142" s="4"/>
      <c r="H142" s="3"/>
      <c r="I142" s="4"/>
      <c r="J142" s="4"/>
      <c r="K142" s="3"/>
      <c r="L142" s="3"/>
      <c r="M142" s="4"/>
      <c r="N142" s="4"/>
      <c r="O142" s="4"/>
      <c r="P142" s="4"/>
      <c r="Q142" s="3"/>
      <c r="R142" s="4"/>
      <c r="S142" s="4"/>
      <c r="T142" s="4"/>
      <c r="U142" s="3"/>
      <c r="V142" s="4"/>
      <c r="W142" s="3"/>
      <c r="X142" s="3"/>
      <c r="Y142" s="4"/>
      <c r="Z142" s="4"/>
      <c r="AA142" s="4"/>
      <c r="AB142" s="4"/>
      <c r="AC142" s="4"/>
      <c r="AD142" s="4"/>
    </row>
    <row r="143" spans="1:30" ht="15.75" customHeight="1" x14ac:dyDescent="0.25">
      <c r="A143" s="4"/>
      <c r="B143" s="4"/>
      <c r="C143" s="57"/>
      <c r="D143" s="4"/>
      <c r="E143" s="4"/>
      <c r="F143" s="4"/>
      <c r="G143" s="4"/>
      <c r="H143" s="3"/>
      <c r="I143" s="4"/>
      <c r="J143" s="4"/>
      <c r="K143" s="3"/>
      <c r="L143" s="3"/>
      <c r="M143" s="4"/>
      <c r="N143" s="4"/>
      <c r="O143" s="4"/>
      <c r="P143" s="4"/>
      <c r="Q143" s="3"/>
      <c r="R143" s="4"/>
      <c r="S143" s="4"/>
      <c r="T143" s="4"/>
      <c r="U143" s="3"/>
      <c r="V143" s="4"/>
      <c r="W143" s="3"/>
      <c r="X143" s="3"/>
      <c r="Y143" s="4"/>
      <c r="Z143" s="4"/>
      <c r="AA143" s="4"/>
      <c r="AB143" s="4"/>
      <c r="AC143" s="4"/>
      <c r="AD143" s="4"/>
    </row>
    <row r="144" spans="1:30" ht="15.75" customHeight="1" x14ac:dyDescent="0.25">
      <c r="A144" s="4"/>
      <c r="B144" s="4"/>
      <c r="C144" s="57"/>
      <c r="D144" s="4"/>
      <c r="E144" s="4"/>
      <c r="F144" s="4"/>
      <c r="G144" s="4"/>
      <c r="H144" s="3"/>
      <c r="I144" s="4"/>
      <c r="J144" s="4"/>
      <c r="K144" s="3"/>
      <c r="L144" s="3"/>
      <c r="M144" s="4"/>
      <c r="N144" s="4"/>
      <c r="O144" s="4"/>
      <c r="P144" s="4"/>
      <c r="Q144" s="3"/>
      <c r="R144" s="4"/>
      <c r="S144" s="4"/>
      <c r="T144" s="4"/>
      <c r="U144" s="3"/>
      <c r="V144" s="4"/>
      <c r="W144" s="3"/>
      <c r="X144" s="3"/>
      <c r="Y144" s="4"/>
      <c r="Z144" s="4"/>
      <c r="AA144" s="4"/>
      <c r="AB144" s="4"/>
      <c r="AC144" s="4"/>
      <c r="AD144" s="4"/>
    </row>
    <row r="145" spans="1:30" ht="15.75" customHeight="1" x14ac:dyDescent="0.25">
      <c r="A145" s="4"/>
      <c r="B145" s="4"/>
      <c r="C145" s="57"/>
      <c r="D145" s="4"/>
      <c r="E145" s="4"/>
      <c r="F145" s="4"/>
      <c r="G145" s="4"/>
      <c r="H145" s="3"/>
      <c r="I145" s="4"/>
      <c r="J145" s="4"/>
      <c r="K145" s="3"/>
      <c r="L145" s="3"/>
      <c r="M145" s="4"/>
      <c r="N145" s="4"/>
      <c r="O145" s="4"/>
      <c r="P145" s="4"/>
      <c r="Q145" s="3"/>
      <c r="R145" s="4"/>
      <c r="S145" s="4"/>
      <c r="T145" s="4"/>
      <c r="U145" s="3"/>
      <c r="V145" s="4"/>
      <c r="W145" s="3"/>
      <c r="X145" s="3"/>
      <c r="Y145" s="4"/>
      <c r="Z145" s="4"/>
      <c r="AA145" s="4"/>
      <c r="AB145" s="4"/>
      <c r="AC145" s="4"/>
      <c r="AD145" s="4"/>
    </row>
    <row r="146" spans="1:30" ht="15.75" customHeight="1" x14ac:dyDescent="0.25">
      <c r="A146" s="4"/>
      <c r="B146" s="4"/>
      <c r="C146" s="57"/>
      <c r="D146" s="4"/>
      <c r="E146" s="4"/>
      <c r="F146" s="4"/>
      <c r="G146" s="4"/>
      <c r="H146" s="3"/>
      <c r="I146" s="4"/>
      <c r="J146" s="4"/>
      <c r="K146" s="3"/>
      <c r="L146" s="3"/>
      <c r="M146" s="4"/>
      <c r="N146" s="4"/>
      <c r="O146" s="4"/>
      <c r="P146" s="4"/>
      <c r="Q146" s="3"/>
      <c r="R146" s="4"/>
      <c r="S146" s="4"/>
      <c r="T146" s="4"/>
      <c r="U146" s="3"/>
      <c r="V146" s="4"/>
      <c r="W146" s="3"/>
      <c r="X146" s="3"/>
      <c r="Y146" s="4"/>
      <c r="Z146" s="4"/>
      <c r="AA146" s="4"/>
      <c r="AB146" s="4"/>
      <c r="AC146" s="4"/>
      <c r="AD146" s="4"/>
    </row>
    <row r="147" spans="1:30" ht="15.75" customHeight="1" x14ac:dyDescent="0.25">
      <c r="A147" s="4"/>
      <c r="B147" s="4"/>
      <c r="C147" s="57"/>
      <c r="D147" s="4"/>
      <c r="E147" s="4"/>
      <c r="F147" s="4"/>
      <c r="G147" s="4"/>
      <c r="H147" s="3"/>
      <c r="I147" s="4"/>
      <c r="J147" s="4"/>
      <c r="K147" s="3"/>
      <c r="L147" s="3"/>
      <c r="M147" s="4"/>
      <c r="N147" s="4"/>
      <c r="O147" s="4"/>
      <c r="P147" s="4"/>
      <c r="Q147" s="3"/>
      <c r="R147" s="4"/>
      <c r="S147" s="4"/>
      <c r="T147" s="4"/>
      <c r="U147" s="3"/>
      <c r="V147" s="4"/>
      <c r="W147" s="3"/>
      <c r="X147" s="3"/>
      <c r="Y147" s="4"/>
      <c r="Z147" s="4"/>
      <c r="AA147" s="4"/>
      <c r="AB147" s="4"/>
      <c r="AC147" s="4"/>
      <c r="AD147" s="4"/>
    </row>
    <row r="148" spans="1:30" ht="15.75" customHeight="1" x14ac:dyDescent="0.25">
      <c r="A148" s="4"/>
      <c r="B148" s="4"/>
      <c r="C148" s="57"/>
      <c r="D148" s="4"/>
      <c r="E148" s="4"/>
      <c r="F148" s="4"/>
      <c r="G148" s="4"/>
      <c r="H148" s="3"/>
      <c r="I148" s="4"/>
      <c r="J148" s="4"/>
      <c r="K148" s="3"/>
      <c r="L148" s="3"/>
      <c r="M148" s="4"/>
      <c r="N148" s="4"/>
      <c r="O148" s="4"/>
      <c r="P148" s="4"/>
      <c r="Q148" s="3"/>
      <c r="R148" s="4"/>
      <c r="S148" s="4"/>
      <c r="T148" s="4"/>
      <c r="U148" s="3"/>
      <c r="V148" s="4"/>
      <c r="W148" s="3"/>
      <c r="X148" s="3"/>
      <c r="Y148" s="4"/>
      <c r="Z148" s="4"/>
      <c r="AA148" s="4"/>
      <c r="AB148" s="4"/>
      <c r="AC148" s="4"/>
      <c r="AD148" s="4"/>
    </row>
    <row r="149" spans="1:30" ht="15.75" customHeight="1" x14ac:dyDescent="0.25">
      <c r="A149" s="4"/>
      <c r="B149" s="4"/>
      <c r="C149" s="57"/>
      <c r="D149" s="4"/>
      <c r="E149" s="4"/>
      <c r="F149" s="4"/>
      <c r="G149" s="4"/>
      <c r="H149" s="3"/>
      <c r="I149" s="4"/>
      <c r="J149" s="4"/>
      <c r="K149" s="3"/>
      <c r="L149" s="3"/>
      <c r="M149" s="4"/>
      <c r="N149" s="4"/>
      <c r="O149" s="4"/>
      <c r="P149" s="4"/>
      <c r="Q149" s="3"/>
      <c r="R149" s="4"/>
      <c r="S149" s="4"/>
      <c r="T149" s="4"/>
      <c r="U149" s="3"/>
      <c r="V149" s="4"/>
      <c r="W149" s="3"/>
      <c r="X149" s="3"/>
      <c r="Y149" s="4"/>
      <c r="Z149" s="4"/>
      <c r="AA149" s="4"/>
      <c r="AB149" s="4"/>
      <c r="AC149" s="4"/>
      <c r="AD149" s="4"/>
    </row>
    <row r="150" spans="1:30" ht="15.75" customHeight="1" x14ac:dyDescent="0.25">
      <c r="A150" s="4"/>
      <c r="B150" s="4"/>
      <c r="C150" s="57"/>
      <c r="D150" s="4"/>
      <c r="E150" s="4"/>
      <c r="F150" s="4"/>
      <c r="G150" s="4"/>
      <c r="H150" s="3"/>
      <c r="I150" s="4"/>
      <c r="J150" s="4"/>
      <c r="K150" s="3"/>
      <c r="L150" s="3"/>
      <c r="M150" s="4"/>
      <c r="N150" s="4"/>
      <c r="O150" s="4"/>
      <c r="P150" s="4"/>
      <c r="Q150" s="3"/>
      <c r="R150" s="4"/>
      <c r="S150" s="4"/>
      <c r="T150" s="4"/>
      <c r="U150" s="3"/>
      <c r="V150" s="4"/>
      <c r="W150" s="3"/>
      <c r="X150" s="3"/>
      <c r="Y150" s="4"/>
      <c r="Z150" s="4"/>
      <c r="AA150" s="4"/>
      <c r="AB150" s="4"/>
      <c r="AC150" s="4"/>
      <c r="AD150" s="4"/>
    </row>
    <row r="151" spans="1:30" ht="15.75" customHeight="1" x14ac:dyDescent="0.25">
      <c r="A151" s="4"/>
      <c r="B151" s="4"/>
      <c r="C151" s="57"/>
      <c r="D151" s="4"/>
      <c r="E151" s="4"/>
      <c r="F151" s="4"/>
      <c r="G151" s="4"/>
      <c r="H151" s="3"/>
      <c r="I151" s="4"/>
      <c r="J151" s="4"/>
      <c r="K151" s="3"/>
      <c r="L151" s="3"/>
      <c r="M151" s="4"/>
      <c r="N151" s="4"/>
      <c r="O151" s="4"/>
      <c r="P151" s="4"/>
      <c r="Q151" s="3"/>
      <c r="R151" s="4"/>
      <c r="S151" s="4"/>
      <c r="T151" s="4"/>
      <c r="U151" s="3"/>
      <c r="V151" s="4"/>
      <c r="W151" s="3"/>
      <c r="X151" s="3"/>
      <c r="Y151" s="4"/>
      <c r="Z151" s="4"/>
      <c r="AA151" s="4"/>
      <c r="AB151" s="4"/>
      <c r="AC151" s="4"/>
      <c r="AD151" s="4"/>
    </row>
    <row r="152" spans="1:30" ht="15.75" customHeight="1" x14ac:dyDescent="0.25">
      <c r="A152" s="4"/>
      <c r="B152" s="4"/>
      <c r="C152" s="57"/>
      <c r="D152" s="4"/>
      <c r="E152" s="4"/>
      <c r="F152" s="4"/>
      <c r="G152" s="4"/>
      <c r="H152" s="3"/>
      <c r="I152" s="4"/>
      <c r="J152" s="4"/>
      <c r="K152" s="3"/>
      <c r="L152" s="3"/>
      <c r="M152" s="4"/>
      <c r="N152" s="4"/>
      <c r="O152" s="4"/>
      <c r="P152" s="4"/>
      <c r="Q152" s="3"/>
      <c r="R152" s="4"/>
      <c r="S152" s="4"/>
      <c r="T152" s="4"/>
      <c r="U152" s="3"/>
      <c r="V152" s="4"/>
      <c r="W152" s="3"/>
      <c r="X152" s="3"/>
      <c r="Y152" s="4"/>
      <c r="Z152" s="4"/>
      <c r="AA152" s="4"/>
      <c r="AB152" s="4"/>
      <c r="AC152" s="4"/>
      <c r="AD152" s="4"/>
    </row>
    <row r="153" spans="1:30" ht="15.75" customHeight="1" x14ac:dyDescent="0.25">
      <c r="A153" s="4"/>
      <c r="B153" s="4"/>
      <c r="C153" s="57"/>
      <c r="D153" s="4"/>
      <c r="E153" s="4"/>
      <c r="F153" s="4"/>
      <c r="G153" s="4"/>
      <c r="H153" s="3"/>
      <c r="I153" s="4"/>
      <c r="J153" s="4"/>
      <c r="K153" s="3"/>
      <c r="L153" s="3"/>
      <c r="M153" s="4"/>
      <c r="N153" s="4"/>
      <c r="O153" s="4"/>
      <c r="P153" s="4"/>
      <c r="Q153" s="3"/>
      <c r="R153" s="4"/>
      <c r="S153" s="4"/>
      <c r="T153" s="4"/>
      <c r="U153" s="3"/>
      <c r="V153" s="4"/>
      <c r="W153" s="3"/>
      <c r="X153" s="3"/>
      <c r="Y153" s="4"/>
      <c r="Z153" s="4"/>
      <c r="AA153" s="4"/>
      <c r="AB153" s="4"/>
      <c r="AC153" s="4"/>
      <c r="AD153" s="4"/>
    </row>
    <row r="154" spans="1:30" ht="15.75" customHeight="1" x14ac:dyDescent="0.25">
      <c r="A154" s="4"/>
      <c r="B154" s="4"/>
      <c r="C154" s="57"/>
      <c r="D154" s="4"/>
      <c r="E154" s="4"/>
      <c r="F154" s="4"/>
      <c r="G154" s="4"/>
      <c r="H154" s="3"/>
      <c r="I154" s="4"/>
      <c r="J154" s="4"/>
      <c r="K154" s="3"/>
      <c r="L154" s="3"/>
      <c r="M154" s="4"/>
      <c r="N154" s="4"/>
      <c r="O154" s="4"/>
      <c r="P154" s="4"/>
      <c r="Q154" s="3"/>
      <c r="R154" s="4"/>
      <c r="S154" s="4"/>
      <c r="T154" s="4"/>
      <c r="U154" s="3"/>
      <c r="V154" s="4"/>
      <c r="W154" s="3"/>
      <c r="X154" s="3"/>
      <c r="Y154" s="4"/>
      <c r="Z154" s="4"/>
      <c r="AA154" s="4"/>
      <c r="AB154" s="4"/>
      <c r="AC154" s="4"/>
      <c r="AD154" s="4"/>
    </row>
    <row r="155" spans="1:30" ht="15.75" customHeight="1" x14ac:dyDescent="0.25">
      <c r="A155" s="4"/>
      <c r="B155" s="4"/>
      <c r="C155" s="57"/>
      <c r="D155" s="4"/>
      <c r="E155" s="4"/>
      <c r="F155" s="4"/>
      <c r="G155" s="4"/>
      <c r="H155" s="3"/>
      <c r="I155" s="4"/>
      <c r="J155" s="4"/>
      <c r="K155" s="3"/>
      <c r="L155" s="3"/>
      <c r="M155" s="4"/>
      <c r="N155" s="4"/>
      <c r="O155" s="4"/>
      <c r="P155" s="4"/>
      <c r="Q155" s="3"/>
      <c r="R155" s="4"/>
      <c r="S155" s="4"/>
      <c r="T155" s="4"/>
      <c r="U155" s="3"/>
      <c r="V155" s="4"/>
      <c r="W155" s="3"/>
      <c r="X155" s="3"/>
      <c r="Y155" s="4"/>
      <c r="Z155" s="4"/>
      <c r="AA155" s="4"/>
      <c r="AB155" s="4"/>
      <c r="AC155" s="4"/>
      <c r="AD155" s="4"/>
    </row>
    <row r="156" spans="1:30" ht="15.75" customHeight="1" x14ac:dyDescent="0.25">
      <c r="A156" s="4"/>
      <c r="B156" s="4"/>
      <c r="C156" s="57"/>
      <c r="D156" s="4"/>
      <c r="E156" s="4"/>
      <c r="F156" s="4"/>
      <c r="G156" s="4"/>
      <c r="H156" s="3"/>
      <c r="I156" s="4"/>
      <c r="J156" s="4"/>
      <c r="K156" s="3"/>
      <c r="L156" s="3"/>
      <c r="M156" s="4"/>
      <c r="N156" s="4"/>
      <c r="O156" s="4"/>
      <c r="P156" s="4"/>
      <c r="Q156" s="3"/>
      <c r="R156" s="4"/>
      <c r="S156" s="4"/>
      <c r="T156" s="4"/>
      <c r="U156" s="3"/>
      <c r="V156" s="4"/>
      <c r="W156" s="3"/>
      <c r="X156" s="3"/>
      <c r="Y156" s="4"/>
      <c r="Z156" s="4"/>
      <c r="AA156" s="4"/>
      <c r="AB156" s="4"/>
      <c r="AC156" s="4"/>
      <c r="AD156" s="4"/>
    </row>
    <row r="157" spans="1:30" ht="15.75" customHeight="1" x14ac:dyDescent="0.25">
      <c r="A157" s="4"/>
      <c r="B157" s="4"/>
      <c r="C157" s="57"/>
      <c r="D157" s="4"/>
      <c r="E157" s="4"/>
      <c r="F157" s="4"/>
      <c r="G157" s="4"/>
      <c r="H157" s="3"/>
      <c r="I157" s="4"/>
      <c r="J157" s="4"/>
      <c r="K157" s="3"/>
      <c r="L157" s="3"/>
      <c r="M157" s="4"/>
      <c r="N157" s="4"/>
      <c r="O157" s="4"/>
      <c r="P157" s="4"/>
      <c r="Q157" s="3"/>
      <c r="R157" s="4"/>
      <c r="S157" s="4"/>
      <c r="T157" s="4"/>
      <c r="U157" s="3"/>
      <c r="V157" s="4"/>
      <c r="W157" s="3"/>
      <c r="X157" s="3"/>
      <c r="Y157" s="4"/>
      <c r="Z157" s="4"/>
      <c r="AA157" s="4"/>
      <c r="AB157" s="4"/>
      <c r="AC157" s="4"/>
      <c r="AD157" s="4"/>
    </row>
    <row r="158" spans="1:30" ht="15.75" customHeight="1" x14ac:dyDescent="0.25">
      <c r="A158" s="4"/>
      <c r="B158" s="4"/>
      <c r="C158" s="57"/>
      <c r="D158" s="4"/>
      <c r="E158" s="4"/>
      <c r="F158" s="4"/>
      <c r="G158" s="4"/>
      <c r="H158" s="3"/>
      <c r="I158" s="4"/>
      <c r="J158" s="4"/>
      <c r="K158" s="3"/>
      <c r="L158" s="3"/>
      <c r="M158" s="4"/>
      <c r="N158" s="4"/>
      <c r="O158" s="4"/>
      <c r="P158" s="4"/>
      <c r="Q158" s="3"/>
      <c r="R158" s="4"/>
      <c r="S158" s="4"/>
      <c r="T158" s="4"/>
      <c r="U158" s="3"/>
      <c r="V158" s="4"/>
      <c r="W158" s="3"/>
      <c r="X158" s="3"/>
      <c r="Y158" s="4"/>
      <c r="Z158" s="4"/>
      <c r="AA158" s="4"/>
      <c r="AB158" s="4"/>
      <c r="AC158" s="4"/>
      <c r="AD158" s="4"/>
    </row>
    <row r="159" spans="1:30" ht="15.75" customHeight="1" x14ac:dyDescent="0.25">
      <c r="A159" s="4"/>
      <c r="B159" s="4"/>
      <c r="C159" s="57"/>
      <c r="D159" s="4"/>
      <c r="E159" s="4"/>
      <c r="F159" s="4"/>
      <c r="G159" s="4"/>
      <c r="H159" s="3"/>
      <c r="I159" s="4"/>
      <c r="J159" s="4"/>
      <c r="K159" s="3"/>
      <c r="L159" s="3"/>
      <c r="M159" s="4"/>
      <c r="N159" s="4"/>
      <c r="O159" s="4"/>
      <c r="P159" s="4"/>
      <c r="Q159" s="3"/>
      <c r="R159" s="4"/>
      <c r="S159" s="4"/>
      <c r="T159" s="4"/>
      <c r="U159" s="3"/>
      <c r="V159" s="4"/>
      <c r="W159" s="3"/>
      <c r="X159" s="3"/>
      <c r="Y159" s="4"/>
      <c r="Z159" s="4"/>
      <c r="AA159" s="4"/>
      <c r="AB159" s="4"/>
      <c r="AC159" s="4"/>
      <c r="AD159" s="4"/>
    </row>
    <row r="160" spans="1:30" ht="15.75" customHeight="1" x14ac:dyDescent="0.25">
      <c r="A160" s="4"/>
      <c r="B160" s="4"/>
      <c r="C160" s="57"/>
      <c r="D160" s="4"/>
      <c r="E160" s="4"/>
      <c r="F160" s="4"/>
      <c r="G160" s="4"/>
      <c r="H160" s="3"/>
      <c r="I160" s="4"/>
      <c r="J160" s="4"/>
      <c r="K160" s="3"/>
      <c r="L160" s="3"/>
      <c r="M160" s="4"/>
      <c r="N160" s="4"/>
      <c r="O160" s="4"/>
      <c r="P160" s="4"/>
      <c r="Q160" s="3"/>
      <c r="R160" s="4"/>
      <c r="S160" s="4"/>
      <c r="T160" s="4"/>
      <c r="U160" s="3"/>
      <c r="V160" s="4"/>
      <c r="W160" s="3"/>
      <c r="X160" s="3"/>
      <c r="Y160" s="4"/>
      <c r="Z160" s="4"/>
      <c r="AA160" s="4"/>
      <c r="AB160" s="4"/>
      <c r="AC160" s="4"/>
      <c r="AD160" s="4"/>
    </row>
    <row r="161" spans="1:30" ht="15.75" customHeight="1" x14ac:dyDescent="0.25">
      <c r="A161" s="4"/>
      <c r="B161" s="4"/>
      <c r="C161" s="57"/>
      <c r="D161" s="4"/>
      <c r="E161" s="4"/>
      <c r="F161" s="4"/>
      <c r="G161" s="4"/>
      <c r="H161" s="3"/>
      <c r="I161" s="4"/>
      <c r="J161" s="4"/>
      <c r="K161" s="3"/>
      <c r="L161" s="3"/>
      <c r="M161" s="4"/>
      <c r="N161" s="4"/>
      <c r="O161" s="4"/>
      <c r="P161" s="4"/>
      <c r="Q161" s="3"/>
      <c r="R161" s="4"/>
      <c r="S161" s="4"/>
      <c r="T161" s="4"/>
      <c r="U161" s="3"/>
      <c r="V161" s="4"/>
      <c r="W161" s="3"/>
      <c r="X161" s="3"/>
      <c r="Y161" s="4"/>
      <c r="Z161" s="4"/>
      <c r="AA161" s="4"/>
      <c r="AB161" s="4"/>
      <c r="AC161" s="4"/>
      <c r="AD161" s="4"/>
    </row>
    <row r="162" spans="1:30" ht="15.75" customHeight="1" x14ac:dyDescent="0.25">
      <c r="A162" s="4"/>
      <c r="B162" s="4"/>
      <c r="C162" s="57"/>
      <c r="D162" s="4"/>
      <c r="E162" s="4"/>
      <c r="F162" s="4"/>
      <c r="G162" s="4"/>
      <c r="H162" s="3"/>
      <c r="I162" s="4"/>
      <c r="J162" s="4"/>
      <c r="K162" s="3"/>
      <c r="L162" s="3"/>
      <c r="M162" s="4"/>
      <c r="N162" s="4"/>
      <c r="O162" s="4"/>
      <c r="P162" s="4"/>
      <c r="Q162" s="3"/>
      <c r="R162" s="4"/>
      <c r="S162" s="4"/>
      <c r="T162" s="4"/>
      <c r="U162" s="3"/>
      <c r="V162" s="4"/>
      <c r="W162" s="3"/>
      <c r="X162" s="3"/>
      <c r="Y162" s="4"/>
      <c r="Z162" s="4"/>
      <c r="AA162" s="4"/>
      <c r="AB162" s="4"/>
      <c r="AC162" s="4"/>
      <c r="AD162" s="4"/>
    </row>
    <row r="163" spans="1:30" ht="15.75" customHeight="1" x14ac:dyDescent="0.25">
      <c r="A163" s="4"/>
      <c r="B163" s="4"/>
      <c r="C163" s="57"/>
      <c r="D163" s="4"/>
      <c r="E163" s="4"/>
      <c r="F163" s="4"/>
      <c r="G163" s="4"/>
      <c r="H163" s="3"/>
      <c r="I163" s="4"/>
      <c r="J163" s="4"/>
      <c r="K163" s="3"/>
      <c r="L163" s="3"/>
      <c r="M163" s="4"/>
      <c r="N163" s="4"/>
      <c r="O163" s="4"/>
      <c r="P163" s="4"/>
      <c r="Q163" s="3"/>
      <c r="R163" s="4"/>
      <c r="S163" s="4"/>
      <c r="T163" s="4"/>
      <c r="U163" s="3"/>
      <c r="V163" s="4"/>
      <c r="W163" s="3"/>
      <c r="X163" s="3"/>
      <c r="Y163" s="4"/>
      <c r="Z163" s="4"/>
      <c r="AA163" s="4"/>
      <c r="AB163" s="4"/>
      <c r="AC163" s="4"/>
      <c r="AD163" s="4"/>
    </row>
    <row r="164" spans="1:30" ht="15.75" customHeight="1" x14ac:dyDescent="0.25">
      <c r="A164" s="4"/>
      <c r="B164" s="4"/>
      <c r="C164" s="57"/>
      <c r="D164" s="4"/>
      <c r="E164" s="4"/>
      <c r="F164" s="4"/>
      <c r="G164" s="4"/>
      <c r="H164" s="3"/>
      <c r="I164" s="4"/>
      <c r="J164" s="4"/>
      <c r="K164" s="3"/>
      <c r="L164" s="3"/>
      <c r="M164" s="4"/>
      <c r="N164" s="4"/>
      <c r="O164" s="4"/>
      <c r="P164" s="4"/>
      <c r="Q164" s="3"/>
      <c r="R164" s="4"/>
      <c r="S164" s="4"/>
      <c r="T164" s="4"/>
      <c r="U164" s="3"/>
      <c r="V164" s="4"/>
      <c r="W164" s="3"/>
      <c r="X164" s="3"/>
      <c r="Y164" s="4"/>
      <c r="Z164" s="4"/>
      <c r="AA164" s="4"/>
      <c r="AB164" s="4"/>
      <c r="AC164" s="4"/>
      <c r="AD164" s="4"/>
    </row>
    <row r="165" spans="1:30" ht="15.75" customHeight="1" x14ac:dyDescent="0.25">
      <c r="A165" s="4"/>
      <c r="B165" s="4"/>
      <c r="C165" s="57"/>
      <c r="D165" s="4"/>
      <c r="E165" s="4"/>
      <c r="F165" s="4"/>
      <c r="G165" s="4"/>
      <c r="H165" s="3"/>
      <c r="I165" s="4"/>
      <c r="J165" s="4"/>
      <c r="K165" s="3"/>
      <c r="L165" s="3"/>
      <c r="M165" s="4"/>
      <c r="N165" s="4"/>
      <c r="O165" s="4"/>
      <c r="P165" s="4"/>
      <c r="Q165" s="3"/>
      <c r="R165" s="4"/>
      <c r="S165" s="4"/>
      <c r="T165" s="4"/>
      <c r="U165" s="3"/>
      <c r="V165" s="4"/>
      <c r="W165" s="3"/>
      <c r="X165" s="3"/>
      <c r="Y165" s="4"/>
      <c r="Z165" s="4"/>
      <c r="AA165" s="4"/>
      <c r="AB165" s="4"/>
      <c r="AC165" s="4"/>
      <c r="AD165" s="4"/>
    </row>
    <row r="166" spans="1:30" ht="15.75" customHeight="1" x14ac:dyDescent="0.25">
      <c r="A166" s="4"/>
      <c r="B166" s="4"/>
      <c r="C166" s="57"/>
      <c r="D166" s="4"/>
      <c r="E166" s="4"/>
      <c r="F166" s="4"/>
      <c r="G166" s="4"/>
      <c r="H166" s="3"/>
      <c r="I166" s="4"/>
      <c r="J166" s="4"/>
      <c r="K166" s="3"/>
      <c r="L166" s="3"/>
      <c r="M166" s="4"/>
      <c r="N166" s="4"/>
      <c r="O166" s="4"/>
      <c r="P166" s="4"/>
      <c r="Q166" s="3"/>
      <c r="R166" s="4"/>
      <c r="S166" s="4"/>
      <c r="T166" s="4"/>
      <c r="U166" s="3"/>
      <c r="V166" s="4"/>
      <c r="W166" s="3"/>
      <c r="X166" s="3"/>
      <c r="Y166" s="4"/>
      <c r="Z166" s="4"/>
      <c r="AA166" s="4"/>
      <c r="AB166" s="4"/>
      <c r="AC166" s="4"/>
      <c r="AD166" s="4"/>
    </row>
    <row r="167" spans="1:30" ht="15.75" customHeight="1" x14ac:dyDescent="0.25">
      <c r="A167" s="4"/>
      <c r="B167" s="4"/>
      <c r="C167" s="57"/>
      <c r="D167" s="4"/>
      <c r="E167" s="4"/>
      <c r="F167" s="4"/>
      <c r="G167" s="4"/>
      <c r="H167" s="3"/>
      <c r="I167" s="4"/>
      <c r="J167" s="4"/>
      <c r="K167" s="3"/>
      <c r="L167" s="3"/>
      <c r="M167" s="4"/>
      <c r="N167" s="4"/>
      <c r="O167" s="4"/>
      <c r="P167" s="4"/>
      <c r="Q167" s="3"/>
      <c r="R167" s="4"/>
      <c r="S167" s="4"/>
      <c r="T167" s="4"/>
      <c r="U167" s="3"/>
      <c r="V167" s="4"/>
      <c r="W167" s="3"/>
      <c r="X167" s="3"/>
      <c r="Y167" s="4"/>
      <c r="Z167" s="4"/>
      <c r="AA167" s="4"/>
      <c r="AB167" s="4"/>
      <c r="AC167" s="4"/>
      <c r="AD167" s="4"/>
    </row>
    <row r="168" spans="1:30" ht="15.75" customHeight="1" x14ac:dyDescent="0.25">
      <c r="A168" s="4"/>
      <c r="B168" s="4"/>
      <c r="C168" s="57"/>
      <c r="D168" s="4"/>
      <c r="E168" s="4"/>
      <c r="F168" s="4"/>
      <c r="G168" s="4"/>
      <c r="H168" s="3"/>
      <c r="I168" s="4"/>
      <c r="J168" s="4"/>
      <c r="K168" s="3"/>
      <c r="L168" s="3"/>
      <c r="M168" s="4"/>
      <c r="N168" s="4"/>
      <c r="O168" s="4"/>
      <c r="P168" s="4"/>
      <c r="Q168" s="3"/>
      <c r="R168" s="4"/>
      <c r="S168" s="4"/>
      <c r="T168" s="4"/>
      <c r="U168" s="3"/>
      <c r="V168" s="4"/>
      <c r="W168" s="3"/>
      <c r="X168" s="3"/>
      <c r="Y168" s="4"/>
      <c r="Z168" s="4"/>
      <c r="AA168" s="4"/>
      <c r="AB168" s="4"/>
      <c r="AC168" s="4"/>
      <c r="AD168" s="4"/>
    </row>
    <row r="169" spans="1:30" ht="15.75" customHeight="1" x14ac:dyDescent="0.25">
      <c r="A169" s="4"/>
      <c r="B169" s="4"/>
      <c r="C169" s="57"/>
      <c r="D169" s="4"/>
      <c r="E169" s="4"/>
      <c r="F169" s="4"/>
      <c r="G169" s="4"/>
      <c r="H169" s="3"/>
      <c r="I169" s="4"/>
      <c r="J169" s="4"/>
      <c r="K169" s="3"/>
      <c r="L169" s="3"/>
      <c r="M169" s="4"/>
      <c r="N169" s="4"/>
      <c r="O169" s="4"/>
      <c r="P169" s="4"/>
      <c r="Q169" s="3"/>
      <c r="R169" s="4"/>
      <c r="S169" s="4"/>
      <c r="T169" s="4"/>
      <c r="U169" s="3"/>
      <c r="V169" s="4"/>
      <c r="W169" s="3"/>
      <c r="X169" s="3"/>
      <c r="Y169" s="4"/>
      <c r="Z169" s="4"/>
      <c r="AA169" s="4"/>
      <c r="AB169" s="4"/>
      <c r="AC169" s="4"/>
      <c r="AD169" s="4"/>
    </row>
    <row r="170" spans="1:30" ht="15.75" customHeight="1" x14ac:dyDescent="0.25">
      <c r="A170" s="4"/>
      <c r="B170" s="4"/>
      <c r="C170" s="57"/>
      <c r="D170" s="4"/>
      <c r="E170" s="4"/>
      <c r="F170" s="4"/>
      <c r="G170" s="4"/>
      <c r="H170" s="3"/>
      <c r="I170" s="4"/>
      <c r="J170" s="4"/>
      <c r="K170" s="3"/>
      <c r="L170" s="3"/>
      <c r="M170" s="4"/>
      <c r="N170" s="4"/>
      <c r="O170" s="4"/>
      <c r="P170" s="4"/>
      <c r="Q170" s="3"/>
      <c r="R170" s="4"/>
      <c r="S170" s="4"/>
      <c r="T170" s="4"/>
      <c r="U170" s="3"/>
      <c r="V170" s="4"/>
      <c r="W170" s="3"/>
      <c r="X170" s="3"/>
      <c r="Y170" s="4"/>
      <c r="Z170" s="4"/>
      <c r="AA170" s="4"/>
      <c r="AB170" s="4"/>
      <c r="AC170" s="4"/>
      <c r="AD170" s="4"/>
    </row>
    <row r="171" spans="1:30" ht="15.75" customHeight="1" x14ac:dyDescent="0.25">
      <c r="A171" s="4"/>
      <c r="B171" s="4"/>
      <c r="C171" s="57"/>
      <c r="D171" s="4"/>
      <c r="E171" s="4"/>
      <c r="F171" s="4"/>
      <c r="G171" s="4"/>
      <c r="H171" s="3"/>
      <c r="I171" s="4"/>
      <c r="J171" s="4"/>
      <c r="K171" s="3"/>
      <c r="L171" s="3"/>
      <c r="M171" s="4"/>
      <c r="N171" s="4"/>
      <c r="O171" s="4"/>
      <c r="P171" s="4"/>
      <c r="Q171" s="3"/>
      <c r="R171" s="4"/>
      <c r="S171" s="4"/>
      <c r="T171" s="4"/>
      <c r="U171" s="3"/>
      <c r="V171" s="4"/>
      <c r="W171" s="3"/>
      <c r="X171" s="3"/>
      <c r="Y171" s="4"/>
      <c r="Z171" s="4"/>
      <c r="AA171" s="4"/>
      <c r="AB171" s="4"/>
      <c r="AC171" s="4"/>
      <c r="AD171" s="4"/>
    </row>
    <row r="172" spans="1:30" ht="15.75" customHeight="1" x14ac:dyDescent="0.25">
      <c r="A172" s="4"/>
      <c r="B172" s="4"/>
      <c r="C172" s="57"/>
      <c r="D172" s="4"/>
      <c r="E172" s="4"/>
      <c r="F172" s="4"/>
      <c r="G172" s="4"/>
      <c r="H172" s="3"/>
      <c r="I172" s="4"/>
      <c r="J172" s="4"/>
      <c r="K172" s="3"/>
      <c r="L172" s="3"/>
      <c r="M172" s="4"/>
      <c r="N172" s="4"/>
      <c r="O172" s="4"/>
      <c r="P172" s="4"/>
      <c r="Q172" s="3"/>
      <c r="R172" s="4"/>
      <c r="S172" s="4"/>
      <c r="T172" s="4"/>
      <c r="U172" s="3"/>
      <c r="V172" s="4"/>
      <c r="W172" s="3"/>
      <c r="X172" s="3"/>
      <c r="Y172" s="4"/>
      <c r="Z172" s="4"/>
      <c r="AA172" s="4"/>
      <c r="AB172" s="4"/>
      <c r="AC172" s="4"/>
      <c r="AD172" s="4"/>
    </row>
    <row r="173" spans="1:30" ht="15.75" customHeight="1" x14ac:dyDescent="0.25">
      <c r="A173" s="4"/>
      <c r="B173" s="4"/>
      <c r="C173" s="57"/>
      <c r="D173" s="4"/>
      <c r="E173" s="4"/>
      <c r="F173" s="4"/>
      <c r="G173" s="4"/>
      <c r="H173" s="3"/>
      <c r="I173" s="4"/>
      <c r="J173" s="4"/>
      <c r="K173" s="3"/>
      <c r="L173" s="3"/>
      <c r="M173" s="4"/>
      <c r="N173" s="4"/>
      <c r="O173" s="4"/>
      <c r="P173" s="4"/>
      <c r="Q173" s="3"/>
      <c r="R173" s="4"/>
      <c r="S173" s="4"/>
      <c r="T173" s="4"/>
      <c r="U173" s="3"/>
      <c r="V173" s="4"/>
      <c r="W173" s="3"/>
      <c r="X173" s="3"/>
      <c r="Y173" s="4"/>
      <c r="Z173" s="4"/>
      <c r="AA173" s="4"/>
      <c r="AB173" s="4"/>
      <c r="AC173" s="4"/>
      <c r="AD173" s="4"/>
    </row>
    <row r="174" spans="1:30" ht="15.75" customHeight="1" x14ac:dyDescent="0.25">
      <c r="A174" s="4"/>
      <c r="B174" s="4"/>
      <c r="C174" s="57"/>
      <c r="D174" s="4"/>
      <c r="E174" s="4"/>
      <c r="F174" s="4"/>
      <c r="G174" s="4"/>
      <c r="H174" s="3"/>
      <c r="I174" s="4"/>
      <c r="J174" s="4"/>
      <c r="K174" s="3"/>
      <c r="L174" s="3"/>
      <c r="M174" s="4"/>
      <c r="N174" s="4"/>
      <c r="O174" s="4"/>
      <c r="P174" s="4"/>
      <c r="Q174" s="3"/>
      <c r="R174" s="4"/>
      <c r="S174" s="4"/>
      <c r="T174" s="4"/>
      <c r="U174" s="3"/>
      <c r="V174" s="4"/>
      <c r="W174" s="3"/>
      <c r="X174" s="3"/>
      <c r="Y174" s="4"/>
      <c r="Z174" s="4"/>
      <c r="AA174" s="4"/>
      <c r="AB174" s="4"/>
      <c r="AC174" s="4"/>
      <c r="AD174" s="4"/>
    </row>
    <row r="175" spans="1:30" ht="15.75" customHeight="1" x14ac:dyDescent="0.25">
      <c r="A175" s="4"/>
      <c r="B175" s="4"/>
      <c r="C175" s="57"/>
      <c r="D175" s="4"/>
      <c r="E175" s="4"/>
      <c r="F175" s="4"/>
      <c r="G175" s="4"/>
      <c r="H175" s="3"/>
      <c r="I175" s="4"/>
      <c r="J175" s="4"/>
      <c r="K175" s="3"/>
      <c r="L175" s="3"/>
      <c r="M175" s="4"/>
      <c r="N175" s="4"/>
      <c r="O175" s="4"/>
      <c r="P175" s="4"/>
      <c r="Q175" s="3"/>
      <c r="R175" s="4"/>
      <c r="S175" s="4"/>
      <c r="T175" s="4"/>
      <c r="U175" s="3"/>
      <c r="V175" s="4"/>
      <c r="W175" s="3"/>
      <c r="X175" s="3"/>
      <c r="Y175" s="4"/>
      <c r="Z175" s="4"/>
      <c r="AA175" s="4"/>
      <c r="AB175" s="4"/>
      <c r="AC175" s="4"/>
      <c r="AD175" s="4"/>
    </row>
    <row r="176" spans="1:30" ht="15.75" customHeight="1" x14ac:dyDescent="0.25">
      <c r="A176" s="4"/>
      <c r="B176" s="4"/>
      <c r="C176" s="57"/>
      <c r="D176" s="4"/>
      <c r="E176" s="4"/>
      <c r="F176" s="4"/>
      <c r="G176" s="4"/>
      <c r="H176" s="3"/>
      <c r="I176" s="4"/>
      <c r="J176" s="4"/>
      <c r="K176" s="3"/>
      <c r="L176" s="3"/>
      <c r="M176" s="4"/>
      <c r="N176" s="4"/>
      <c r="O176" s="4"/>
      <c r="P176" s="4"/>
      <c r="Q176" s="3"/>
      <c r="R176" s="4"/>
      <c r="S176" s="4"/>
      <c r="T176" s="4"/>
      <c r="U176" s="3"/>
      <c r="V176" s="4"/>
      <c r="W176" s="3"/>
      <c r="X176" s="3"/>
      <c r="Y176" s="4"/>
      <c r="Z176" s="4"/>
      <c r="AA176" s="4"/>
      <c r="AB176" s="4"/>
      <c r="AC176" s="4"/>
      <c r="AD176" s="4"/>
    </row>
    <row r="177" spans="1:30" ht="15.75" customHeight="1" x14ac:dyDescent="0.25">
      <c r="A177" s="4"/>
      <c r="B177" s="4"/>
      <c r="C177" s="57"/>
      <c r="D177" s="4"/>
      <c r="E177" s="4"/>
      <c r="F177" s="4"/>
      <c r="G177" s="4"/>
      <c r="H177" s="3"/>
      <c r="I177" s="4"/>
      <c r="J177" s="4"/>
      <c r="K177" s="3"/>
      <c r="L177" s="3"/>
      <c r="M177" s="4"/>
      <c r="N177" s="4"/>
      <c r="O177" s="4"/>
      <c r="P177" s="4"/>
      <c r="Q177" s="3"/>
      <c r="R177" s="4"/>
      <c r="S177" s="4"/>
      <c r="T177" s="4"/>
      <c r="U177" s="3"/>
      <c r="V177" s="4"/>
      <c r="W177" s="3"/>
      <c r="X177" s="3"/>
      <c r="Y177" s="4"/>
      <c r="Z177" s="4"/>
      <c r="AA177" s="4"/>
      <c r="AB177" s="4"/>
      <c r="AC177" s="4"/>
      <c r="AD177" s="4"/>
    </row>
    <row r="178" spans="1:30" ht="15.75" customHeight="1" x14ac:dyDescent="0.25">
      <c r="A178" s="4"/>
      <c r="B178" s="4"/>
      <c r="C178" s="57"/>
      <c r="D178" s="4"/>
      <c r="E178" s="4"/>
      <c r="F178" s="4"/>
      <c r="G178" s="4"/>
      <c r="H178" s="3"/>
      <c r="I178" s="4"/>
      <c r="J178" s="4"/>
      <c r="K178" s="3"/>
      <c r="L178" s="3"/>
      <c r="M178" s="4"/>
      <c r="N178" s="4"/>
      <c r="O178" s="4"/>
      <c r="P178" s="4"/>
      <c r="Q178" s="3"/>
      <c r="R178" s="4"/>
      <c r="S178" s="4"/>
      <c r="T178" s="4"/>
      <c r="U178" s="3"/>
      <c r="V178" s="4"/>
      <c r="W178" s="3"/>
      <c r="X178" s="3"/>
      <c r="Y178" s="4"/>
      <c r="Z178" s="4"/>
      <c r="AA178" s="4"/>
      <c r="AB178" s="4"/>
      <c r="AC178" s="4"/>
      <c r="AD178" s="4"/>
    </row>
    <row r="179" spans="1:30" ht="15.75" customHeight="1" x14ac:dyDescent="0.25">
      <c r="A179" s="4"/>
      <c r="B179" s="4"/>
      <c r="C179" s="57"/>
      <c r="D179" s="4"/>
      <c r="E179" s="4"/>
      <c r="F179" s="4"/>
      <c r="G179" s="4"/>
      <c r="H179" s="3"/>
      <c r="I179" s="4"/>
      <c r="J179" s="4"/>
      <c r="K179" s="3"/>
      <c r="L179" s="3"/>
      <c r="M179" s="4"/>
      <c r="N179" s="4"/>
      <c r="O179" s="4"/>
      <c r="P179" s="4"/>
      <c r="Q179" s="3"/>
      <c r="R179" s="4"/>
      <c r="S179" s="4"/>
      <c r="T179" s="4"/>
      <c r="U179" s="3"/>
      <c r="V179" s="4"/>
      <c r="W179" s="3"/>
      <c r="X179" s="3"/>
      <c r="Y179" s="4"/>
      <c r="Z179" s="4"/>
      <c r="AA179" s="4"/>
      <c r="AB179" s="4"/>
      <c r="AC179" s="4"/>
      <c r="AD179" s="4"/>
    </row>
    <row r="180" spans="1:30" ht="15.75" customHeight="1" x14ac:dyDescent="0.25">
      <c r="A180" s="4"/>
      <c r="B180" s="4"/>
      <c r="C180" s="57"/>
      <c r="D180" s="4"/>
      <c r="E180" s="4"/>
      <c r="F180" s="4"/>
      <c r="G180" s="4"/>
      <c r="H180" s="3"/>
      <c r="I180" s="4"/>
      <c r="J180" s="4"/>
      <c r="K180" s="3"/>
      <c r="L180" s="3"/>
      <c r="M180" s="4"/>
      <c r="N180" s="4"/>
      <c r="O180" s="4"/>
      <c r="P180" s="4"/>
      <c r="Q180" s="3"/>
      <c r="R180" s="4"/>
      <c r="S180" s="4"/>
      <c r="T180" s="4"/>
      <c r="U180" s="3"/>
      <c r="V180" s="4"/>
      <c r="W180" s="3"/>
      <c r="X180" s="3"/>
      <c r="Y180" s="4"/>
      <c r="Z180" s="4"/>
      <c r="AA180" s="4"/>
      <c r="AB180" s="4"/>
      <c r="AC180" s="4"/>
      <c r="AD180" s="4"/>
    </row>
    <row r="181" spans="1:30" ht="15.75" customHeight="1" x14ac:dyDescent="0.25">
      <c r="A181" s="4"/>
      <c r="B181" s="4"/>
      <c r="C181" s="57"/>
      <c r="D181" s="4"/>
      <c r="E181" s="4"/>
      <c r="F181" s="4"/>
      <c r="G181" s="4"/>
      <c r="H181" s="3"/>
      <c r="I181" s="4"/>
      <c r="J181" s="4"/>
      <c r="K181" s="3"/>
      <c r="L181" s="3"/>
      <c r="M181" s="4"/>
      <c r="N181" s="4"/>
      <c r="O181" s="4"/>
      <c r="P181" s="4"/>
      <c r="Q181" s="3"/>
      <c r="R181" s="4"/>
      <c r="S181" s="4"/>
      <c r="T181" s="4"/>
      <c r="U181" s="3"/>
      <c r="V181" s="4"/>
      <c r="W181" s="3"/>
      <c r="X181" s="3"/>
      <c r="Y181" s="4"/>
      <c r="Z181" s="4"/>
      <c r="AA181" s="4"/>
      <c r="AB181" s="4"/>
      <c r="AC181" s="4"/>
      <c r="AD181" s="4"/>
    </row>
    <row r="182" spans="1:30" ht="15.75" customHeight="1" x14ac:dyDescent="0.25">
      <c r="A182" s="4"/>
      <c r="B182" s="4"/>
      <c r="C182" s="57"/>
      <c r="D182" s="4"/>
      <c r="E182" s="4"/>
      <c r="F182" s="4"/>
      <c r="G182" s="4"/>
      <c r="H182" s="3"/>
      <c r="I182" s="4"/>
      <c r="J182" s="4"/>
      <c r="K182" s="3"/>
      <c r="L182" s="3"/>
      <c r="M182" s="4"/>
      <c r="N182" s="4"/>
      <c r="O182" s="4"/>
      <c r="P182" s="4"/>
      <c r="Q182" s="3"/>
      <c r="R182" s="4"/>
      <c r="S182" s="4"/>
      <c r="T182" s="4"/>
      <c r="U182" s="3"/>
      <c r="V182" s="4"/>
      <c r="W182" s="3"/>
      <c r="X182" s="3"/>
      <c r="Y182" s="4"/>
      <c r="Z182" s="4"/>
      <c r="AA182" s="4"/>
      <c r="AB182" s="4"/>
      <c r="AC182" s="4"/>
      <c r="AD182" s="4"/>
    </row>
    <row r="183" spans="1:30" ht="15.75" customHeight="1" x14ac:dyDescent="0.25">
      <c r="A183" s="4"/>
      <c r="B183" s="4"/>
      <c r="C183" s="57"/>
      <c r="D183" s="4"/>
      <c r="E183" s="4"/>
      <c r="F183" s="4"/>
      <c r="G183" s="4"/>
      <c r="H183" s="3"/>
      <c r="I183" s="4"/>
      <c r="J183" s="4"/>
      <c r="K183" s="3"/>
      <c r="L183" s="3"/>
      <c r="M183" s="4"/>
      <c r="N183" s="4"/>
      <c r="O183" s="4"/>
      <c r="P183" s="4"/>
      <c r="Q183" s="3"/>
      <c r="R183" s="4"/>
      <c r="S183" s="4"/>
      <c r="T183" s="4"/>
      <c r="U183" s="3"/>
      <c r="V183" s="4"/>
      <c r="W183" s="3"/>
      <c r="X183" s="3"/>
      <c r="Y183" s="4"/>
      <c r="Z183" s="4"/>
      <c r="AA183" s="4"/>
      <c r="AB183" s="4"/>
      <c r="AC183" s="4"/>
      <c r="AD183" s="4"/>
    </row>
    <row r="184" spans="1:30" ht="15.75" customHeight="1" x14ac:dyDescent="0.25">
      <c r="A184" s="4"/>
      <c r="B184" s="4"/>
      <c r="C184" s="57"/>
      <c r="D184" s="4"/>
      <c r="E184" s="4"/>
      <c r="F184" s="4"/>
      <c r="G184" s="4"/>
      <c r="H184" s="3"/>
      <c r="I184" s="4"/>
      <c r="J184" s="4"/>
      <c r="K184" s="3"/>
      <c r="L184" s="3"/>
      <c r="M184" s="4"/>
      <c r="N184" s="4"/>
      <c r="O184" s="4"/>
      <c r="P184" s="4"/>
      <c r="Q184" s="3"/>
      <c r="R184" s="4"/>
      <c r="S184" s="4"/>
      <c r="T184" s="4"/>
      <c r="U184" s="3"/>
      <c r="V184" s="4"/>
      <c r="W184" s="3"/>
      <c r="X184" s="3"/>
      <c r="Y184" s="4"/>
      <c r="Z184" s="4"/>
      <c r="AA184" s="4"/>
      <c r="AB184" s="4"/>
      <c r="AC184" s="4"/>
      <c r="AD184" s="4"/>
    </row>
    <row r="185" spans="1:30" ht="15.75" customHeight="1" x14ac:dyDescent="0.25">
      <c r="A185" s="4"/>
      <c r="B185" s="4"/>
      <c r="C185" s="57"/>
      <c r="D185" s="4"/>
      <c r="E185" s="4"/>
      <c r="F185" s="4"/>
      <c r="G185" s="4"/>
      <c r="H185" s="3"/>
      <c r="I185" s="4"/>
      <c r="J185" s="4"/>
      <c r="K185" s="3"/>
      <c r="L185" s="3"/>
      <c r="M185" s="4"/>
      <c r="N185" s="4"/>
      <c r="O185" s="4"/>
      <c r="P185" s="4"/>
      <c r="Q185" s="3"/>
      <c r="R185" s="4"/>
      <c r="S185" s="4"/>
      <c r="T185" s="4"/>
      <c r="U185" s="3"/>
      <c r="V185" s="4"/>
      <c r="W185" s="3"/>
      <c r="X185" s="3"/>
      <c r="Y185" s="4"/>
      <c r="Z185" s="4"/>
      <c r="AA185" s="4"/>
      <c r="AB185" s="4"/>
      <c r="AC185" s="4"/>
      <c r="AD185" s="4"/>
    </row>
    <row r="186" spans="1:30" ht="15.75" customHeight="1" x14ac:dyDescent="0.25">
      <c r="A186" s="4"/>
      <c r="B186" s="4"/>
      <c r="C186" s="57"/>
      <c r="D186" s="4"/>
      <c r="E186" s="4"/>
      <c r="F186" s="4"/>
      <c r="G186" s="4"/>
      <c r="H186" s="3"/>
      <c r="I186" s="4"/>
      <c r="J186" s="4"/>
      <c r="K186" s="3"/>
      <c r="L186" s="3"/>
      <c r="M186" s="4"/>
      <c r="N186" s="4"/>
      <c r="O186" s="4"/>
      <c r="P186" s="4"/>
      <c r="Q186" s="3"/>
      <c r="R186" s="4"/>
      <c r="S186" s="4"/>
      <c r="T186" s="4"/>
      <c r="U186" s="3"/>
      <c r="V186" s="4"/>
      <c r="W186" s="3"/>
      <c r="X186" s="3"/>
      <c r="Y186" s="4"/>
      <c r="Z186" s="4"/>
      <c r="AA186" s="4"/>
      <c r="AB186" s="4"/>
      <c r="AC186" s="4"/>
      <c r="AD186" s="4"/>
    </row>
    <row r="187" spans="1:30" ht="15.75" customHeight="1" x14ac:dyDescent="0.25">
      <c r="A187" s="4"/>
      <c r="B187" s="4"/>
      <c r="C187" s="57"/>
      <c r="D187" s="4"/>
      <c r="E187" s="4"/>
      <c r="F187" s="4"/>
      <c r="G187" s="4"/>
      <c r="H187" s="3"/>
      <c r="I187" s="4"/>
      <c r="J187" s="4"/>
      <c r="K187" s="3"/>
      <c r="L187" s="3"/>
      <c r="M187" s="4"/>
      <c r="N187" s="4"/>
      <c r="O187" s="4"/>
      <c r="P187" s="4"/>
      <c r="Q187" s="3"/>
      <c r="R187" s="4"/>
      <c r="S187" s="4"/>
      <c r="T187" s="4"/>
      <c r="U187" s="3"/>
      <c r="V187" s="4"/>
      <c r="W187" s="3"/>
      <c r="X187" s="3"/>
      <c r="Y187" s="4"/>
      <c r="Z187" s="4"/>
      <c r="AA187" s="4"/>
      <c r="AB187" s="4"/>
      <c r="AC187" s="4"/>
      <c r="AD187" s="4"/>
    </row>
    <row r="188" spans="1:30" ht="15.75" customHeight="1" x14ac:dyDescent="0.25">
      <c r="A188" s="4"/>
      <c r="B188" s="4"/>
      <c r="C188" s="57"/>
      <c r="D188" s="4"/>
      <c r="E188" s="4"/>
      <c r="F188" s="4"/>
      <c r="G188" s="4"/>
      <c r="H188" s="3"/>
      <c r="I188" s="4"/>
      <c r="J188" s="4"/>
      <c r="K188" s="3"/>
      <c r="L188" s="3"/>
      <c r="M188" s="4"/>
      <c r="N188" s="4"/>
      <c r="O188" s="4"/>
      <c r="P188" s="4"/>
      <c r="Q188" s="3"/>
      <c r="R188" s="4"/>
      <c r="S188" s="4"/>
      <c r="T188" s="4"/>
      <c r="U188" s="3"/>
      <c r="V188" s="4"/>
      <c r="W188" s="3"/>
      <c r="X188" s="3"/>
      <c r="Y188" s="4"/>
      <c r="Z188" s="4"/>
      <c r="AA188" s="4"/>
      <c r="AB188" s="4"/>
      <c r="AC188" s="4"/>
      <c r="AD188" s="4"/>
    </row>
    <row r="189" spans="1:30" ht="15.75" customHeight="1" x14ac:dyDescent="0.25">
      <c r="A189" s="4"/>
      <c r="B189" s="4"/>
      <c r="C189" s="57"/>
      <c r="D189" s="4"/>
      <c r="E189" s="4"/>
      <c r="F189" s="4"/>
      <c r="G189" s="4"/>
      <c r="H189" s="3"/>
      <c r="I189" s="4"/>
      <c r="J189" s="4"/>
      <c r="K189" s="3"/>
      <c r="L189" s="3"/>
      <c r="M189" s="4"/>
      <c r="N189" s="4"/>
      <c r="O189" s="4"/>
      <c r="P189" s="4"/>
      <c r="Q189" s="3"/>
      <c r="R189" s="4"/>
      <c r="S189" s="4"/>
      <c r="T189" s="4"/>
      <c r="U189" s="3"/>
      <c r="V189" s="4"/>
      <c r="W189" s="3"/>
      <c r="X189" s="3"/>
      <c r="Y189" s="4"/>
      <c r="Z189" s="4"/>
      <c r="AA189" s="4"/>
      <c r="AB189" s="4"/>
      <c r="AC189" s="4"/>
      <c r="AD189" s="4"/>
    </row>
    <row r="190" spans="1:30" ht="15.75" customHeight="1" x14ac:dyDescent="0.25">
      <c r="A190" s="4"/>
      <c r="B190" s="4"/>
      <c r="C190" s="57"/>
      <c r="D190" s="4"/>
      <c r="E190" s="4"/>
      <c r="F190" s="4"/>
      <c r="G190" s="4"/>
      <c r="H190" s="3"/>
      <c r="I190" s="4"/>
      <c r="J190" s="4"/>
      <c r="K190" s="3"/>
      <c r="L190" s="3"/>
      <c r="M190" s="4"/>
      <c r="N190" s="4"/>
      <c r="O190" s="4"/>
      <c r="P190" s="4"/>
      <c r="Q190" s="3"/>
      <c r="R190" s="4"/>
      <c r="S190" s="4"/>
      <c r="T190" s="4"/>
      <c r="U190" s="3"/>
      <c r="V190" s="4"/>
      <c r="W190" s="3"/>
      <c r="X190" s="3"/>
      <c r="Y190" s="4"/>
      <c r="Z190" s="4"/>
      <c r="AA190" s="4"/>
      <c r="AB190" s="4"/>
      <c r="AC190" s="4"/>
      <c r="AD190" s="4"/>
    </row>
    <row r="191" spans="1:30" ht="15.75" customHeight="1" x14ac:dyDescent="0.25">
      <c r="A191" s="4"/>
      <c r="B191" s="4"/>
      <c r="C191" s="57"/>
      <c r="D191" s="4"/>
      <c r="E191" s="4"/>
      <c r="F191" s="4"/>
      <c r="G191" s="4"/>
      <c r="H191" s="3"/>
      <c r="I191" s="4"/>
      <c r="J191" s="4"/>
      <c r="K191" s="3"/>
      <c r="L191" s="3"/>
      <c r="M191" s="4"/>
      <c r="N191" s="4"/>
      <c r="O191" s="4"/>
      <c r="P191" s="4"/>
      <c r="Q191" s="3"/>
      <c r="R191" s="4"/>
      <c r="S191" s="4"/>
      <c r="T191" s="4"/>
      <c r="U191" s="3"/>
      <c r="V191" s="4"/>
      <c r="W191" s="3"/>
      <c r="X191" s="3"/>
      <c r="Y191" s="4"/>
      <c r="Z191" s="4"/>
      <c r="AA191" s="4"/>
      <c r="AB191" s="4"/>
      <c r="AC191" s="4"/>
      <c r="AD191" s="4"/>
    </row>
    <row r="192" spans="1:30" ht="15.75" customHeight="1" x14ac:dyDescent="0.25">
      <c r="A192" s="4"/>
      <c r="B192" s="4"/>
      <c r="C192" s="57"/>
      <c r="D192" s="4"/>
      <c r="E192" s="4"/>
      <c r="F192" s="4"/>
      <c r="G192" s="4"/>
      <c r="H192" s="3"/>
      <c r="I192" s="4"/>
      <c r="J192" s="4"/>
      <c r="K192" s="3"/>
      <c r="L192" s="3"/>
      <c r="M192" s="4"/>
      <c r="N192" s="4"/>
      <c r="O192" s="4"/>
      <c r="P192" s="4"/>
      <c r="Q192" s="3"/>
      <c r="R192" s="4"/>
      <c r="S192" s="4"/>
      <c r="T192" s="4"/>
      <c r="U192" s="3"/>
      <c r="V192" s="4"/>
      <c r="W192" s="3"/>
      <c r="X192" s="3"/>
      <c r="Y192" s="4"/>
      <c r="Z192" s="4"/>
      <c r="AA192" s="4"/>
      <c r="AB192" s="4"/>
      <c r="AC192" s="4"/>
      <c r="AD192" s="4"/>
    </row>
    <row r="193" spans="1:30" ht="15.75" customHeight="1" x14ac:dyDescent="0.25">
      <c r="A193" s="4"/>
      <c r="B193" s="4"/>
      <c r="C193" s="57"/>
      <c r="D193" s="4"/>
      <c r="E193" s="4"/>
      <c r="F193" s="4"/>
      <c r="G193" s="4"/>
      <c r="H193" s="3"/>
      <c r="I193" s="4"/>
      <c r="J193" s="4"/>
      <c r="K193" s="3"/>
      <c r="L193" s="3"/>
      <c r="M193" s="4"/>
      <c r="N193" s="4"/>
      <c r="O193" s="4"/>
      <c r="P193" s="4"/>
      <c r="Q193" s="3"/>
      <c r="R193" s="4"/>
      <c r="S193" s="4"/>
      <c r="T193" s="4"/>
      <c r="U193" s="3"/>
      <c r="V193" s="4"/>
      <c r="W193" s="3"/>
      <c r="X193" s="3"/>
      <c r="Y193" s="4"/>
      <c r="Z193" s="4"/>
      <c r="AA193" s="4"/>
      <c r="AB193" s="4"/>
      <c r="AC193" s="4"/>
      <c r="AD193" s="4"/>
    </row>
    <row r="194" spans="1:30" ht="15.75" customHeight="1" x14ac:dyDescent="0.25">
      <c r="A194" s="4"/>
      <c r="B194" s="4"/>
      <c r="C194" s="57"/>
      <c r="D194" s="4"/>
      <c r="E194" s="4"/>
      <c r="F194" s="4"/>
      <c r="G194" s="4"/>
      <c r="H194" s="3"/>
      <c r="I194" s="4"/>
      <c r="J194" s="4"/>
      <c r="K194" s="3"/>
      <c r="L194" s="3"/>
      <c r="M194" s="4"/>
      <c r="N194" s="4"/>
      <c r="O194" s="4"/>
      <c r="P194" s="4"/>
      <c r="Q194" s="3"/>
      <c r="R194" s="4"/>
      <c r="S194" s="4"/>
      <c r="T194" s="4"/>
      <c r="U194" s="3"/>
      <c r="V194" s="4"/>
      <c r="W194" s="3"/>
      <c r="X194" s="3"/>
      <c r="Y194" s="4"/>
      <c r="Z194" s="4"/>
      <c r="AA194" s="4"/>
      <c r="AB194" s="4"/>
      <c r="AC194" s="4"/>
      <c r="AD194" s="4"/>
    </row>
    <row r="195" spans="1:30" ht="15.75" customHeight="1" x14ac:dyDescent="0.25">
      <c r="A195" s="4"/>
      <c r="B195" s="4"/>
      <c r="C195" s="57"/>
      <c r="D195" s="4"/>
      <c r="E195" s="4"/>
      <c r="F195" s="4"/>
      <c r="G195" s="4"/>
      <c r="H195" s="3"/>
      <c r="I195" s="4"/>
      <c r="J195" s="4"/>
      <c r="K195" s="3"/>
      <c r="L195" s="3"/>
      <c r="M195" s="4"/>
      <c r="N195" s="4"/>
      <c r="O195" s="4"/>
      <c r="P195" s="4"/>
      <c r="Q195" s="3"/>
      <c r="R195" s="4"/>
      <c r="S195" s="4"/>
      <c r="T195" s="4"/>
      <c r="U195" s="3"/>
      <c r="V195" s="4"/>
      <c r="W195" s="3"/>
      <c r="X195" s="3"/>
      <c r="Y195" s="4"/>
      <c r="Z195" s="4"/>
      <c r="AA195" s="4"/>
      <c r="AB195" s="4"/>
      <c r="AC195" s="4"/>
      <c r="AD195" s="4"/>
    </row>
    <row r="196" spans="1:30" ht="15.75" customHeight="1" x14ac:dyDescent="0.25">
      <c r="A196" s="4"/>
      <c r="B196" s="4"/>
      <c r="C196" s="57"/>
      <c r="D196" s="4"/>
      <c r="E196" s="4"/>
      <c r="F196" s="4"/>
      <c r="G196" s="4"/>
      <c r="H196" s="3"/>
      <c r="I196" s="4"/>
      <c r="J196" s="4"/>
      <c r="K196" s="3"/>
      <c r="L196" s="3"/>
      <c r="M196" s="4"/>
      <c r="N196" s="4"/>
      <c r="O196" s="4"/>
      <c r="P196" s="4"/>
      <c r="Q196" s="3"/>
      <c r="R196" s="4"/>
      <c r="S196" s="4"/>
      <c r="T196" s="4"/>
      <c r="U196" s="3"/>
      <c r="V196" s="4"/>
      <c r="W196" s="3"/>
      <c r="X196" s="3"/>
      <c r="Y196" s="4"/>
      <c r="Z196" s="4"/>
      <c r="AA196" s="4"/>
      <c r="AB196" s="4"/>
      <c r="AC196" s="4"/>
      <c r="AD196" s="4"/>
    </row>
    <row r="197" spans="1:30" ht="15.75" customHeight="1" x14ac:dyDescent="0.25">
      <c r="A197" s="4"/>
      <c r="B197" s="4"/>
      <c r="C197" s="57"/>
      <c r="D197" s="4"/>
      <c r="E197" s="4"/>
      <c r="F197" s="4"/>
      <c r="G197" s="4"/>
      <c r="H197" s="3"/>
      <c r="I197" s="4"/>
      <c r="J197" s="4"/>
      <c r="K197" s="3"/>
      <c r="L197" s="3"/>
      <c r="M197" s="4"/>
      <c r="N197" s="4"/>
      <c r="O197" s="4"/>
      <c r="P197" s="4"/>
      <c r="Q197" s="3"/>
      <c r="R197" s="4"/>
      <c r="S197" s="4"/>
      <c r="T197" s="4"/>
      <c r="U197" s="3"/>
      <c r="V197" s="4"/>
      <c r="W197" s="3"/>
      <c r="X197" s="3"/>
      <c r="Y197" s="4"/>
      <c r="Z197" s="4"/>
      <c r="AA197" s="4"/>
      <c r="AB197" s="4"/>
      <c r="AC197" s="4"/>
      <c r="AD197" s="4"/>
    </row>
    <row r="198" spans="1:30" ht="15.75" customHeight="1" x14ac:dyDescent="0.25">
      <c r="A198" s="4"/>
      <c r="B198" s="4"/>
      <c r="C198" s="57"/>
      <c r="D198" s="4"/>
      <c r="E198" s="4"/>
      <c r="F198" s="4"/>
      <c r="G198" s="4"/>
      <c r="H198" s="3"/>
      <c r="I198" s="4"/>
      <c r="J198" s="4"/>
      <c r="K198" s="3"/>
      <c r="L198" s="3"/>
      <c r="M198" s="4"/>
      <c r="N198" s="4"/>
      <c r="O198" s="4"/>
      <c r="P198" s="4"/>
      <c r="Q198" s="3"/>
      <c r="R198" s="4"/>
      <c r="S198" s="4"/>
      <c r="T198" s="4"/>
      <c r="U198" s="3"/>
      <c r="V198" s="4"/>
      <c r="W198" s="3"/>
      <c r="X198" s="3"/>
      <c r="Y198" s="4"/>
      <c r="Z198" s="4"/>
      <c r="AA198" s="4"/>
      <c r="AB198" s="4"/>
      <c r="AC198" s="4"/>
      <c r="AD198" s="4"/>
    </row>
    <row r="199" spans="1:30" ht="15.75" customHeight="1" x14ac:dyDescent="0.25">
      <c r="A199" s="4"/>
      <c r="B199" s="4"/>
      <c r="C199" s="57"/>
      <c r="D199" s="4"/>
      <c r="E199" s="4"/>
      <c r="F199" s="4"/>
      <c r="G199" s="4"/>
      <c r="H199" s="3"/>
      <c r="I199" s="4"/>
      <c r="J199" s="4"/>
      <c r="K199" s="3"/>
      <c r="L199" s="3"/>
      <c r="M199" s="4"/>
      <c r="N199" s="4"/>
      <c r="O199" s="4"/>
      <c r="P199" s="4"/>
      <c r="Q199" s="3"/>
      <c r="R199" s="4"/>
      <c r="S199" s="4"/>
      <c r="T199" s="4"/>
      <c r="U199" s="3"/>
      <c r="V199" s="4"/>
      <c r="W199" s="3"/>
      <c r="X199" s="3"/>
      <c r="Y199" s="4"/>
      <c r="Z199" s="4"/>
      <c r="AA199" s="4"/>
      <c r="AB199" s="4"/>
      <c r="AC199" s="4"/>
      <c r="AD199" s="4"/>
    </row>
    <row r="200" spans="1:30" ht="15.75" customHeight="1" x14ac:dyDescent="0.25">
      <c r="A200" s="4"/>
      <c r="B200" s="4"/>
      <c r="C200" s="57"/>
      <c r="D200" s="4"/>
      <c r="E200" s="4"/>
      <c r="F200" s="4"/>
      <c r="G200" s="4"/>
      <c r="H200" s="3"/>
      <c r="I200" s="4"/>
      <c r="J200" s="4"/>
      <c r="K200" s="3"/>
      <c r="L200" s="3"/>
      <c r="M200" s="4"/>
      <c r="N200" s="4"/>
      <c r="O200" s="4"/>
      <c r="P200" s="4"/>
      <c r="Q200" s="3"/>
      <c r="R200" s="4"/>
      <c r="S200" s="4"/>
      <c r="T200" s="4"/>
      <c r="U200" s="3"/>
      <c r="V200" s="4"/>
      <c r="W200" s="3"/>
      <c r="X200" s="3"/>
      <c r="Y200" s="4"/>
      <c r="Z200" s="4"/>
      <c r="AA200" s="4"/>
      <c r="AB200" s="4"/>
      <c r="AC200" s="4"/>
      <c r="AD200" s="4"/>
    </row>
    <row r="201" spans="1:30" ht="15.75" customHeight="1" x14ac:dyDescent="0.25">
      <c r="A201" s="4"/>
      <c r="B201" s="4"/>
      <c r="C201" s="57"/>
      <c r="D201" s="4"/>
      <c r="E201" s="4"/>
      <c r="F201" s="4"/>
      <c r="G201" s="4"/>
      <c r="H201" s="3"/>
      <c r="I201" s="4"/>
      <c r="J201" s="4"/>
      <c r="K201" s="3"/>
      <c r="L201" s="3"/>
      <c r="M201" s="4"/>
      <c r="N201" s="4"/>
      <c r="O201" s="4"/>
      <c r="P201" s="4"/>
      <c r="Q201" s="3"/>
      <c r="R201" s="4"/>
      <c r="S201" s="4"/>
      <c r="T201" s="4"/>
      <c r="U201" s="3"/>
      <c r="V201" s="4"/>
      <c r="W201" s="3"/>
      <c r="X201" s="3"/>
      <c r="Y201" s="4"/>
      <c r="Z201" s="4"/>
      <c r="AA201" s="4"/>
      <c r="AB201" s="4"/>
      <c r="AC201" s="4"/>
      <c r="AD201" s="4"/>
    </row>
    <row r="202" spans="1:30" ht="15.75" customHeight="1" x14ac:dyDescent="0.25">
      <c r="A202" s="4"/>
      <c r="B202" s="4"/>
      <c r="C202" s="57"/>
      <c r="D202" s="4"/>
      <c r="E202" s="4"/>
      <c r="F202" s="4"/>
      <c r="G202" s="4"/>
      <c r="H202" s="3"/>
      <c r="I202" s="4"/>
      <c r="J202" s="4"/>
      <c r="K202" s="3"/>
      <c r="L202" s="3"/>
      <c r="M202" s="4"/>
      <c r="N202" s="4"/>
      <c r="O202" s="4"/>
      <c r="P202" s="4"/>
      <c r="Q202" s="3"/>
      <c r="R202" s="4"/>
      <c r="S202" s="4"/>
      <c r="T202" s="4"/>
      <c r="U202" s="3"/>
      <c r="V202" s="4"/>
      <c r="W202" s="3"/>
      <c r="X202" s="3"/>
      <c r="Y202" s="4"/>
      <c r="Z202" s="4"/>
      <c r="AA202" s="4"/>
      <c r="AB202" s="4"/>
      <c r="AC202" s="4"/>
      <c r="AD202" s="4"/>
    </row>
    <row r="203" spans="1:30" ht="15.75" customHeight="1" x14ac:dyDescent="0.25">
      <c r="A203" s="4"/>
      <c r="B203" s="4"/>
      <c r="C203" s="57"/>
      <c r="D203" s="4"/>
      <c r="E203" s="4"/>
      <c r="F203" s="4"/>
      <c r="G203" s="4"/>
      <c r="H203" s="3"/>
      <c r="I203" s="4"/>
      <c r="J203" s="4"/>
      <c r="K203" s="3"/>
      <c r="L203" s="3"/>
      <c r="M203" s="4"/>
      <c r="N203" s="4"/>
      <c r="O203" s="4"/>
      <c r="P203" s="4"/>
      <c r="Q203" s="3"/>
      <c r="R203" s="4"/>
      <c r="S203" s="4"/>
      <c r="T203" s="4"/>
      <c r="U203" s="3"/>
      <c r="V203" s="4"/>
      <c r="W203" s="3"/>
      <c r="X203" s="3"/>
      <c r="Y203" s="4"/>
      <c r="Z203" s="4"/>
      <c r="AA203" s="4"/>
      <c r="AB203" s="4"/>
      <c r="AC203" s="4"/>
      <c r="AD203" s="4"/>
    </row>
    <row r="204" spans="1:30" ht="15.75" customHeight="1" x14ac:dyDescent="0.25">
      <c r="A204" s="4"/>
      <c r="B204" s="4"/>
      <c r="C204" s="57"/>
      <c r="D204" s="4"/>
      <c r="E204" s="4"/>
      <c r="F204" s="4"/>
      <c r="G204" s="4"/>
      <c r="H204" s="3"/>
      <c r="I204" s="4"/>
      <c r="J204" s="4"/>
      <c r="K204" s="3"/>
      <c r="L204" s="3"/>
      <c r="M204" s="4"/>
      <c r="N204" s="4"/>
      <c r="O204" s="4"/>
      <c r="P204" s="4"/>
      <c r="Q204" s="3"/>
      <c r="R204" s="4"/>
      <c r="S204" s="4"/>
      <c r="T204" s="4"/>
      <c r="U204" s="3"/>
      <c r="V204" s="4"/>
      <c r="W204" s="3"/>
      <c r="X204" s="3"/>
      <c r="Y204" s="4"/>
      <c r="Z204" s="4"/>
      <c r="AA204" s="4"/>
      <c r="AB204" s="4"/>
      <c r="AC204" s="4"/>
      <c r="AD204" s="4"/>
    </row>
    <row r="205" spans="1:30" ht="15.75" customHeight="1" x14ac:dyDescent="0.25">
      <c r="A205" s="4"/>
      <c r="B205" s="4"/>
      <c r="C205" s="57"/>
      <c r="D205" s="4"/>
      <c r="E205" s="4"/>
      <c r="F205" s="4"/>
      <c r="G205" s="4"/>
      <c r="H205" s="3"/>
      <c r="I205" s="4"/>
      <c r="J205" s="4"/>
      <c r="K205" s="3"/>
      <c r="L205" s="3"/>
      <c r="M205" s="4"/>
      <c r="N205" s="4"/>
      <c r="O205" s="4"/>
      <c r="P205" s="4"/>
      <c r="Q205" s="3"/>
      <c r="R205" s="4"/>
      <c r="S205" s="4"/>
      <c r="T205" s="4"/>
      <c r="U205" s="3"/>
      <c r="V205" s="4"/>
      <c r="W205" s="3"/>
      <c r="X205" s="3"/>
      <c r="Y205" s="4"/>
      <c r="Z205" s="4"/>
      <c r="AA205" s="4"/>
      <c r="AB205" s="4"/>
      <c r="AC205" s="4"/>
      <c r="AD205" s="4"/>
    </row>
    <row r="206" spans="1:30" ht="15.75" customHeight="1" x14ac:dyDescent="0.25">
      <c r="A206" s="4"/>
      <c r="B206" s="4"/>
      <c r="C206" s="57"/>
      <c r="D206" s="4"/>
      <c r="E206" s="4"/>
      <c r="F206" s="4"/>
      <c r="G206" s="4"/>
      <c r="H206" s="3"/>
      <c r="I206" s="4"/>
      <c r="J206" s="4"/>
      <c r="K206" s="3"/>
      <c r="L206" s="3"/>
      <c r="M206" s="4"/>
      <c r="N206" s="4"/>
      <c r="O206" s="4"/>
      <c r="P206" s="4"/>
      <c r="Q206" s="3"/>
      <c r="R206" s="4"/>
      <c r="S206" s="4"/>
      <c r="T206" s="4"/>
      <c r="U206" s="3"/>
      <c r="V206" s="4"/>
      <c r="W206" s="3"/>
      <c r="X206" s="3"/>
      <c r="Y206" s="4"/>
      <c r="Z206" s="4"/>
      <c r="AA206" s="4"/>
      <c r="AB206" s="4"/>
      <c r="AC206" s="4"/>
      <c r="AD206" s="4"/>
    </row>
    <row r="207" spans="1:30" ht="15.75" customHeight="1" x14ac:dyDescent="0.25">
      <c r="A207" s="4"/>
      <c r="B207" s="4"/>
      <c r="C207" s="57"/>
      <c r="D207" s="4"/>
      <c r="E207" s="4"/>
      <c r="F207" s="4"/>
      <c r="G207" s="4"/>
      <c r="H207" s="3"/>
      <c r="I207" s="4"/>
      <c r="J207" s="4"/>
      <c r="K207" s="3"/>
      <c r="L207" s="3"/>
      <c r="M207" s="4"/>
      <c r="N207" s="4"/>
      <c r="O207" s="4"/>
      <c r="P207" s="4"/>
      <c r="Q207" s="3"/>
      <c r="R207" s="4"/>
      <c r="S207" s="4"/>
      <c r="T207" s="4"/>
      <c r="U207" s="3"/>
      <c r="V207" s="4"/>
      <c r="W207" s="3"/>
      <c r="X207" s="3"/>
      <c r="Y207" s="4"/>
      <c r="Z207" s="4"/>
      <c r="AA207" s="4"/>
      <c r="AB207" s="4"/>
      <c r="AC207" s="4"/>
      <c r="AD207" s="4"/>
    </row>
    <row r="208" spans="1:30" ht="15.75" customHeight="1" x14ac:dyDescent="0.25">
      <c r="A208" s="4"/>
      <c r="B208" s="4"/>
      <c r="C208" s="57"/>
      <c r="D208" s="4"/>
      <c r="E208" s="4"/>
      <c r="F208" s="4"/>
      <c r="G208" s="4"/>
      <c r="H208" s="3"/>
      <c r="I208" s="4"/>
      <c r="J208" s="4"/>
      <c r="K208" s="3"/>
      <c r="L208" s="3"/>
      <c r="M208" s="4"/>
      <c r="N208" s="4"/>
      <c r="O208" s="4"/>
      <c r="P208" s="4"/>
      <c r="Q208" s="3"/>
      <c r="R208" s="4"/>
      <c r="S208" s="4"/>
      <c r="T208" s="4"/>
      <c r="U208" s="3"/>
      <c r="V208" s="4"/>
      <c r="W208" s="3"/>
      <c r="X208" s="3"/>
      <c r="Y208" s="4"/>
      <c r="Z208" s="4"/>
      <c r="AA208" s="4"/>
      <c r="AB208" s="4"/>
      <c r="AC208" s="4"/>
      <c r="AD208" s="4"/>
    </row>
    <row r="209" spans="1:30" ht="15.75" customHeight="1" x14ac:dyDescent="0.25">
      <c r="A209" s="4"/>
      <c r="B209" s="4"/>
      <c r="C209" s="57"/>
      <c r="D209" s="4"/>
      <c r="E209" s="4"/>
      <c r="F209" s="4"/>
      <c r="G209" s="4"/>
      <c r="H209" s="3"/>
      <c r="I209" s="4"/>
      <c r="J209" s="4"/>
      <c r="K209" s="3"/>
      <c r="L209" s="3"/>
      <c r="M209" s="4"/>
      <c r="N209" s="4"/>
      <c r="O209" s="4"/>
      <c r="P209" s="4"/>
      <c r="Q209" s="3"/>
      <c r="R209" s="4"/>
      <c r="S209" s="4"/>
      <c r="T209" s="4"/>
      <c r="U209" s="3"/>
      <c r="V209" s="4"/>
      <c r="W209" s="3"/>
      <c r="X209" s="3"/>
      <c r="Y209" s="4"/>
      <c r="Z209" s="4"/>
      <c r="AA209" s="4"/>
      <c r="AB209" s="4"/>
      <c r="AC209" s="4"/>
      <c r="AD209" s="4"/>
    </row>
    <row r="210" spans="1:30" ht="15.75" customHeight="1" x14ac:dyDescent="0.25">
      <c r="A210" s="4"/>
      <c r="B210" s="4"/>
      <c r="C210" s="57"/>
      <c r="D210" s="4"/>
      <c r="E210" s="4"/>
      <c r="F210" s="4"/>
      <c r="G210" s="4"/>
      <c r="H210" s="3"/>
      <c r="I210" s="4"/>
      <c r="J210" s="4"/>
      <c r="K210" s="3"/>
      <c r="L210" s="3"/>
      <c r="M210" s="4"/>
      <c r="N210" s="4"/>
      <c r="O210" s="4"/>
      <c r="P210" s="4"/>
      <c r="Q210" s="3"/>
      <c r="R210" s="4"/>
      <c r="S210" s="4"/>
      <c r="T210" s="4"/>
      <c r="U210" s="3"/>
      <c r="V210" s="4"/>
      <c r="W210" s="3"/>
      <c r="X210" s="3"/>
      <c r="Y210" s="4"/>
      <c r="Z210" s="4"/>
      <c r="AA210" s="4"/>
      <c r="AB210" s="4"/>
      <c r="AC210" s="4"/>
      <c r="AD210" s="4"/>
    </row>
    <row r="211" spans="1:30" ht="15.75" customHeight="1" x14ac:dyDescent="0.25">
      <c r="A211" s="4"/>
      <c r="B211" s="4"/>
      <c r="C211" s="57"/>
      <c r="D211" s="4"/>
      <c r="E211" s="4"/>
      <c r="F211" s="4"/>
      <c r="G211" s="4"/>
      <c r="H211" s="3"/>
      <c r="I211" s="4"/>
      <c r="J211" s="4"/>
      <c r="K211" s="3"/>
      <c r="L211" s="3"/>
      <c r="M211" s="4"/>
      <c r="N211" s="4"/>
      <c r="O211" s="4"/>
      <c r="P211" s="4"/>
      <c r="Q211" s="3"/>
      <c r="R211" s="4"/>
      <c r="S211" s="4"/>
      <c r="T211" s="4"/>
      <c r="U211" s="3"/>
      <c r="V211" s="4"/>
      <c r="W211" s="3"/>
      <c r="X211" s="3"/>
      <c r="Y211" s="4"/>
      <c r="Z211" s="4"/>
      <c r="AA211" s="4"/>
      <c r="AB211" s="4"/>
      <c r="AC211" s="4"/>
      <c r="AD211" s="4"/>
    </row>
    <row r="212" spans="1:30" ht="15.75" customHeight="1" x14ac:dyDescent="0.25">
      <c r="A212" s="4"/>
      <c r="B212" s="4"/>
      <c r="C212" s="57"/>
      <c r="D212" s="4"/>
      <c r="E212" s="4"/>
      <c r="F212" s="4"/>
      <c r="G212" s="4"/>
      <c r="H212" s="3"/>
      <c r="I212" s="4"/>
      <c r="J212" s="4"/>
      <c r="K212" s="3"/>
      <c r="L212" s="3"/>
      <c r="M212" s="4"/>
      <c r="N212" s="4"/>
      <c r="O212" s="4"/>
      <c r="P212" s="4"/>
      <c r="Q212" s="3"/>
      <c r="R212" s="4"/>
      <c r="S212" s="4"/>
      <c r="T212" s="4"/>
      <c r="U212" s="3"/>
      <c r="V212" s="4"/>
      <c r="W212" s="3"/>
      <c r="X212" s="3"/>
      <c r="Y212" s="4"/>
      <c r="Z212" s="4"/>
      <c r="AA212" s="4"/>
      <c r="AB212" s="4"/>
      <c r="AC212" s="4"/>
      <c r="AD212" s="4"/>
    </row>
    <row r="213" spans="1:30" ht="15.75" customHeight="1" x14ac:dyDescent="0.25">
      <c r="A213" s="4"/>
      <c r="B213" s="4"/>
      <c r="C213" s="57"/>
      <c r="D213" s="4"/>
      <c r="E213" s="4"/>
      <c r="F213" s="4"/>
      <c r="G213" s="4"/>
      <c r="H213" s="3"/>
      <c r="I213" s="4"/>
      <c r="J213" s="4"/>
      <c r="K213" s="3"/>
      <c r="L213" s="3"/>
      <c r="M213" s="4"/>
      <c r="N213" s="4"/>
      <c r="O213" s="4"/>
      <c r="P213" s="4"/>
      <c r="Q213" s="3"/>
      <c r="R213" s="4"/>
      <c r="S213" s="4"/>
      <c r="T213" s="4"/>
      <c r="U213" s="3"/>
      <c r="V213" s="4"/>
      <c r="W213" s="3"/>
      <c r="X213" s="3"/>
      <c r="Y213" s="4"/>
      <c r="Z213" s="4"/>
      <c r="AA213" s="4"/>
      <c r="AB213" s="4"/>
      <c r="AC213" s="4"/>
      <c r="AD213" s="4"/>
    </row>
    <row r="214" spans="1:30" ht="15.75" customHeight="1" x14ac:dyDescent="0.25">
      <c r="A214" s="4"/>
      <c r="B214" s="4"/>
      <c r="C214" s="57"/>
      <c r="D214" s="4"/>
      <c r="E214" s="4"/>
      <c r="F214" s="4"/>
      <c r="G214" s="4"/>
      <c r="H214" s="3"/>
      <c r="I214" s="4"/>
      <c r="J214" s="4"/>
      <c r="K214" s="3"/>
      <c r="L214" s="3"/>
      <c r="M214" s="4"/>
      <c r="N214" s="4"/>
      <c r="O214" s="4"/>
      <c r="P214" s="4"/>
      <c r="Q214" s="3"/>
      <c r="R214" s="4"/>
      <c r="S214" s="4"/>
      <c r="T214" s="4"/>
      <c r="U214" s="3"/>
      <c r="V214" s="4"/>
      <c r="W214" s="3"/>
      <c r="X214" s="3"/>
      <c r="Y214" s="4"/>
      <c r="Z214" s="4"/>
      <c r="AA214" s="4"/>
      <c r="AB214" s="4"/>
      <c r="AC214" s="4"/>
      <c r="AD214" s="4"/>
    </row>
    <row r="215" spans="1:30" ht="15.75" customHeight="1" x14ac:dyDescent="0.25">
      <c r="A215" s="4"/>
      <c r="B215" s="4"/>
      <c r="C215" s="57"/>
      <c r="D215" s="4"/>
      <c r="E215" s="4"/>
      <c r="F215" s="4"/>
      <c r="G215" s="4"/>
      <c r="H215" s="3"/>
      <c r="I215" s="4"/>
      <c r="J215" s="4"/>
      <c r="K215" s="3"/>
      <c r="L215" s="3"/>
      <c r="M215" s="4"/>
      <c r="N215" s="4"/>
      <c r="O215" s="4"/>
      <c r="P215" s="4"/>
      <c r="Q215" s="3"/>
      <c r="R215" s="4"/>
      <c r="S215" s="4"/>
      <c r="T215" s="4"/>
      <c r="U215" s="3"/>
      <c r="V215" s="4"/>
      <c r="W215" s="3"/>
      <c r="X215" s="3"/>
      <c r="Y215" s="4"/>
      <c r="Z215" s="4"/>
      <c r="AA215" s="4"/>
      <c r="AB215" s="4"/>
      <c r="AC215" s="4"/>
      <c r="AD215" s="4"/>
    </row>
    <row r="216" spans="1:30" ht="15.75" customHeight="1" x14ac:dyDescent="0.25">
      <c r="A216" s="4"/>
      <c r="B216" s="4"/>
      <c r="C216" s="57"/>
      <c r="D216" s="4"/>
      <c r="E216" s="4"/>
      <c r="F216" s="4"/>
      <c r="G216" s="4"/>
      <c r="H216" s="3"/>
      <c r="I216" s="4"/>
      <c r="J216" s="4"/>
      <c r="K216" s="3"/>
      <c r="L216" s="3"/>
      <c r="M216" s="4"/>
      <c r="N216" s="4"/>
      <c r="O216" s="4"/>
      <c r="P216" s="4"/>
      <c r="Q216" s="3"/>
      <c r="R216" s="4"/>
      <c r="S216" s="4"/>
      <c r="T216" s="4"/>
      <c r="U216" s="3"/>
      <c r="V216" s="4"/>
      <c r="W216" s="3"/>
      <c r="X216" s="3"/>
      <c r="Y216" s="4"/>
      <c r="Z216" s="4"/>
      <c r="AA216" s="4"/>
      <c r="AB216" s="4"/>
      <c r="AC216" s="4"/>
      <c r="AD216" s="4"/>
    </row>
    <row r="217" spans="1:30" ht="15.75" customHeight="1" x14ac:dyDescent="0.25">
      <c r="A217" s="4"/>
      <c r="B217" s="4"/>
      <c r="C217" s="57"/>
      <c r="D217" s="4"/>
      <c r="E217" s="4"/>
      <c r="F217" s="4"/>
      <c r="G217" s="4"/>
      <c r="H217" s="3"/>
      <c r="I217" s="4"/>
      <c r="J217" s="4"/>
      <c r="K217" s="3"/>
      <c r="L217" s="3"/>
      <c r="M217" s="4"/>
      <c r="N217" s="4"/>
      <c r="O217" s="4"/>
      <c r="P217" s="4"/>
      <c r="Q217" s="3"/>
      <c r="R217" s="4"/>
      <c r="S217" s="4"/>
      <c r="T217" s="4"/>
      <c r="U217" s="3"/>
      <c r="V217" s="4"/>
      <c r="W217" s="3"/>
      <c r="X217" s="3"/>
      <c r="Y217" s="4"/>
      <c r="Z217" s="4"/>
      <c r="AA217" s="4"/>
      <c r="AB217" s="4"/>
      <c r="AC217" s="4"/>
      <c r="AD217" s="4"/>
    </row>
    <row r="218" spans="1:30" ht="15.75" customHeight="1" x14ac:dyDescent="0.25">
      <c r="A218" s="4"/>
      <c r="B218" s="4"/>
      <c r="C218" s="57"/>
      <c r="D218" s="4"/>
      <c r="E218" s="4"/>
      <c r="F218" s="4"/>
      <c r="G218" s="4"/>
      <c r="H218" s="3"/>
      <c r="I218" s="4"/>
      <c r="J218" s="4"/>
      <c r="K218" s="3"/>
      <c r="L218" s="3"/>
      <c r="M218" s="4"/>
      <c r="N218" s="4"/>
      <c r="O218" s="4"/>
      <c r="P218" s="4"/>
      <c r="Q218" s="3"/>
      <c r="R218" s="4"/>
      <c r="S218" s="4"/>
      <c r="T218" s="4"/>
      <c r="U218" s="3"/>
      <c r="V218" s="4"/>
      <c r="W218" s="3"/>
      <c r="X218" s="3"/>
      <c r="Y218" s="4"/>
      <c r="Z218" s="4"/>
      <c r="AA218" s="4"/>
      <c r="AB218" s="4"/>
      <c r="AC218" s="4"/>
      <c r="AD218" s="4"/>
    </row>
    <row r="219" spans="1:30" ht="15.75" customHeight="1" x14ac:dyDescent="0.25">
      <c r="A219" s="4"/>
      <c r="B219" s="4"/>
      <c r="C219" s="57"/>
      <c r="D219" s="4"/>
      <c r="E219" s="4"/>
      <c r="F219" s="4"/>
      <c r="G219" s="4"/>
      <c r="H219" s="3"/>
      <c r="I219" s="4"/>
      <c r="J219" s="4"/>
      <c r="K219" s="3"/>
      <c r="L219" s="3"/>
      <c r="M219" s="4"/>
      <c r="N219" s="4"/>
      <c r="O219" s="4"/>
      <c r="P219" s="4"/>
      <c r="Q219" s="3"/>
      <c r="R219" s="4"/>
      <c r="S219" s="4"/>
      <c r="T219" s="4"/>
      <c r="U219" s="3"/>
      <c r="V219" s="4"/>
      <c r="W219" s="3"/>
      <c r="X219" s="3"/>
      <c r="Y219" s="4"/>
      <c r="Z219" s="4"/>
      <c r="AA219" s="4"/>
      <c r="AB219" s="4"/>
      <c r="AC219" s="4"/>
      <c r="AD219" s="4"/>
    </row>
    <row r="220" spans="1:30" ht="15.75" customHeight="1" x14ac:dyDescent="0.25">
      <c r="A220" s="4"/>
      <c r="B220" s="4"/>
      <c r="C220" s="57"/>
      <c r="D220" s="4"/>
      <c r="E220" s="4"/>
      <c r="F220" s="4"/>
      <c r="G220" s="4"/>
      <c r="H220" s="3"/>
      <c r="I220" s="4"/>
      <c r="J220" s="4"/>
      <c r="K220" s="3"/>
      <c r="L220" s="3"/>
      <c r="M220" s="4"/>
      <c r="N220" s="4"/>
      <c r="O220" s="4"/>
      <c r="P220" s="4"/>
      <c r="Q220" s="3"/>
      <c r="R220" s="4"/>
      <c r="S220" s="4"/>
      <c r="T220" s="4"/>
      <c r="U220" s="3"/>
      <c r="V220" s="4"/>
      <c r="W220" s="3"/>
      <c r="X220" s="3"/>
      <c r="Y220" s="4"/>
      <c r="Z220" s="4"/>
      <c r="AA220" s="4"/>
      <c r="AB220" s="4"/>
      <c r="AC220" s="4"/>
      <c r="AD220" s="4"/>
    </row>
    <row r="221" spans="1:30" ht="15.75" customHeight="1" x14ac:dyDescent="0.25">
      <c r="A221" s="4"/>
      <c r="B221" s="4"/>
      <c r="C221" s="57"/>
      <c r="D221" s="4"/>
      <c r="E221" s="4"/>
      <c r="F221" s="4"/>
      <c r="G221" s="4"/>
      <c r="H221" s="3"/>
      <c r="I221" s="4"/>
      <c r="J221" s="4"/>
      <c r="K221" s="3"/>
      <c r="L221" s="3"/>
      <c r="M221" s="4"/>
      <c r="N221" s="4"/>
      <c r="O221" s="4"/>
      <c r="P221" s="4"/>
      <c r="Q221" s="3"/>
      <c r="R221" s="4"/>
      <c r="S221" s="4"/>
      <c r="T221" s="4"/>
      <c r="U221" s="3"/>
      <c r="V221" s="4"/>
      <c r="W221" s="3"/>
      <c r="X221" s="3"/>
      <c r="Y221" s="4"/>
      <c r="Z221" s="4"/>
      <c r="AA221" s="4"/>
      <c r="AB221" s="4"/>
      <c r="AC221" s="4"/>
      <c r="AD221" s="4"/>
    </row>
    <row r="222" spans="1:30" ht="15.75" customHeight="1" x14ac:dyDescent="0.25">
      <c r="A222" s="4"/>
      <c r="B222" s="4"/>
      <c r="C222" s="57"/>
      <c r="D222" s="4"/>
      <c r="E222" s="4"/>
      <c r="F222" s="4"/>
      <c r="G222" s="4"/>
      <c r="H222" s="3"/>
      <c r="I222" s="4"/>
      <c r="J222" s="4"/>
      <c r="K222" s="3"/>
      <c r="L222" s="3"/>
      <c r="M222" s="4"/>
      <c r="N222" s="4"/>
      <c r="O222" s="4"/>
      <c r="P222" s="4"/>
      <c r="Q222" s="3"/>
      <c r="R222" s="4"/>
      <c r="S222" s="4"/>
      <c r="T222" s="4"/>
      <c r="U222" s="3"/>
      <c r="V222" s="4"/>
      <c r="W222" s="3"/>
      <c r="X222" s="3"/>
      <c r="Y222" s="4"/>
      <c r="Z222" s="4"/>
      <c r="AA222" s="4"/>
      <c r="AB222" s="4"/>
      <c r="AC222" s="4"/>
      <c r="AD222" s="4"/>
    </row>
    <row r="223" spans="1:30" ht="15.75" customHeight="1" x14ac:dyDescent="0.25">
      <c r="A223" s="4"/>
      <c r="B223" s="4"/>
      <c r="C223" s="57"/>
      <c r="D223" s="4"/>
      <c r="E223" s="4"/>
      <c r="F223" s="4"/>
      <c r="G223" s="4"/>
      <c r="H223" s="3"/>
      <c r="I223" s="4"/>
      <c r="J223" s="4"/>
      <c r="K223" s="3"/>
      <c r="L223" s="3"/>
      <c r="M223" s="4"/>
      <c r="N223" s="4"/>
      <c r="O223" s="4"/>
      <c r="P223" s="4"/>
      <c r="Q223" s="3"/>
      <c r="R223" s="4"/>
      <c r="S223" s="4"/>
      <c r="T223" s="4"/>
      <c r="U223" s="3"/>
      <c r="V223" s="4"/>
      <c r="W223" s="3"/>
      <c r="X223" s="3"/>
      <c r="Y223" s="4"/>
      <c r="Z223" s="4"/>
      <c r="AA223" s="4"/>
      <c r="AB223" s="4"/>
      <c r="AC223" s="4"/>
      <c r="AD223" s="4"/>
    </row>
    <row r="224" spans="1:30" ht="15.75" customHeight="1" x14ac:dyDescent="0.25">
      <c r="A224" s="4"/>
      <c r="B224" s="4"/>
      <c r="C224" s="57"/>
      <c r="D224" s="4"/>
      <c r="E224" s="4"/>
      <c r="F224" s="4"/>
      <c r="G224" s="4"/>
      <c r="H224" s="3"/>
      <c r="I224" s="4"/>
      <c r="J224" s="4"/>
      <c r="K224" s="3"/>
      <c r="L224" s="3"/>
      <c r="M224" s="4"/>
      <c r="N224" s="4"/>
      <c r="O224" s="4"/>
      <c r="P224" s="4"/>
      <c r="Q224" s="3"/>
      <c r="R224" s="4"/>
      <c r="S224" s="4"/>
      <c r="T224" s="4"/>
      <c r="U224" s="3"/>
      <c r="V224" s="4"/>
      <c r="W224" s="3"/>
      <c r="X224" s="3"/>
      <c r="Y224" s="4"/>
      <c r="Z224" s="4"/>
      <c r="AA224" s="4"/>
      <c r="AB224" s="4"/>
      <c r="AC224" s="4"/>
      <c r="AD224" s="4"/>
    </row>
    <row r="225" spans="1:30" ht="15.75" customHeight="1" x14ac:dyDescent="0.25">
      <c r="A225" s="4"/>
      <c r="B225" s="4"/>
      <c r="C225" s="57"/>
      <c r="D225" s="4"/>
      <c r="E225" s="4"/>
      <c r="F225" s="4"/>
      <c r="G225" s="4"/>
      <c r="H225" s="3"/>
      <c r="I225" s="4"/>
      <c r="J225" s="4"/>
      <c r="K225" s="3"/>
      <c r="L225" s="3"/>
      <c r="M225" s="4"/>
      <c r="N225" s="4"/>
      <c r="O225" s="4"/>
      <c r="P225" s="4"/>
      <c r="Q225" s="3"/>
      <c r="R225" s="4"/>
      <c r="S225" s="4"/>
      <c r="T225" s="4"/>
      <c r="U225" s="3"/>
      <c r="V225" s="4"/>
      <c r="W225" s="3"/>
      <c r="X225" s="3"/>
      <c r="Y225" s="4"/>
      <c r="Z225" s="4"/>
      <c r="AA225" s="4"/>
      <c r="AB225" s="4"/>
      <c r="AC225" s="4"/>
      <c r="AD225" s="4"/>
    </row>
    <row r="226" spans="1:30" ht="15.75" customHeight="1" x14ac:dyDescent="0.25">
      <c r="A226" s="4"/>
      <c r="B226" s="4"/>
      <c r="C226" s="57"/>
      <c r="D226" s="4"/>
      <c r="E226" s="4"/>
      <c r="F226" s="4"/>
      <c r="G226" s="4"/>
      <c r="H226" s="3"/>
      <c r="I226" s="4"/>
      <c r="J226" s="4"/>
      <c r="K226" s="3"/>
      <c r="L226" s="3"/>
      <c r="M226" s="4"/>
      <c r="N226" s="4"/>
      <c r="O226" s="4"/>
      <c r="P226" s="4"/>
      <c r="Q226" s="3"/>
      <c r="R226" s="4"/>
      <c r="S226" s="4"/>
      <c r="T226" s="4"/>
      <c r="U226" s="3"/>
      <c r="V226" s="4"/>
      <c r="W226" s="3"/>
      <c r="X226" s="3"/>
      <c r="Y226" s="4"/>
      <c r="Z226" s="4"/>
      <c r="AA226" s="4"/>
      <c r="AB226" s="4"/>
      <c r="AC226" s="4"/>
      <c r="AD226" s="4"/>
    </row>
    <row r="227" spans="1:30" ht="15.75" customHeight="1" x14ac:dyDescent="0.25">
      <c r="A227" s="4"/>
      <c r="B227" s="4"/>
      <c r="C227" s="57"/>
      <c r="D227" s="4"/>
      <c r="E227" s="4"/>
      <c r="F227" s="4"/>
      <c r="G227" s="4"/>
      <c r="H227" s="3"/>
      <c r="I227" s="4"/>
      <c r="J227" s="4"/>
      <c r="K227" s="3"/>
      <c r="L227" s="3"/>
      <c r="M227" s="4"/>
      <c r="N227" s="4"/>
      <c r="O227" s="4"/>
      <c r="P227" s="4"/>
      <c r="Q227" s="3"/>
      <c r="R227" s="4"/>
      <c r="S227" s="4"/>
      <c r="T227" s="4"/>
      <c r="U227" s="3"/>
      <c r="V227" s="4"/>
      <c r="W227" s="3"/>
      <c r="X227" s="3"/>
      <c r="Y227" s="4"/>
      <c r="Z227" s="4"/>
      <c r="AA227" s="4"/>
      <c r="AB227" s="4"/>
      <c r="AC227" s="4"/>
      <c r="AD227" s="4"/>
    </row>
    <row r="228" spans="1:30" ht="15.75" customHeight="1" x14ac:dyDescent="0.25">
      <c r="A228" s="4"/>
      <c r="B228" s="4"/>
      <c r="C228" s="57"/>
      <c r="D228" s="4"/>
      <c r="E228" s="4"/>
      <c r="F228" s="4"/>
      <c r="G228" s="4"/>
      <c r="H228" s="3"/>
      <c r="I228" s="4"/>
      <c r="J228" s="4"/>
      <c r="K228" s="3"/>
      <c r="L228" s="3"/>
      <c r="M228" s="4"/>
      <c r="N228" s="4"/>
      <c r="O228" s="4"/>
      <c r="P228" s="4"/>
      <c r="Q228" s="3"/>
      <c r="R228" s="4"/>
      <c r="S228" s="4"/>
      <c r="T228" s="4"/>
      <c r="U228" s="3"/>
      <c r="V228" s="4"/>
      <c r="W228" s="3"/>
      <c r="X228" s="3"/>
      <c r="Y228" s="4"/>
      <c r="Z228" s="4"/>
      <c r="AA228" s="4"/>
      <c r="AB228" s="4"/>
      <c r="AC228" s="4"/>
      <c r="AD228" s="4"/>
    </row>
    <row r="229" spans="1:30" ht="15.75" customHeight="1" x14ac:dyDescent="0.25">
      <c r="A229" s="4"/>
      <c r="B229" s="4"/>
      <c r="C229" s="57"/>
      <c r="D229" s="4"/>
      <c r="E229" s="4"/>
      <c r="F229" s="4"/>
      <c r="G229" s="4"/>
      <c r="H229" s="3"/>
      <c r="I229" s="4"/>
      <c r="J229" s="4"/>
      <c r="K229" s="3"/>
      <c r="L229" s="3"/>
      <c r="M229" s="4"/>
      <c r="N229" s="4"/>
      <c r="O229" s="4"/>
      <c r="P229" s="4"/>
      <c r="Q229" s="3"/>
      <c r="R229" s="4"/>
      <c r="S229" s="4"/>
      <c r="T229" s="4"/>
      <c r="U229" s="3"/>
      <c r="V229" s="4"/>
      <c r="W229" s="3"/>
      <c r="X229" s="3"/>
      <c r="Y229" s="4"/>
      <c r="Z229" s="4"/>
      <c r="AA229" s="4"/>
      <c r="AB229" s="4"/>
      <c r="AC229" s="4"/>
      <c r="AD229" s="4"/>
    </row>
    <row r="230" spans="1:30" ht="15.75" customHeight="1" x14ac:dyDescent="0.25">
      <c r="A230" s="4"/>
      <c r="B230" s="4"/>
      <c r="C230" s="57"/>
      <c r="D230" s="4"/>
      <c r="E230" s="4"/>
      <c r="F230" s="4"/>
      <c r="G230" s="4"/>
      <c r="H230" s="3"/>
      <c r="I230" s="4"/>
      <c r="J230" s="4"/>
      <c r="K230" s="3"/>
      <c r="L230" s="3"/>
      <c r="M230" s="4"/>
      <c r="N230" s="4"/>
      <c r="O230" s="4"/>
      <c r="P230" s="4"/>
      <c r="Q230" s="3"/>
      <c r="R230" s="4"/>
      <c r="S230" s="4"/>
      <c r="T230" s="4"/>
      <c r="U230" s="3"/>
      <c r="V230" s="4"/>
      <c r="W230" s="3"/>
      <c r="X230" s="3"/>
      <c r="Y230" s="4"/>
      <c r="Z230" s="4"/>
      <c r="AA230" s="4"/>
      <c r="AB230" s="4"/>
      <c r="AC230" s="4"/>
      <c r="AD230" s="4"/>
    </row>
    <row r="231" spans="1:30" ht="15.75" customHeight="1" x14ac:dyDescent="0.25">
      <c r="A231" s="4"/>
      <c r="B231" s="4"/>
      <c r="C231" s="57"/>
      <c r="D231" s="4"/>
      <c r="E231" s="4"/>
      <c r="F231" s="4"/>
      <c r="G231" s="4"/>
      <c r="H231" s="3"/>
      <c r="I231" s="4"/>
      <c r="J231" s="4"/>
      <c r="K231" s="3"/>
      <c r="L231" s="3"/>
      <c r="M231" s="4"/>
      <c r="N231" s="4"/>
      <c r="O231" s="4"/>
      <c r="P231" s="4"/>
      <c r="Q231" s="3"/>
      <c r="R231" s="4"/>
      <c r="S231" s="4"/>
      <c r="T231" s="4"/>
      <c r="U231" s="3"/>
      <c r="V231" s="4"/>
      <c r="W231" s="3"/>
      <c r="X231" s="3"/>
      <c r="Y231" s="4"/>
      <c r="Z231" s="4"/>
      <c r="AA231" s="4"/>
      <c r="AB231" s="4"/>
      <c r="AC231" s="4"/>
      <c r="AD231" s="4"/>
    </row>
    <row r="232" spans="1:30" ht="15.75" customHeight="1" x14ac:dyDescent="0.25">
      <c r="A232" s="4"/>
      <c r="B232" s="4"/>
      <c r="C232" s="57"/>
      <c r="D232" s="4"/>
      <c r="E232" s="4"/>
      <c r="F232" s="4"/>
      <c r="G232" s="4"/>
      <c r="H232" s="3"/>
      <c r="I232" s="4"/>
      <c r="J232" s="4"/>
      <c r="K232" s="3"/>
      <c r="L232" s="3"/>
      <c r="M232" s="4"/>
      <c r="N232" s="4"/>
      <c r="O232" s="4"/>
      <c r="P232" s="4"/>
      <c r="Q232" s="3"/>
      <c r="R232" s="4"/>
      <c r="S232" s="4"/>
      <c r="T232" s="4"/>
      <c r="U232" s="3"/>
      <c r="V232" s="4"/>
      <c r="W232" s="3"/>
      <c r="X232" s="3"/>
      <c r="Y232" s="4"/>
      <c r="Z232" s="4"/>
      <c r="AA232" s="4"/>
      <c r="AB232" s="4"/>
      <c r="AC232" s="4"/>
      <c r="AD232" s="4"/>
    </row>
    <row r="233" spans="1:30" ht="15.75" customHeight="1" x14ac:dyDescent="0.25">
      <c r="A233" s="4"/>
      <c r="B233" s="4"/>
      <c r="C233" s="57"/>
      <c r="D233" s="4"/>
      <c r="E233" s="4"/>
      <c r="F233" s="4"/>
      <c r="G233" s="4"/>
      <c r="H233" s="3"/>
      <c r="I233" s="4"/>
      <c r="J233" s="4"/>
      <c r="K233" s="3"/>
      <c r="L233" s="3"/>
      <c r="M233" s="4"/>
      <c r="N233" s="4"/>
      <c r="O233" s="4"/>
      <c r="P233" s="4"/>
      <c r="Q233" s="3"/>
      <c r="R233" s="4"/>
      <c r="S233" s="4"/>
      <c r="T233" s="4"/>
      <c r="U233" s="3"/>
      <c r="V233" s="4"/>
      <c r="W233" s="3"/>
      <c r="X233" s="3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57"/>
      <c r="D234" s="4"/>
      <c r="E234" s="4"/>
      <c r="F234" s="4"/>
      <c r="G234" s="4"/>
      <c r="H234" s="3"/>
      <c r="I234" s="4"/>
      <c r="J234" s="4"/>
      <c r="K234" s="3"/>
      <c r="L234" s="3"/>
      <c r="M234" s="4"/>
      <c r="N234" s="4"/>
      <c r="O234" s="4"/>
      <c r="P234" s="4"/>
      <c r="Q234" s="3"/>
      <c r="R234" s="4"/>
      <c r="S234" s="4"/>
      <c r="T234" s="4"/>
      <c r="U234" s="3"/>
      <c r="V234" s="4"/>
      <c r="W234" s="3"/>
      <c r="X234" s="3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57"/>
      <c r="D235" s="4"/>
      <c r="E235" s="4"/>
      <c r="F235" s="4"/>
      <c r="G235" s="4"/>
      <c r="H235" s="3"/>
      <c r="I235" s="4"/>
      <c r="J235" s="4"/>
      <c r="K235" s="3"/>
      <c r="L235" s="3"/>
      <c r="M235" s="4"/>
      <c r="N235" s="4"/>
      <c r="O235" s="4"/>
      <c r="P235" s="4"/>
      <c r="Q235" s="3"/>
      <c r="R235" s="4"/>
      <c r="S235" s="4"/>
      <c r="T235" s="4"/>
      <c r="U235" s="3"/>
      <c r="V235" s="4"/>
      <c r="W235" s="3"/>
      <c r="X235" s="3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57"/>
      <c r="D236" s="4"/>
      <c r="E236" s="4"/>
      <c r="F236" s="4"/>
      <c r="G236" s="4"/>
      <c r="H236" s="3"/>
      <c r="I236" s="4"/>
      <c r="J236" s="4"/>
      <c r="K236" s="3"/>
      <c r="L236" s="3"/>
      <c r="M236" s="4"/>
      <c r="N236" s="4"/>
      <c r="O236" s="4"/>
      <c r="P236" s="4"/>
      <c r="Q236" s="3"/>
      <c r="R236" s="4"/>
      <c r="S236" s="4"/>
      <c r="T236" s="4"/>
      <c r="U236" s="3"/>
      <c r="V236" s="4"/>
      <c r="W236" s="3"/>
      <c r="X236" s="3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57"/>
      <c r="D237" s="4"/>
      <c r="E237" s="4"/>
      <c r="F237" s="4"/>
      <c r="G237" s="4"/>
      <c r="H237" s="3"/>
      <c r="I237" s="4"/>
      <c r="J237" s="4"/>
      <c r="K237" s="3"/>
      <c r="L237" s="3"/>
      <c r="M237" s="4"/>
      <c r="N237" s="4"/>
      <c r="O237" s="4"/>
      <c r="P237" s="4"/>
      <c r="Q237" s="3"/>
      <c r="R237" s="4"/>
      <c r="S237" s="4"/>
      <c r="T237" s="4"/>
      <c r="U237" s="3"/>
      <c r="V237" s="4"/>
      <c r="W237" s="3"/>
      <c r="X237" s="3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57"/>
      <c r="D238" s="4"/>
      <c r="E238" s="4"/>
      <c r="F238" s="4"/>
      <c r="G238" s="4"/>
      <c r="H238" s="3"/>
      <c r="I238" s="4"/>
      <c r="J238" s="4"/>
      <c r="K238" s="3"/>
      <c r="L238" s="3"/>
      <c r="M238" s="4"/>
      <c r="N238" s="4"/>
      <c r="O238" s="4"/>
      <c r="P238" s="4"/>
      <c r="Q238" s="3"/>
      <c r="R238" s="4"/>
      <c r="S238" s="4"/>
      <c r="T238" s="4"/>
      <c r="U238" s="3"/>
      <c r="V238" s="4"/>
      <c r="W238" s="3"/>
      <c r="X238" s="3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57"/>
      <c r="D239" s="4"/>
      <c r="E239" s="4"/>
      <c r="F239" s="4"/>
      <c r="G239" s="4"/>
      <c r="H239" s="3"/>
      <c r="I239" s="4"/>
      <c r="J239" s="4"/>
      <c r="K239" s="3"/>
      <c r="L239" s="3"/>
      <c r="M239" s="4"/>
      <c r="N239" s="4"/>
      <c r="O239" s="4"/>
      <c r="P239" s="4"/>
      <c r="Q239" s="3"/>
      <c r="R239" s="4"/>
      <c r="S239" s="4"/>
      <c r="T239" s="4"/>
      <c r="U239" s="3"/>
      <c r="V239" s="4"/>
      <c r="W239" s="3"/>
      <c r="X239" s="3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57"/>
      <c r="D240" s="4"/>
      <c r="E240" s="4"/>
      <c r="F240" s="4"/>
      <c r="G240" s="4"/>
      <c r="H240" s="3"/>
      <c r="I240" s="4"/>
      <c r="J240" s="4"/>
      <c r="K240" s="3"/>
      <c r="L240" s="3"/>
      <c r="M240" s="4"/>
      <c r="N240" s="4"/>
      <c r="O240" s="4"/>
      <c r="P240" s="4"/>
      <c r="Q240" s="3"/>
      <c r="R240" s="4"/>
      <c r="S240" s="4"/>
      <c r="T240" s="4"/>
      <c r="U240" s="3"/>
      <c r="V240" s="4"/>
      <c r="W240" s="3"/>
      <c r="X240" s="3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57"/>
      <c r="D241" s="4"/>
      <c r="E241" s="4"/>
      <c r="F241" s="4"/>
      <c r="G241" s="4"/>
      <c r="H241" s="3"/>
      <c r="I241" s="4"/>
      <c r="J241" s="4"/>
      <c r="K241" s="3"/>
      <c r="L241" s="3"/>
      <c r="M241" s="4"/>
      <c r="N241" s="4"/>
      <c r="O241" s="4"/>
      <c r="P241" s="4"/>
      <c r="Q241" s="3"/>
      <c r="R241" s="4"/>
      <c r="S241" s="4"/>
      <c r="T241" s="4"/>
      <c r="U241" s="3"/>
      <c r="V241" s="4"/>
      <c r="W241" s="3"/>
      <c r="X241" s="3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57"/>
      <c r="D242" s="4"/>
      <c r="E242" s="4"/>
      <c r="F242" s="4"/>
      <c r="G242" s="4"/>
      <c r="H242" s="3"/>
      <c r="I242" s="4"/>
      <c r="J242" s="4"/>
      <c r="K242" s="3"/>
      <c r="L242" s="3"/>
      <c r="M242" s="4"/>
      <c r="N242" s="4"/>
      <c r="O242" s="4"/>
      <c r="P242" s="4"/>
      <c r="Q242" s="3"/>
      <c r="R242" s="4"/>
      <c r="S242" s="4"/>
      <c r="T242" s="4"/>
      <c r="U242" s="3"/>
      <c r="V242" s="4"/>
      <c r="W242" s="3"/>
      <c r="X242" s="3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57"/>
      <c r="D243" s="4"/>
      <c r="E243" s="4"/>
      <c r="F243" s="4"/>
      <c r="G243" s="4"/>
      <c r="H243" s="3"/>
      <c r="I243" s="4"/>
      <c r="J243" s="4"/>
      <c r="K243" s="3"/>
      <c r="L243" s="3"/>
      <c r="M243" s="4"/>
      <c r="N243" s="4"/>
      <c r="O243" s="4"/>
      <c r="P243" s="4"/>
      <c r="Q243" s="3"/>
      <c r="R243" s="4"/>
      <c r="S243" s="4"/>
      <c r="T243" s="4"/>
      <c r="U243" s="3"/>
      <c r="V243" s="4"/>
      <c r="W243" s="3"/>
      <c r="X243" s="3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57"/>
      <c r="D244" s="4"/>
      <c r="E244" s="4"/>
      <c r="F244" s="4"/>
      <c r="G244" s="4"/>
      <c r="H244" s="3"/>
      <c r="I244" s="4"/>
      <c r="J244" s="4"/>
      <c r="K244" s="3"/>
      <c r="L244" s="3"/>
      <c r="M244" s="4"/>
      <c r="N244" s="4"/>
      <c r="O244" s="4"/>
      <c r="P244" s="4"/>
      <c r="Q244" s="3"/>
      <c r="R244" s="4"/>
      <c r="S244" s="4"/>
      <c r="T244" s="4"/>
      <c r="U244" s="3"/>
      <c r="V244" s="4"/>
      <c r="W244" s="3"/>
      <c r="X244" s="3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57"/>
      <c r="D245" s="4"/>
      <c r="E245" s="4"/>
      <c r="F245" s="4"/>
      <c r="G245" s="4"/>
      <c r="H245" s="3"/>
      <c r="I245" s="4"/>
      <c r="J245" s="4"/>
      <c r="K245" s="3"/>
      <c r="L245" s="3"/>
      <c r="M245" s="4"/>
      <c r="N245" s="4"/>
      <c r="O245" s="4"/>
      <c r="P245" s="4"/>
      <c r="Q245" s="3"/>
      <c r="R245" s="4"/>
      <c r="S245" s="4"/>
      <c r="T245" s="4"/>
      <c r="U245" s="3"/>
      <c r="V245" s="4"/>
      <c r="W245" s="3"/>
      <c r="X245" s="3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57"/>
      <c r="D246" s="4"/>
      <c r="E246" s="4"/>
      <c r="F246" s="4"/>
      <c r="G246" s="4"/>
      <c r="H246" s="3"/>
      <c r="I246" s="4"/>
      <c r="J246" s="4"/>
      <c r="K246" s="3"/>
      <c r="L246" s="3"/>
      <c r="M246" s="4"/>
      <c r="N246" s="4"/>
      <c r="O246" s="4"/>
      <c r="P246" s="4"/>
      <c r="Q246" s="3"/>
      <c r="R246" s="4"/>
      <c r="S246" s="4"/>
      <c r="T246" s="4"/>
      <c r="U246" s="3"/>
      <c r="V246" s="4"/>
      <c r="W246" s="3"/>
      <c r="X246" s="3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57"/>
      <c r="D247" s="4"/>
      <c r="E247" s="4"/>
      <c r="F247" s="4"/>
      <c r="G247" s="4"/>
      <c r="H247" s="3"/>
      <c r="I247" s="4"/>
      <c r="J247" s="4"/>
      <c r="K247" s="3"/>
      <c r="L247" s="3"/>
      <c r="M247" s="4"/>
      <c r="N247" s="4"/>
      <c r="O247" s="4"/>
      <c r="P247" s="4"/>
      <c r="Q247" s="3"/>
      <c r="R247" s="4"/>
      <c r="S247" s="4"/>
      <c r="T247" s="4"/>
      <c r="U247" s="3"/>
      <c r="V247" s="4"/>
      <c r="W247" s="3"/>
      <c r="X247" s="3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57"/>
      <c r="D248" s="4"/>
      <c r="E248" s="4"/>
      <c r="F248" s="4"/>
      <c r="G248" s="4"/>
      <c r="H248" s="3"/>
      <c r="I248" s="4"/>
      <c r="J248" s="4"/>
      <c r="K248" s="3"/>
      <c r="L248" s="3"/>
      <c r="M248" s="4"/>
      <c r="N248" s="4"/>
      <c r="O248" s="4"/>
      <c r="P248" s="4"/>
      <c r="Q248" s="3"/>
      <c r="R248" s="4"/>
      <c r="S248" s="4"/>
      <c r="T248" s="4"/>
      <c r="U248" s="3"/>
      <c r="V248" s="4"/>
      <c r="W248" s="3"/>
      <c r="X248" s="3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57"/>
      <c r="D249" s="4"/>
      <c r="E249" s="4"/>
      <c r="F249" s="4"/>
      <c r="G249" s="4"/>
      <c r="H249" s="3"/>
      <c r="I249" s="4"/>
      <c r="J249" s="4"/>
      <c r="K249" s="3"/>
      <c r="L249" s="3"/>
      <c r="M249" s="4"/>
      <c r="N249" s="4"/>
      <c r="O249" s="4"/>
      <c r="P249" s="4"/>
      <c r="Q249" s="3"/>
      <c r="R249" s="4"/>
      <c r="S249" s="4"/>
      <c r="T249" s="4"/>
      <c r="U249" s="3"/>
      <c r="V249" s="4"/>
      <c r="W249" s="3"/>
      <c r="X249" s="3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57"/>
      <c r="D250" s="4"/>
      <c r="E250" s="4"/>
      <c r="F250" s="4"/>
      <c r="G250" s="4"/>
      <c r="H250" s="3"/>
      <c r="I250" s="4"/>
      <c r="J250" s="4"/>
      <c r="K250" s="3"/>
      <c r="L250" s="3"/>
      <c r="M250" s="4"/>
      <c r="N250" s="4"/>
      <c r="O250" s="4"/>
      <c r="P250" s="4"/>
      <c r="Q250" s="3"/>
      <c r="R250" s="4"/>
      <c r="S250" s="4"/>
      <c r="T250" s="4"/>
      <c r="U250" s="3"/>
      <c r="V250" s="4"/>
      <c r="W250" s="3"/>
      <c r="X250" s="3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57"/>
      <c r="D251" s="4"/>
      <c r="E251" s="4"/>
      <c r="F251" s="4"/>
      <c r="G251" s="4"/>
      <c r="H251" s="3"/>
      <c r="I251" s="4"/>
      <c r="J251" s="4"/>
      <c r="K251" s="3"/>
      <c r="L251" s="3"/>
      <c r="M251" s="4"/>
      <c r="N251" s="4"/>
      <c r="O251" s="4"/>
      <c r="P251" s="4"/>
      <c r="Q251" s="3"/>
      <c r="R251" s="4"/>
      <c r="S251" s="4"/>
      <c r="T251" s="4"/>
      <c r="U251" s="3"/>
      <c r="V251" s="4"/>
      <c r="W251" s="3"/>
      <c r="X251" s="3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57"/>
      <c r="D252" s="4"/>
      <c r="E252" s="4"/>
      <c r="F252" s="4"/>
      <c r="G252" s="4"/>
      <c r="H252" s="3"/>
      <c r="I252" s="4"/>
      <c r="J252" s="4"/>
      <c r="K252" s="3"/>
      <c r="L252" s="3"/>
      <c r="M252" s="4"/>
      <c r="N252" s="4"/>
      <c r="O252" s="4"/>
      <c r="P252" s="4"/>
      <c r="Q252" s="3"/>
      <c r="R252" s="4"/>
      <c r="S252" s="4"/>
      <c r="T252" s="4"/>
      <c r="U252" s="3"/>
      <c r="V252" s="4"/>
      <c r="W252" s="3"/>
      <c r="X252" s="3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57"/>
      <c r="D253" s="4"/>
      <c r="E253" s="4"/>
      <c r="F253" s="4"/>
      <c r="G253" s="4"/>
      <c r="H253" s="3"/>
      <c r="I253" s="4"/>
      <c r="J253" s="4"/>
      <c r="K253" s="3"/>
      <c r="L253" s="3"/>
      <c r="M253" s="4"/>
      <c r="N253" s="4"/>
      <c r="O253" s="4"/>
      <c r="P253" s="4"/>
      <c r="Q253" s="3"/>
      <c r="R253" s="4"/>
      <c r="S253" s="4"/>
      <c r="T253" s="4"/>
      <c r="U253" s="3"/>
      <c r="V253" s="4"/>
      <c r="W253" s="3"/>
      <c r="X253" s="3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57"/>
      <c r="D254" s="4"/>
      <c r="E254" s="4"/>
      <c r="F254" s="4"/>
      <c r="G254" s="4"/>
      <c r="H254" s="3"/>
      <c r="I254" s="4"/>
      <c r="J254" s="4"/>
      <c r="K254" s="3"/>
      <c r="L254" s="3"/>
      <c r="M254" s="4"/>
      <c r="N254" s="4"/>
      <c r="O254" s="4"/>
      <c r="P254" s="4"/>
      <c r="Q254" s="3"/>
      <c r="R254" s="4"/>
      <c r="S254" s="4"/>
      <c r="T254" s="4"/>
      <c r="U254" s="3"/>
      <c r="V254" s="4"/>
      <c r="W254" s="3"/>
      <c r="X254" s="3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57"/>
      <c r="D255" s="4"/>
      <c r="E255" s="4"/>
      <c r="F255" s="4"/>
      <c r="G255" s="4"/>
      <c r="H255" s="3"/>
      <c r="I255" s="4"/>
      <c r="J255" s="4"/>
      <c r="K255" s="3"/>
      <c r="L255" s="3"/>
      <c r="M255" s="4"/>
      <c r="N255" s="4"/>
      <c r="O255" s="4"/>
      <c r="P255" s="4"/>
      <c r="Q255" s="3"/>
      <c r="R255" s="4"/>
      <c r="S255" s="4"/>
      <c r="T255" s="4"/>
      <c r="U255" s="3"/>
      <c r="V255" s="4"/>
      <c r="W255" s="3"/>
      <c r="X255" s="3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57"/>
      <c r="D256" s="4"/>
      <c r="E256" s="4"/>
      <c r="F256" s="4"/>
      <c r="G256" s="4"/>
      <c r="H256" s="3"/>
      <c r="I256" s="4"/>
      <c r="J256" s="4"/>
      <c r="K256" s="3"/>
      <c r="L256" s="3"/>
      <c r="M256" s="4"/>
      <c r="N256" s="4"/>
      <c r="O256" s="4"/>
      <c r="P256" s="4"/>
      <c r="Q256" s="3"/>
      <c r="R256" s="4"/>
      <c r="S256" s="4"/>
      <c r="T256" s="4"/>
      <c r="U256" s="3"/>
      <c r="V256" s="4"/>
      <c r="W256" s="3"/>
      <c r="X256" s="3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57"/>
      <c r="D257" s="4"/>
      <c r="E257" s="4"/>
      <c r="F257" s="4"/>
      <c r="G257" s="4"/>
      <c r="H257" s="3"/>
      <c r="I257" s="4"/>
      <c r="J257" s="4"/>
      <c r="K257" s="3"/>
      <c r="L257" s="3"/>
      <c r="M257" s="4"/>
      <c r="N257" s="4"/>
      <c r="O257" s="4"/>
      <c r="P257" s="4"/>
      <c r="Q257" s="3"/>
      <c r="R257" s="4"/>
      <c r="S257" s="4"/>
      <c r="T257" s="4"/>
      <c r="U257" s="3"/>
      <c r="V257" s="4"/>
      <c r="W257" s="3"/>
      <c r="X257" s="3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57"/>
      <c r="D258" s="4"/>
      <c r="E258" s="4"/>
      <c r="F258" s="4"/>
      <c r="G258" s="4"/>
      <c r="H258" s="3"/>
      <c r="I258" s="4"/>
      <c r="J258" s="4"/>
      <c r="K258" s="3"/>
      <c r="L258" s="3"/>
      <c r="M258" s="4"/>
      <c r="N258" s="4"/>
      <c r="O258" s="4"/>
      <c r="P258" s="4"/>
      <c r="Q258" s="3"/>
      <c r="R258" s="4"/>
      <c r="S258" s="4"/>
      <c r="T258" s="4"/>
      <c r="U258" s="3"/>
      <c r="V258" s="4"/>
      <c r="W258" s="3"/>
      <c r="X258" s="3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57"/>
      <c r="D259" s="4"/>
      <c r="E259" s="4"/>
      <c r="F259" s="4"/>
      <c r="G259" s="4"/>
      <c r="H259" s="3"/>
      <c r="I259" s="4"/>
      <c r="J259" s="4"/>
      <c r="K259" s="3"/>
      <c r="L259" s="3"/>
      <c r="M259" s="4"/>
      <c r="N259" s="4"/>
      <c r="O259" s="4"/>
      <c r="P259" s="4"/>
      <c r="Q259" s="3"/>
      <c r="R259" s="4"/>
      <c r="S259" s="4"/>
      <c r="T259" s="4"/>
      <c r="U259" s="3"/>
      <c r="V259" s="4"/>
      <c r="W259" s="3"/>
      <c r="X259" s="3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57"/>
      <c r="D260" s="4"/>
      <c r="E260" s="4"/>
      <c r="F260" s="4"/>
      <c r="G260" s="4"/>
      <c r="H260" s="3"/>
      <c r="I260" s="4"/>
      <c r="J260" s="4"/>
      <c r="K260" s="3"/>
      <c r="L260" s="3"/>
      <c r="M260" s="4"/>
      <c r="N260" s="4"/>
      <c r="O260" s="4"/>
      <c r="P260" s="4"/>
      <c r="Q260" s="3"/>
      <c r="R260" s="4"/>
      <c r="S260" s="4"/>
      <c r="T260" s="4"/>
      <c r="U260" s="3"/>
      <c r="V260" s="4"/>
      <c r="W260" s="3"/>
      <c r="X260" s="3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57"/>
      <c r="D261" s="4"/>
      <c r="E261" s="4"/>
      <c r="F261" s="4"/>
      <c r="G261" s="4"/>
      <c r="H261" s="3"/>
      <c r="I261" s="4"/>
      <c r="J261" s="4"/>
      <c r="K261" s="3"/>
      <c r="L261" s="3"/>
      <c r="M261" s="4"/>
      <c r="N261" s="4"/>
      <c r="O261" s="4"/>
      <c r="P261" s="4"/>
      <c r="Q261" s="3"/>
      <c r="R261" s="4"/>
      <c r="S261" s="4"/>
      <c r="T261" s="4"/>
      <c r="U261" s="3"/>
      <c r="V261" s="4"/>
      <c r="W261" s="3"/>
      <c r="X261" s="3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57"/>
      <c r="D262" s="4"/>
      <c r="E262" s="4"/>
      <c r="F262" s="4"/>
      <c r="G262" s="4"/>
      <c r="H262" s="3"/>
      <c r="I262" s="4"/>
      <c r="J262" s="4"/>
      <c r="K262" s="3"/>
      <c r="L262" s="3"/>
      <c r="M262" s="4"/>
      <c r="N262" s="4"/>
      <c r="O262" s="4"/>
      <c r="P262" s="4"/>
      <c r="Q262" s="3"/>
      <c r="R262" s="4"/>
      <c r="S262" s="4"/>
      <c r="T262" s="4"/>
      <c r="U262" s="3"/>
      <c r="V262" s="4"/>
      <c r="W262" s="3"/>
      <c r="X262" s="3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57"/>
      <c r="D263" s="4"/>
      <c r="E263" s="4"/>
      <c r="F263" s="4"/>
      <c r="G263" s="4"/>
      <c r="H263" s="3"/>
      <c r="I263" s="4"/>
      <c r="J263" s="4"/>
      <c r="K263" s="3"/>
      <c r="L263" s="3"/>
      <c r="M263" s="4"/>
      <c r="N263" s="4"/>
      <c r="O263" s="4"/>
      <c r="P263" s="4"/>
      <c r="Q263" s="3"/>
      <c r="R263" s="4"/>
      <c r="S263" s="4"/>
      <c r="T263" s="4"/>
      <c r="U263" s="3"/>
      <c r="V263" s="4"/>
      <c r="W263" s="3"/>
      <c r="X263" s="3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57"/>
      <c r="D264" s="4"/>
      <c r="E264" s="4"/>
      <c r="F264" s="4"/>
      <c r="G264" s="4"/>
      <c r="H264" s="3"/>
      <c r="I264" s="4"/>
      <c r="J264" s="4"/>
      <c r="K264" s="3"/>
      <c r="L264" s="3"/>
      <c r="M264" s="4"/>
      <c r="N264" s="4"/>
      <c r="O264" s="4"/>
      <c r="P264" s="4"/>
      <c r="Q264" s="3"/>
      <c r="R264" s="4"/>
      <c r="S264" s="4"/>
      <c r="T264" s="4"/>
      <c r="U264" s="3"/>
      <c r="V264" s="4"/>
      <c r="W264" s="3"/>
      <c r="X264" s="3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57"/>
      <c r="D265" s="4"/>
      <c r="E265" s="4"/>
      <c r="F265" s="4"/>
      <c r="G265" s="4"/>
      <c r="H265" s="3"/>
      <c r="I265" s="4"/>
      <c r="J265" s="4"/>
      <c r="K265" s="3"/>
      <c r="L265" s="3"/>
      <c r="M265" s="4"/>
      <c r="N265" s="4"/>
      <c r="O265" s="4"/>
      <c r="P265" s="4"/>
      <c r="Q265" s="3"/>
      <c r="R265" s="4"/>
      <c r="S265" s="4"/>
      <c r="T265" s="4"/>
      <c r="U265" s="3"/>
      <c r="V265" s="4"/>
      <c r="W265" s="3"/>
      <c r="X265" s="3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57"/>
      <c r="D266" s="4"/>
      <c r="E266" s="4"/>
      <c r="F266" s="4"/>
      <c r="G266" s="4"/>
      <c r="H266" s="3"/>
      <c r="I266" s="4"/>
      <c r="J266" s="4"/>
      <c r="K266" s="3"/>
      <c r="L266" s="3"/>
      <c r="M266" s="4"/>
      <c r="N266" s="4"/>
      <c r="O266" s="4"/>
      <c r="P266" s="4"/>
      <c r="Q266" s="3"/>
      <c r="R266" s="4"/>
      <c r="S266" s="4"/>
      <c r="T266" s="4"/>
      <c r="U266" s="3"/>
      <c r="V266" s="4"/>
      <c r="W266" s="3"/>
      <c r="X266" s="3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57"/>
      <c r="D267" s="4"/>
      <c r="E267" s="4"/>
      <c r="F267" s="4"/>
      <c r="G267" s="4"/>
      <c r="H267" s="3"/>
      <c r="I267" s="4"/>
      <c r="J267" s="4"/>
      <c r="K267" s="3"/>
      <c r="L267" s="3"/>
      <c r="M267" s="4"/>
      <c r="N267" s="4"/>
      <c r="O267" s="4"/>
      <c r="P267" s="4"/>
      <c r="Q267" s="3"/>
      <c r="R267" s="4"/>
      <c r="S267" s="4"/>
      <c r="T267" s="4"/>
      <c r="U267" s="3"/>
      <c r="V267" s="4"/>
      <c r="W267" s="3"/>
      <c r="X267" s="3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57"/>
      <c r="D268" s="4"/>
      <c r="E268" s="4"/>
      <c r="F268" s="4"/>
      <c r="G268" s="4"/>
      <c r="H268" s="3"/>
      <c r="I268" s="4"/>
      <c r="J268" s="4"/>
      <c r="K268" s="3"/>
      <c r="L268" s="3"/>
      <c r="M268" s="4"/>
      <c r="N268" s="4"/>
      <c r="O268" s="4"/>
      <c r="P268" s="4"/>
      <c r="Q268" s="3"/>
      <c r="R268" s="4"/>
      <c r="S268" s="4"/>
      <c r="T268" s="4"/>
      <c r="U268" s="3"/>
      <c r="V268" s="4"/>
      <c r="W268" s="3"/>
      <c r="X268" s="3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57"/>
      <c r="D269" s="4"/>
      <c r="E269" s="4"/>
      <c r="F269" s="4"/>
      <c r="G269" s="4"/>
      <c r="H269" s="3"/>
      <c r="I269" s="4"/>
      <c r="J269" s="4"/>
      <c r="K269" s="3"/>
      <c r="L269" s="3"/>
      <c r="M269" s="4"/>
      <c r="N269" s="4"/>
      <c r="O269" s="4"/>
      <c r="P269" s="4"/>
      <c r="Q269" s="3"/>
      <c r="R269" s="4"/>
      <c r="S269" s="4"/>
      <c r="T269" s="4"/>
      <c r="U269" s="3"/>
      <c r="V269" s="4"/>
      <c r="W269" s="3"/>
      <c r="X269" s="3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57"/>
      <c r="D270" s="4"/>
      <c r="E270" s="4"/>
      <c r="F270" s="4"/>
      <c r="G270" s="4"/>
      <c r="H270" s="3"/>
      <c r="I270" s="4"/>
      <c r="J270" s="4"/>
      <c r="K270" s="3"/>
      <c r="L270" s="3"/>
      <c r="M270" s="4"/>
      <c r="N270" s="4"/>
      <c r="O270" s="4"/>
      <c r="P270" s="4"/>
      <c r="Q270" s="3"/>
      <c r="R270" s="4"/>
      <c r="S270" s="4"/>
      <c r="T270" s="4"/>
      <c r="U270" s="3"/>
      <c r="V270" s="4"/>
      <c r="W270" s="3"/>
      <c r="X270" s="3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57"/>
      <c r="D271" s="4"/>
      <c r="E271" s="4"/>
      <c r="F271" s="4"/>
      <c r="G271" s="4"/>
      <c r="H271" s="3"/>
      <c r="I271" s="4"/>
      <c r="J271" s="4"/>
      <c r="K271" s="3"/>
      <c r="L271" s="3"/>
      <c r="M271" s="4"/>
      <c r="N271" s="4"/>
      <c r="O271" s="4"/>
      <c r="P271" s="4"/>
      <c r="Q271" s="3"/>
      <c r="R271" s="4"/>
      <c r="S271" s="4"/>
      <c r="T271" s="4"/>
      <c r="U271" s="3"/>
      <c r="V271" s="4"/>
      <c r="W271" s="3"/>
      <c r="X271" s="3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57"/>
      <c r="D272" s="4"/>
      <c r="E272" s="4"/>
      <c r="F272" s="4"/>
      <c r="G272" s="4"/>
      <c r="H272" s="3"/>
      <c r="I272" s="4"/>
      <c r="J272" s="4"/>
      <c r="K272" s="3"/>
      <c r="L272" s="3"/>
      <c r="M272" s="4"/>
      <c r="N272" s="4"/>
      <c r="O272" s="4"/>
      <c r="P272" s="4"/>
      <c r="Q272" s="3"/>
      <c r="R272" s="4"/>
      <c r="S272" s="4"/>
      <c r="T272" s="4"/>
      <c r="U272" s="3"/>
      <c r="V272" s="4"/>
      <c r="W272" s="3"/>
      <c r="X272" s="3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57"/>
      <c r="D273" s="4"/>
      <c r="E273" s="4"/>
      <c r="F273" s="4"/>
      <c r="G273" s="4"/>
      <c r="H273" s="3"/>
      <c r="I273" s="4"/>
      <c r="J273" s="4"/>
      <c r="K273" s="3"/>
      <c r="L273" s="3"/>
      <c r="M273" s="4"/>
      <c r="N273" s="4"/>
      <c r="O273" s="4"/>
      <c r="P273" s="4"/>
      <c r="Q273" s="3"/>
      <c r="R273" s="4"/>
      <c r="S273" s="4"/>
      <c r="T273" s="4"/>
      <c r="U273" s="3"/>
      <c r="V273" s="4"/>
      <c r="W273" s="3"/>
      <c r="X273" s="3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57"/>
      <c r="D274" s="4"/>
      <c r="E274" s="4"/>
      <c r="F274" s="4"/>
      <c r="G274" s="4"/>
      <c r="H274" s="3"/>
      <c r="I274" s="4"/>
      <c r="J274" s="4"/>
      <c r="K274" s="3"/>
      <c r="L274" s="3"/>
      <c r="M274" s="4"/>
      <c r="N274" s="4"/>
      <c r="O274" s="4"/>
      <c r="P274" s="4"/>
      <c r="Q274" s="3"/>
      <c r="R274" s="4"/>
      <c r="S274" s="4"/>
      <c r="T274" s="4"/>
      <c r="U274" s="3"/>
      <c r="V274" s="4"/>
      <c r="W274" s="3"/>
      <c r="X274" s="3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57"/>
      <c r="D275" s="4"/>
      <c r="E275" s="4"/>
      <c r="F275" s="4"/>
      <c r="G275" s="4"/>
      <c r="H275" s="3"/>
      <c r="I275" s="4"/>
      <c r="J275" s="4"/>
      <c r="K275" s="3"/>
      <c r="L275" s="3"/>
      <c r="M275" s="4"/>
      <c r="N275" s="4"/>
      <c r="O275" s="4"/>
      <c r="P275" s="4"/>
      <c r="Q275" s="3"/>
      <c r="R275" s="4"/>
      <c r="S275" s="4"/>
      <c r="T275" s="4"/>
      <c r="U275" s="3"/>
      <c r="V275" s="4"/>
      <c r="W275" s="3"/>
      <c r="X275" s="3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57"/>
      <c r="D276" s="4"/>
      <c r="E276" s="4"/>
      <c r="F276" s="4"/>
      <c r="G276" s="4"/>
      <c r="H276" s="3"/>
      <c r="I276" s="4"/>
      <c r="J276" s="4"/>
      <c r="K276" s="3"/>
      <c r="L276" s="3"/>
      <c r="M276" s="4"/>
      <c r="N276" s="4"/>
      <c r="O276" s="4"/>
      <c r="P276" s="4"/>
      <c r="Q276" s="3"/>
      <c r="R276" s="4"/>
      <c r="S276" s="4"/>
      <c r="T276" s="4"/>
      <c r="U276" s="3"/>
      <c r="V276" s="4"/>
      <c r="W276" s="3"/>
      <c r="X276" s="3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57"/>
      <c r="D277" s="4"/>
      <c r="E277" s="4"/>
      <c r="F277" s="4"/>
      <c r="G277" s="4"/>
      <c r="H277" s="3"/>
      <c r="I277" s="4"/>
      <c r="J277" s="4"/>
      <c r="K277" s="3"/>
      <c r="L277" s="3"/>
      <c r="M277" s="4"/>
      <c r="N277" s="4"/>
      <c r="O277" s="4"/>
      <c r="P277" s="4"/>
      <c r="Q277" s="3"/>
      <c r="R277" s="4"/>
      <c r="S277" s="4"/>
      <c r="T277" s="4"/>
      <c r="U277" s="3"/>
      <c r="V277" s="4"/>
      <c r="W277" s="3"/>
      <c r="X277" s="3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57"/>
      <c r="D278" s="4"/>
      <c r="E278" s="4"/>
      <c r="F278" s="4"/>
      <c r="G278" s="4"/>
      <c r="H278" s="3"/>
      <c r="I278" s="4"/>
      <c r="J278" s="4"/>
      <c r="K278" s="3"/>
      <c r="L278" s="3"/>
      <c r="M278" s="4"/>
      <c r="N278" s="4"/>
      <c r="O278" s="4"/>
      <c r="P278" s="4"/>
      <c r="Q278" s="3"/>
      <c r="R278" s="4"/>
      <c r="S278" s="4"/>
      <c r="T278" s="4"/>
      <c r="U278" s="3"/>
      <c r="V278" s="4"/>
      <c r="W278" s="3"/>
      <c r="X278" s="3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57"/>
      <c r="D279" s="4"/>
      <c r="E279" s="4"/>
      <c r="F279" s="4"/>
      <c r="G279" s="4"/>
      <c r="H279" s="3"/>
      <c r="I279" s="4"/>
      <c r="J279" s="4"/>
      <c r="K279" s="3"/>
      <c r="L279" s="3"/>
      <c r="M279" s="4"/>
      <c r="N279" s="4"/>
      <c r="O279" s="4"/>
      <c r="P279" s="4"/>
      <c r="Q279" s="3"/>
      <c r="R279" s="4"/>
      <c r="S279" s="4"/>
      <c r="T279" s="4"/>
      <c r="U279" s="3"/>
      <c r="V279" s="4"/>
      <c r="W279" s="3"/>
      <c r="X279" s="3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57"/>
      <c r="D280" s="4"/>
      <c r="E280" s="4"/>
      <c r="F280" s="4"/>
      <c r="G280" s="4"/>
      <c r="H280" s="3"/>
      <c r="I280" s="4"/>
      <c r="J280" s="4"/>
      <c r="K280" s="3"/>
      <c r="L280" s="3"/>
      <c r="M280" s="4"/>
      <c r="N280" s="4"/>
      <c r="O280" s="4"/>
      <c r="P280" s="4"/>
      <c r="Q280" s="3"/>
      <c r="R280" s="4"/>
      <c r="S280" s="4"/>
      <c r="T280" s="4"/>
      <c r="U280" s="3"/>
      <c r="V280" s="4"/>
      <c r="W280" s="3"/>
      <c r="X280" s="3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57"/>
      <c r="D281" s="4"/>
      <c r="E281" s="4"/>
      <c r="F281" s="4"/>
      <c r="G281" s="4"/>
      <c r="H281" s="3"/>
      <c r="I281" s="4"/>
      <c r="J281" s="4"/>
      <c r="K281" s="3"/>
      <c r="L281" s="3"/>
      <c r="M281" s="4"/>
      <c r="N281" s="4"/>
      <c r="O281" s="4"/>
      <c r="P281" s="4"/>
      <c r="Q281" s="3"/>
      <c r="R281" s="4"/>
      <c r="S281" s="4"/>
      <c r="T281" s="4"/>
      <c r="U281" s="3"/>
      <c r="V281" s="4"/>
      <c r="W281" s="3"/>
      <c r="X281" s="3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57"/>
      <c r="D282" s="4"/>
      <c r="E282" s="4"/>
      <c r="F282" s="4"/>
      <c r="G282" s="4"/>
      <c r="H282" s="3"/>
      <c r="I282" s="4"/>
      <c r="J282" s="4"/>
      <c r="K282" s="3"/>
      <c r="L282" s="3"/>
      <c r="M282" s="4"/>
      <c r="N282" s="4"/>
      <c r="O282" s="4"/>
      <c r="P282" s="4"/>
      <c r="Q282" s="3"/>
      <c r="R282" s="4"/>
      <c r="S282" s="4"/>
      <c r="T282" s="4"/>
      <c r="U282" s="3"/>
      <c r="V282" s="4"/>
      <c r="W282" s="3"/>
      <c r="X282" s="3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57"/>
      <c r="D283" s="4"/>
      <c r="E283" s="4"/>
      <c r="F283" s="4"/>
      <c r="G283" s="4"/>
      <c r="H283" s="3"/>
      <c r="I283" s="4"/>
      <c r="J283" s="4"/>
      <c r="K283" s="3"/>
      <c r="L283" s="3"/>
      <c r="M283" s="4"/>
      <c r="N283" s="4"/>
      <c r="O283" s="4"/>
      <c r="P283" s="4"/>
      <c r="Q283" s="3"/>
      <c r="R283" s="4"/>
      <c r="S283" s="4"/>
      <c r="T283" s="4"/>
      <c r="U283" s="3"/>
      <c r="V283" s="4"/>
      <c r="W283" s="3"/>
      <c r="X283" s="3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57"/>
      <c r="D284" s="4"/>
      <c r="E284" s="4"/>
      <c r="F284" s="4"/>
      <c r="G284" s="4"/>
      <c r="H284" s="3"/>
      <c r="I284" s="4"/>
      <c r="J284" s="4"/>
      <c r="K284" s="3"/>
      <c r="L284" s="3"/>
      <c r="M284" s="4"/>
      <c r="N284" s="4"/>
      <c r="O284" s="4"/>
      <c r="P284" s="4"/>
      <c r="Q284" s="3"/>
      <c r="R284" s="4"/>
      <c r="S284" s="4"/>
      <c r="T284" s="4"/>
      <c r="U284" s="3"/>
      <c r="V284" s="4"/>
      <c r="W284" s="3"/>
      <c r="X284" s="3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57"/>
      <c r="D285" s="4"/>
      <c r="E285" s="4"/>
      <c r="F285" s="4"/>
      <c r="G285" s="4"/>
      <c r="H285" s="3"/>
      <c r="I285" s="4"/>
      <c r="J285" s="4"/>
      <c r="K285" s="3"/>
      <c r="L285" s="3"/>
      <c r="M285" s="4"/>
      <c r="N285" s="4"/>
      <c r="O285" s="4"/>
      <c r="P285" s="4"/>
      <c r="Q285" s="3"/>
      <c r="R285" s="4"/>
      <c r="S285" s="4"/>
      <c r="T285" s="4"/>
      <c r="U285" s="3"/>
      <c r="V285" s="4"/>
      <c r="W285" s="3"/>
      <c r="X285" s="3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57"/>
      <c r="D286" s="4"/>
      <c r="E286" s="4"/>
      <c r="F286" s="4"/>
      <c r="G286" s="4"/>
      <c r="H286" s="3"/>
      <c r="I286" s="4"/>
      <c r="J286" s="4"/>
      <c r="K286" s="3"/>
      <c r="L286" s="3"/>
      <c r="M286" s="4"/>
      <c r="N286" s="4"/>
      <c r="O286" s="4"/>
      <c r="P286" s="4"/>
      <c r="Q286" s="3"/>
      <c r="R286" s="4"/>
      <c r="S286" s="4"/>
      <c r="T286" s="4"/>
      <c r="U286" s="3"/>
      <c r="V286" s="4"/>
      <c r="W286" s="3"/>
      <c r="X286" s="3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57"/>
      <c r="D287" s="4"/>
      <c r="E287" s="4"/>
      <c r="F287" s="4"/>
      <c r="G287" s="4"/>
      <c r="H287" s="3"/>
      <c r="I287" s="4"/>
      <c r="J287" s="4"/>
      <c r="K287" s="3"/>
      <c r="L287" s="3"/>
      <c r="M287" s="4"/>
      <c r="N287" s="4"/>
      <c r="O287" s="4"/>
      <c r="P287" s="4"/>
      <c r="Q287" s="3"/>
      <c r="R287" s="4"/>
      <c r="S287" s="4"/>
      <c r="T287" s="4"/>
      <c r="U287" s="3"/>
      <c r="V287" s="4"/>
      <c r="W287" s="3"/>
      <c r="X287" s="3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57"/>
      <c r="D288" s="4"/>
      <c r="E288" s="4"/>
      <c r="F288" s="4"/>
      <c r="G288" s="4"/>
      <c r="H288" s="3"/>
      <c r="I288" s="4"/>
      <c r="J288" s="4"/>
      <c r="K288" s="3"/>
      <c r="L288" s="3"/>
      <c r="M288" s="4"/>
      <c r="N288" s="4"/>
      <c r="O288" s="4"/>
      <c r="P288" s="4"/>
      <c r="Q288" s="3"/>
      <c r="R288" s="4"/>
      <c r="S288" s="4"/>
      <c r="T288" s="4"/>
      <c r="U288" s="3"/>
      <c r="V288" s="4"/>
      <c r="W288" s="3"/>
      <c r="X288" s="3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57"/>
      <c r="D289" s="4"/>
      <c r="E289" s="4"/>
      <c r="F289" s="4"/>
      <c r="G289" s="4"/>
      <c r="H289" s="3"/>
      <c r="I289" s="4"/>
      <c r="J289" s="4"/>
      <c r="K289" s="3"/>
      <c r="L289" s="3"/>
      <c r="M289" s="4"/>
      <c r="N289" s="4"/>
      <c r="O289" s="4"/>
      <c r="P289" s="4"/>
      <c r="Q289" s="3"/>
      <c r="R289" s="4"/>
      <c r="S289" s="4"/>
      <c r="T289" s="4"/>
      <c r="U289" s="3"/>
      <c r="V289" s="4"/>
      <c r="W289" s="3"/>
      <c r="X289" s="3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57"/>
      <c r="D290" s="4"/>
      <c r="E290" s="4"/>
      <c r="F290" s="4"/>
      <c r="G290" s="4"/>
      <c r="H290" s="3"/>
      <c r="I290" s="4"/>
      <c r="J290" s="4"/>
      <c r="K290" s="3"/>
      <c r="L290" s="3"/>
      <c r="M290" s="4"/>
      <c r="N290" s="4"/>
      <c r="O290" s="4"/>
      <c r="P290" s="4"/>
      <c r="Q290" s="3"/>
      <c r="R290" s="4"/>
      <c r="S290" s="4"/>
      <c r="T290" s="4"/>
      <c r="U290" s="3"/>
      <c r="V290" s="4"/>
      <c r="W290" s="3"/>
      <c r="X290" s="3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57"/>
      <c r="D291" s="4"/>
      <c r="E291" s="4"/>
      <c r="F291" s="4"/>
      <c r="G291" s="4"/>
      <c r="H291" s="3"/>
      <c r="I291" s="4"/>
      <c r="J291" s="4"/>
      <c r="K291" s="3"/>
      <c r="L291" s="3"/>
      <c r="M291" s="4"/>
      <c r="N291" s="4"/>
      <c r="O291" s="4"/>
      <c r="P291" s="4"/>
      <c r="Q291" s="3"/>
      <c r="R291" s="4"/>
      <c r="S291" s="4"/>
      <c r="T291" s="4"/>
      <c r="U291" s="3"/>
      <c r="V291" s="4"/>
      <c r="W291" s="3"/>
      <c r="X291" s="3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57"/>
      <c r="D292" s="4"/>
      <c r="E292" s="4"/>
      <c r="F292" s="4"/>
      <c r="G292" s="4"/>
      <c r="H292" s="3"/>
      <c r="I292" s="4"/>
      <c r="J292" s="4"/>
      <c r="K292" s="3"/>
      <c r="L292" s="3"/>
      <c r="M292" s="4"/>
      <c r="N292" s="4"/>
      <c r="O292" s="4"/>
      <c r="P292" s="4"/>
      <c r="Q292" s="3"/>
      <c r="R292" s="4"/>
      <c r="S292" s="4"/>
      <c r="T292" s="4"/>
      <c r="U292" s="3"/>
      <c r="V292" s="4"/>
      <c r="W292" s="3"/>
      <c r="X292" s="3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57"/>
      <c r="D293" s="4"/>
      <c r="E293" s="4"/>
      <c r="F293" s="4"/>
      <c r="G293" s="4"/>
      <c r="H293" s="3"/>
      <c r="I293" s="4"/>
      <c r="J293" s="4"/>
      <c r="K293" s="3"/>
      <c r="L293" s="3"/>
      <c r="M293" s="4"/>
      <c r="N293" s="4"/>
      <c r="O293" s="4"/>
      <c r="P293" s="4"/>
      <c r="Q293" s="3"/>
      <c r="R293" s="4"/>
      <c r="S293" s="4"/>
      <c r="T293" s="4"/>
      <c r="U293" s="3"/>
      <c r="V293" s="4"/>
      <c r="W293" s="3"/>
      <c r="X293" s="3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57"/>
      <c r="D294" s="4"/>
      <c r="E294" s="4"/>
      <c r="F294" s="4"/>
      <c r="G294" s="4"/>
      <c r="H294" s="3"/>
      <c r="I294" s="4"/>
      <c r="J294" s="4"/>
      <c r="K294" s="3"/>
      <c r="L294" s="3"/>
      <c r="M294" s="4"/>
      <c r="N294" s="4"/>
      <c r="O294" s="4"/>
      <c r="P294" s="4"/>
      <c r="Q294" s="3"/>
      <c r="R294" s="4"/>
      <c r="S294" s="4"/>
      <c r="T294" s="4"/>
      <c r="U294" s="3"/>
      <c r="V294" s="4"/>
      <c r="W294" s="3"/>
      <c r="X294" s="3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57"/>
      <c r="D295" s="4"/>
      <c r="E295" s="4"/>
      <c r="F295" s="4"/>
      <c r="G295" s="4"/>
      <c r="H295" s="3"/>
      <c r="I295" s="4"/>
      <c r="J295" s="4"/>
      <c r="K295" s="3"/>
      <c r="L295" s="3"/>
      <c r="M295" s="4"/>
      <c r="N295" s="4"/>
      <c r="O295" s="4"/>
      <c r="P295" s="4"/>
      <c r="Q295" s="3"/>
      <c r="R295" s="4"/>
      <c r="S295" s="4"/>
      <c r="T295" s="4"/>
      <c r="U295" s="3"/>
      <c r="V295" s="4"/>
      <c r="W295" s="3"/>
      <c r="X295" s="3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57"/>
      <c r="D296" s="4"/>
      <c r="E296" s="4"/>
      <c r="F296" s="4"/>
      <c r="G296" s="4"/>
      <c r="H296" s="3"/>
      <c r="I296" s="4"/>
      <c r="J296" s="4"/>
      <c r="K296" s="3"/>
      <c r="L296" s="3"/>
      <c r="M296" s="4"/>
      <c r="N296" s="4"/>
      <c r="O296" s="4"/>
      <c r="P296" s="4"/>
      <c r="Q296" s="3"/>
      <c r="R296" s="4"/>
      <c r="S296" s="4"/>
      <c r="T296" s="4"/>
      <c r="U296" s="3"/>
      <c r="V296" s="4"/>
      <c r="W296" s="3"/>
      <c r="X296" s="3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57"/>
      <c r="D297" s="4"/>
      <c r="E297" s="4"/>
      <c r="F297" s="4"/>
      <c r="G297" s="4"/>
      <c r="H297" s="3"/>
      <c r="I297" s="4"/>
      <c r="J297" s="4"/>
      <c r="K297" s="3"/>
      <c r="L297" s="3"/>
      <c r="M297" s="4"/>
      <c r="N297" s="4"/>
      <c r="O297" s="4"/>
      <c r="P297" s="4"/>
      <c r="Q297" s="3"/>
      <c r="R297" s="4"/>
      <c r="S297" s="4"/>
      <c r="T297" s="4"/>
      <c r="U297" s="3"/>
      <c r="V297" s="4"/>
      <c r="W297" s="3"/>
      <c r="X297" s="3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57"/>
      <c r="D298" s="4"/>
      <c r="E298" s="4"/>
      <c r="F298" s="4"/>
      <c r="G298" s="4"/>
      <c r="H298" s="3"/>
      <c r="I298" s="4"/>
      <c r="J298" s="4"/>
      <c r="K298" s="3"/>
      <c r="L298" s="3"/>
      <c r="M298" s="4"/>
      <c r="N298" s="4"/>
      <c r="O298" s="4"/>
      <c r="P298" s="4"/>
      <c r="Q298" s="3"/>
      <c r="R298" s="4"/>
      <c r="S298" s="4"/>
      <c r="T298" s="4"/>
      <c r="U298" s="3"/>
      <c r="V298" s="4"/>
      <c r="W298" s="3"/>
      <c r="X298" s="3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57"/>
      <c r="D299" s="4"/>
      <c r="E299" s="4"/>
      <c r="F299" s="4"/>
      <c r="G299" s="4"/>
      <c r="H299" s="3"/>
      <c r="I299" s="4"/>
      <c r="J299" s="4"/>
      <c r="K299" s="3"/>
      <c r="L299" s="3"/>
      <c r="M299" s="4"/>
      <c r="N299" s="4"/>
      <c r="O299" s="4"/>
      <c r="P299" s="4"/>
      <c r="Q299" s="3"/>
      <c r="R299" s="4"/>
      <c r="S299" s="4"/>
      <c r="T299" s="4"/>
      <c r="U299" s="3"/>
      <c r="V299" s="4"/>
      <c r="W299" s="3"/>
      <c r="X299" s="3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57"/>
      <c r="D300" s="4"/>
      <c r="E300" s="4"/>
      <c r="F300" s="4"/>
      <c r="G300" s="4"/>
      <c r="H300" s="3"/>
      <c r="I300" s="4"/>
      <c r="J300" s="4"/>
      <c r="K300" s="3"/>
      <c r="L300" s="3"/>
      <c r="M300" s="4"/>
      <c r="N300" s="4"/>
      <c r="O300" s="4"/>
      <c r="P300" s="4"/>
      <c r="Q300" s="3"/>
      <c r="R300" s="4"/>
      <c r="S300" s="4"/>
      <c r="T300" s="4"/>
      <c r="U300" s="3"/>
      <c r="V300" s="4"/>
      <c r="W300" s="3"/>
      <c r="X300" s="3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57"/>
      <c r="D301" s="4"/>
      <c r="E301" s="4"/>
      <c r="F301" s="4"/>
      <c r="G301" s="4"/>
      <c r="H301" s="3"/>
      <c r="I301" s="4"/>
      <c r="J301" s="4"/>
      <c r="K301" s="3"/>
      <c r="L301" s="3"/>
      <c r="M301" s="4"/>
      <c r="N301" s="4"/>
      <c r="O301" s="4"/>
      <c r="P301" s="4"/>
      <c r="Q301" s="3"/>
      <c r="R301" s="4"/>
      <c r="S301" s="4"/>
      <c r="T301" s="4"/>
      <c r="U301" s="3"/>
      <c r="V301" s="4"/>
      <c r="W301" s="3"/>
      <c r="X301" s="3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57"/>
      <c r="D302" s="4"/>
      <c r="E302" s="4"/>
      <c r="F302" s="4"/>
      <c r="G302" s="4"/>
      <c r="H302" s="3"/>
      <c r="I302" s="4"/>
      <c r="J302" s="4"/>
      <c r="K302" s="3"/>
      <c r="L302" s="3"/>
      <c r="M302" s="4"/>
      <c r="N302" s="4"/>
      <c r="O302" s="4"/>
      <c r="P302" s="4"/>
      <c r="Q302" s="3"/>
      <c r="R302" s="4"/>
      <c r="S302" s="4"/>
      <c r="T302" s="4"/>
      <c r="U302" s="3"/>
      <c r="V302" s="4"/>
      <c r="W302" s="3"/>
      <c r="X302" s="3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57"/>
      <c r="D303" s="4"/>
      <c r="E303" s="4"/>
      <c r="F303" s="4"/>
      <c r="G303" s="4"/>
      <c r="H303" s="3"/>
      <c r="I303" s="4"/>
      <c r="J303" s="4"/>
      <c r="K303" s="3"/>
      <c r="L303" s="3"/>
      <c r="M303" s="4"/>
      <c r="N303" s="4"/>
      <c r="O303" s="4"/>
      <c r="P303" s="4"/>
      <c r="Q303" s="3"/>
      <c r="R303" s="4"/>
      <c r="S303" s="4"/>
      <c r="T303" s="4"/>
      <c r="U303" s="3"/>
      <c r="V303" s="4"/>
      <c r="W303" s="3"/>
      <c r="X303" s="3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57"/>
      <c r="D304" s="4"/>
      <c r="E304" s="4"/>
      <c r="F304" s="4"/>
      <c r="G304" s="4"/>
      <c r="H304" s="3"/>
      <c r="I304" s="4"/>
      <c r="J304" s="4"/>
      <c r="K304" s="3"/>
      <c r="L304" s="3"/>
      <c r="M304" s="4"/>
      <c r="N304" s="4"/>
      <c r="O304" s="4"/>
      <c r="P304" s="4"/>
      <c r="Q304" s="3"/>
      <c r="R304" s="4"/>
      <c r="S304" s="4"/>
      <c r="T304" s="4"/>
      <c r="U304" s="3"/>
      <c r="V304" s="4"/>
      <c r="W304" s="3"/>
      <c r="X304" s="3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57"/>
      <c r="D305" s="4"/>
      <c r="E305" s="4"/>
      <c r="F305" s="4"/>
      <c r="G305" s="4"/>
      <c r="H305" s="3"/>
      <c r="I305" s="4"/>
      <c r="J305" s="4"/>
      <c r="K305" s="3"/>
      <c r="L305" s="3"/>
      <c r="M305" s="4"/>
      <c r="N305" s="4"/>
      <c r="O305" s="4"/>
      <c r="P305" s="4"/>
      <c r="Q305" s="3"/>
      <c r="R305" s="4"/>
      <c r="S305" s="4"/>
      <c r="T305" s="4"/>
      <c r="U305" s="3"/>
      <c r="V305" s="4"/>
      <c r="W305" s="3"/>
      <c r="X305" s="3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57"/>
      <c r="D306" s="4"/>
      <c r="E306" s="4"/>
      <c r="F306" s="4"/>
      <c r="G306" s="4"/>
      <c r="H306" s="3"/>
      <c r="I306" s="4"/>
      <c r="J306" s="4"/>
      <c r="K306" s="3"/>
      <c r="L306" s="3"/>
      <c r="M306" s="4"/>
      <c r="N306" s="4"/>
      <c r="O306" s="4"/>
      <c r="P306" s="4"/>
      <c r="Q306" s="3"/>
      <c r="R306" s="4"/>
      <c r="S306" s="4"/>
      <c r="T306" s="4"/>
      <c r="U306" s="3"/>
      <c r="V306" s="4"/>
      <c r="W306" s="3"/>
      <c r="X306" s="3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57"/>
      <c r="D307" s="4"/>
      <c r="E307" s="4"/>
      <c r="F307" s="4"/>
      <c r="G307" s="4"/>
      <c r="H307" s="3"/>
      <c r="I307" s="4"/>
      <c r="J307" s="4"/>
      <c r="K307" s="3"/>
      <c r="L307" s="3"/>
      <c r="M307" s="4"/>
      <c r="N307" s="4"/>
      <c r="O307" s="4"/>
      <c r="P307" s="4"/>
      <c r="Q307" s="3"/>
      <c r="R307" s="4"/>
      <c r="S307" s="4"/>
      <c r="T307" s="4"/>
      <c r="U307" s="3"/>
      <c r="V307" s="4"/>
      <c r="W307" s="3"/>
      <c r="X307" s="3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57"/>
      <c r="D308" s="4"/>
      <c r="E308" s="4"/>
      <c r="F308" s="4"/>
      <c r="G308" s="4"/>
      <c r="H308" s="3"/>
      <c r="I308" s="4"/>
      <c r="J308" s="4"/>
      <c r="K308" s="3"/>
      <c r="L308" s="3"/>
      <c r="M308" s="4"/>
      <c r="N308" s="4"/>
      <c r="O308" s="4"/>
      <c r="P308" s="4"/>
      <c r="Q308" s="3"/>
      <c r="R308" s="4"/>
      <c r="S308" s="4"/>
      <c r="T308" s="4"/>
      <c r="U308" s="3"/>
      <c r="V308" s="4"/>
      <c r="W308" s="3"/>
      <c r="X308" s="3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57"/>
      <c r="D309" s="4"/>
      <c r="E309" s="4"/>
      <c r="F309" s="4"/>
      <c r="G309" s="4"/>
      <c r="H309" s="3"/>
      <c r="I309" s="4"/>
      <c r="J309" s="4"/>
      <c r="K309" s="3"/>
      <c r="L309" s="3"/>
      <c r="M309" s="4"/>
      <c r="N309" s="4"/>
      <c r="O309" s="4"/>
      <c r="P309" s="4"/>
      <c r="Q309" s="3"/>
      <c r="R309" s="4"/>
      <c r="S309" s="4"/>
      <c r="T309" s="4"/>
      <c r="U309" s="3"/>
      <c r="V309" s="4"/>
      <c r="W309" s="3"/>
      <c r="X309" s="3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57"/>
      <c r="D310" s="4"/>
      <c r="E310" s="4"/>
      <c r="F310" s="4"/>
      <c r="G310" s="4"/>
      <c r="H310" s="3"/>
      <c r="I310" s="4"/>
      <c r="J310" s="4"/>
      <c r="K310" s="3"/>
      <c r="L310" s="3"/>
      <c r="M310" s="4"/>
      <c r="N310" s="4"/>
      <c r="O310" s="4"/>
      <c r="P310" s="4"/>
      <c r="Q310" s="3"/>
      <c r="R310" s="4"/>
      <c r="S310" s="4"/>
      <c r="T310" s="4"/>
      <c r="U310" s="3"/>
      <c r="V310" s="4"/>
      <c r="W310" s="3"/>
      <c r="X310" s="3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57"/>
      <c r="D311" s="4"/>
      <c r="E311" s="4"/>
      <c r="F311" s="4"/>
      <c r="G311" s="4"/>
      <c r="H311" s="3"/>
      <c r="I311" s="4"/>
      <c r="J311" s="4"/>
      <c r="K311" s="3"/>
      <c r="L311" s="3"/>
      <c r="M311" s="4"/>
      <c r="N311" s="4"/>
      <c r="O311" s="4"/>
      <c r="P311" s="4"/>
      <c r="Q311" s="3"/>
      <c r="R311" s="4"/>
      <c r="S311" s="4"/>
      <c r="T311" s="4"/>
      <c r="U311" s="3"/>
      <c r="V311" s="4"/>
      <c r="W311" s="3"/>
      <c r="X311" s="3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57"/>
      <c r="D312" s="4"/>
      <c r="E312" s="4"/>
      <c r="F312" s="4"/>
      <c r="G312" s="4"/>
      <c r="H312" s="3"/>
      <c r="I312" s="4"/>
      <c r="J312" s="4"/>
      <c r="K312" s="3"/>
      <c r="L312" s="3"/>
      <c r="M312" s="4"/>
      <c r="N312" s="4"/>
      <c r="O312" s="4"/>
      <c r="P312" s="4"/>
      <c r="Q312" s="3"/>
      <c r="R312" s="4"/>
      <c r="S312" s="4"/>
      <c r="T312" s="4"/>
      <c r="U312" s="3"/>
      <c r="V312" s="4"/>
      <c r="W312" s="3"/>
      <c r="X312" s="3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57"/>
      <c r="D313" s="4"/>
      <c r="E313" s="4"/>
      <c r="F313" s="4"/>
      <c r="G313" s="4"/>
      <c r="H313" s="3"/>
      <c r="I313" s="4"/>
      <c r="J313" s="4"/>
      <c r="K313" s="3"/>
      <c r="L313" s="3"/>
      <c r="M313" s="4"/>
      <c r="N313" s="4"/>
      <c r="O313" s="4"/>
      <c r="P313" s="4"/>
      <c r="Q313" s="3"/>
      <c r="R313" s="4"/>
      <c r="S313" s="4"/>
      <c r="T313" s="4"/>
      <c r="U313" s="3"/>
      <c r="V313" s="4"/>
      <c r="W313" s="3"/>
      <c r="X313" s="3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57"/>
      <c r="D314" s="4"/>
      <c r="E314" s="4"/>
      <c r="F314" s="4"/>
      <c r="G314" s="4"/>
      <c r="H314" s="3"/>
      <c r="I314" s="4"/>
      <c r="J314" s="4"/>
      <c r="K314" s="3"/>
      <c r="L314" s="3"/>
      <c r="M314" s="4"/>
      <c r="N314" s="4"/>
      <c r="O314" s="4"/>
      <c r="P314" s="4"/>
      <c r="Q314" s="3"/>
      <c r="R314" s="4"/>
      <c r="S314" s="4"/>
      <c r="T314" s="4"/>
      <c r="U314" s="3"/>
      <c r="V314" s="4"/>
      <c r="W314" s="3"/>
      <c r="X314" s="3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57"/>
      <c r="D315" s="4"/>
      <c r="E315" s="4"/>
      <c r="F315" s="4"/>
      <c r="G315" s="4"/>
      <c r="H315" s="3"/>
      <c r="I315" s="4"/>
      <c r="J315" s="4"/>
      <c r="K315" s="3"/>
      <c r="L315" s="3"/>
      <c r="M315" s="4"/>
      <c r="N315" s="4"/>
      <c r="O315" s="4"/>
      <c r="P315" s="4"/>
      <c r="Q315" s="3"/>
      <c r="R315" s="4"/>
      <c r="S315" s="4"/>
      <c r="T315" s="4"/>
      <c r="U315" s="3"/>
      <c r="V315" s="4"/>
      <c r="W315" s="3"/>
      <c r="X315" s="3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57"/>
      <c r="D316" s="4"/>
      <c r="E316" s="4"/>
      <c r="F316" s="4"/>
      <c r="G316" s="4"/>
      <c r="H316" s="3"/>
      <c r="I316" s="4"/>
      <c r="J316" s="4"/>
      <c r="K316" s="3"/>
      <c r="L316" s="3"/>
      <c r="M316" s="4"/>
      <c r="N316" s="4"/>
      <c r="O316" s="4"/>
      <c r="P316" s="4"/>
      <c r="Q316" s="3"/>
      <c r="R316" s="4"/>
      <c r="S316" s="4"/>
      <c r="T316" s="4"/>
      <c r="U316" s="3"/>
      <c r="V316" s="4"/>
      <c r="W316" s="3"/>
      <c r="X316" s="3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57"/>
      <c r="D317" s="4"/>
      <c r="E317" s="4"/>
      <c r="F317" s="4"/>
      <c r="G317" s="4"/>
      <c r="H317" s="3"/>
      <c r="I317" s="4"/>
      <c r="J317" s="4"/>
      <c r="K317" s="3"/>
      <c r="L317" s="3"/>
      <c r="M317" s="4"/>
      <c r="N317" s="4"/>
      <c r="O317" s="4"/>
      <c r="P317" s="4"/>
      <c r="Q317" s="3"/>
      <c r="R317" s="4"/>
      <c r="S317" s="4"/>
      <c r="T317" s="4"/>
      <c r="U317" s="3"/>
      <c r="V317" s="4"/>
      <c r="W317" s="3"/>
      <c r="X317" s="3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57"/>
      <c r="D318" s="4"/>
      <c r="E318" s="4"/>
      <c r="F318" s="4"/>
      <c r="G318" s="4"/>
      <c r="H318" s="3"/>
      <c r="I318" s="4"/>
      <c r="J318" s="4"/>
      <c r="K318" s="3"/>
      <c r="L318" s="3"/>
      <c r="M318" s="4"/>
      <c r="N318" s="4"/>
      <c r="O318" s="4"/>
      <c r="P318" s="4"/>
      <c r="Q318" s="3"/>
      <c r="R318" s="4"/>
      <c r="S318" s="4"/>
      <c r="T318" s="4"/>
      <c r="U318" s="3"/>
      <c r="V318" s="4"/>
      <c r="W318" s="3"/>
      <c r="X318" s="3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57"/>
      <c r="D319" s="4"/>
      <c r="E319" s="4"/>
      <c r="F319" s="4"/>
      <c r="G319" s="4"/>
      <c r="H319" s="3"/>
      <c r="I319" s="4"/>
      <c r="J319" s="4"/>
      <c r="K319" s="3"/>
      <c r="L319" s="3"/>
      <c r="M319" s="4"/>
      <c r="N319" s="4"/>
      <c r="O319" s="4"/>
      <c r="P319" s="4"/>
      <c r="Q319" s="3"/>
      <c r="R319" s="4"/>
      <c r="S319" s="4"/>
      <c r="T319" s="4"/>
      <c r="U319" s="3"/>
      <c r="V319" s="4"/>
      <c r="W319" s="3"/>
      <c r="X319" s="3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57"/>
      <c r="D320" s="4"/>
      <c r="E320" s="4"/>
      <c r="F320" s="4"/>
      <c r="G320" s="4"/>
      <c r="H320" s="3"/>
      <c r="I320" s="4"/>
      <c r="J320" s="4"/>
      <c r="K320" s="3"/>
      <c r="L320" s="3"/>
      <c r="M320" s="4"/>
      <c r="N320" s="4"/>
      <c r="O320" s="4"/>
      <c r="P320" s="4"/>
      <c r="Q320" s="3"/>
      <c r="R320" s="4"/>
      <c r="S320" s="4"/>
      <c r="T320" s="4"/>
      <c r="U320" s="3"/>
      <c r="V320" s="4"/>
      <c r="W320" s="3"/>
      <c r="X320" s="3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57"/>
      <c r="D321" s="4"/>
      <c r="E321" s="4"/>
      <c r="F321" s="4"/>
      <c r="G321" s="4"/>
      <c r="H321" s="3"/>
      <c r="I321" s="4"/>
      <c r="J321" s="4"/>
      <c r="K321" s="3"/>
      <c r="L321" s="3"/>
      <c r="M321" s="4"/>
      <c r="N321" s="4"/>
      <c r="O321" s="4"/>
      <c r="P321" s="4"/>
      <c r="Q321" s="3"/>
      <c r="R321" s="4"/>
      <c r="S321" s="4"/>
      <c r="T321" s="4"/>
      <c r="U321" s="3"/>
      <c r="V321" s="4"/>
      <c r="W321" s="3"/>
      <c r="X321" s="3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57"/>
      <c r="D322" s="4"/>
      <c r="E322" s="4"/>
      <c r="F322" s="4"/>
      <c r="G322" s="4"/>
      <c r="H322" s="3"/>
      <c r="I322" s="4"/>
      <c r="J322" s="4"/>
      <c r="K322" s="3"/>
      <c r="L322" s="3"/>
      <c r="M322" s="4"/>
      <c r="N322" s="4"/>
      <c r="O322" s="4"/>
      <c r="P322" s="4"/>
      <c r="Q322" s="3"/>
      <c r="R322" s="4"/>
      <c r="S322" s="4"/>
      <c r="T322" s="4"/>
      <c r="U322" s="3"/>
      <c r="V322" s="4"/>
      <c r="W322" s="3"/>
      <c r="X322" s="3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57"/>
      <c r="D323" s="4"/>
      <c r="E323" s="4"/>
      <c r="F323" s="4"/>
      <c r="G323" s="4"/>
      <c r="H323" s="3"/>
      <c r="I323" s="4"/>
      <c r="J323" s="4"/>
      <c r="K323" s="3"/>
      <c r="L323" s="3"/>
      <c r="M323" s="4"/>
      <c r="N323" s="4"/>
      <c r="O323" s="4"/>
      <c r="P323" s="4"/>
      <c r="Q323" s="3"/>
      <c r="R323" s="4"/>
      <c r="S323" s="4"/>
      <c r="T323" s="4"/>
      <c r="U323" s="3"/>
      <c r="V323" s="4"/>
      <c r="W323" s="3"/>
      <c r="X323" s="3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57"/>
      <c r="D324" s="4"/>
      <c r="E324" s="4"/>
      <c r="F324" s="4"/>
      <c r="G324" s="4"/>
      <c r="H324" s="3"/>
      <c r="I324" s="4"/>
      <c r="J324" s="4"/>
      <c r="K324" s="3"/>
      <c r="L324" s="3"/>
      <c r="M324" s="4"/>
      <c r="N324" s="4"/>
      <c r="O324" s="4"/>
      <c r="P324" s="4"/>
      <c r="Q324" s="3"/>
      <c r="R324" s="4"/>
      <c r="S324" s="4"/>
      <c r="T324" s="4"/>
      <c r="U324" s="3"/>
      <c r="V324" s="4"/>
      <c r="W324" s="3"/>
      <c r="X324" s="3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57"/>
      <c r="D325" s="4"/>
      <c r="E325" s="4"/>
      <c r="F325" s="4"/>
      <c r="G325" s="4"/>
      <c r="H325" s="3"/>
      <c r="I325" s="4"/>
      <c r="J325" s="4"/>
      <c r="K325" s="3"/>
      <c r="L325" s="3"/>
      <c r="M325" s="4"/>
      <c r="N325" s="4"/>
      <c r="O325" s="4"/>
      <c r="P325" s="4"/>
      <c r="Q325" s="3"/>
      <c r="R325" s="4"/>
      <c r="S325" s="4"/>
      <c r="T325" s="4"/>
      <c r="U325" s="3"/>
      <c r="V325" s="4"/>
      <c r="W325" s="3"/>
      <c r="X325" s="3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57"/>
      <c r="D326" s="4"/>
      <c r="E326" s="4"/>
      <c r="F326" s="4"/>
      <c r="G326" s="4"/>
      <c r="H326" s="3"/>
      <c r="I326" s="4"/>
      <c r="J326" s="4"/>
      <c r="K326" s="3"/>
      <c r="L326" s="3"/>
      <c r="M326" s="4"/>
      <c r="N326" s="4"/>
      <c r="O326" s="4"/>
      <c r="P326" s="4"/>
      <c r="Q326" s="3"/>
      <c r="R326" s="4"/>
      <c r="S326" s="4"/>
      <c r="T326" s="4"/>
      <c r="U326" s="3"/>
      <c r="V326" s="4"/>
      <c r="W326" s="3"/>
      <c r="X326" s="3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57"/>
      <c r="D327" s="4"/>
      <c r="E327" s="4"/>
      <c r="F327" s="4"/>
      <c r="G327" s="4"/>
      <c r="H327" s="3"/>
      <c r="I327" s="4"/>
      <c r="J327" s="4"/>
      <c r="K327" s="3"/>
      <c r="L327" s="3"/>
      <c r="M327" s="4"/>
      <c r="N327" s="4"/>
      <c r="O327" s="4"/>
      <c r="P327" s="4"/>
      <c r="Q327" s="3"/>
      <c r="R327" s="4"/>
      <c r="S327" s="4"/>
      <c r="T327" s="4"/>
      <c r="U327" s="3"/>
      <c r="V327" s="4"/>
      <c r="W327" s="3"/>
      <c r="X327" s="3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57"/>
      <c r="D328" s="4"/>
      <c r="E328" s="4"/>
      <c r="F328" s="4"/>
      <c r="G328" s="4"/>
      <c r="H328" s="3"/>
      <c r="I328" s="4"/>
      <c r="J328" s="4"/>
      <c r="K328" s="3"/>
      <c r="L328" s="3"/>
      <c r="M328" s="4"/>
      <c r="N328" s="4"/>
      <c r="O328" s="4"/>
      <c r="P328" s="4"/>
      <c r="Q328" s="3"/>
      <c r="R328" s="4"/>
      <c r="S328" s="4"/>
      <c r="T328" s="4"/>
      <c r="U328" s="3"/>
      <c r="V328" s="4"/>
      <c r="W328" s="3"/>
      <c r="X328" s="3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57"/>
      <c r="D329" s="4"/>
      <c r="E329" s="4"/>
      <c r="F329" s="4"/>
      <c r="G329" s="4"/>
      <c r="H329" s="3"/>
      <c r="I329" s="4"/>
      <c r="J329" s="4"/>
      <c r="K329" s="3"/>
      <c r="L329" s="3"/>
      <c r="M329" s="4"/>
      <c r="N329" s="4"/>
      <c r="O329" s="4"/>
      <c r="P329" s="4"/>
      <c r="Q329" s="3"/>
      <c r="R329" s="4"/>
      <c r="S329" s="4"/>
      <c r="T329" s="4"/>
      <c r="U329" s="3"/>
      <c r="V329" s="4"/>
      <c r="W329" s="3"/>
      <c r="X329" s="3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57"/>
      <c r="D330" s="4"/>
      <c r="E330" s="4"/>
      <c r="F330" s="4"/>
      <c r="G330" s="4"/>
      <c r="H330" s="3"/>
      <c r="I330" s="4"/>
      <c r="J330" s="4"/>
      <c r="K330" s="3"/>
      <c r="L330" s="3"/>
      <c r="M330" s="4"/>
      <c r="N330" s="4"/>
      <c r="O330" s="4"/>
      <c r="P330" s="4"/>
      <c r="Q330" s="3"/>
      <c r="R330" s="4"/>
      <c r="S330" s="4"/>
      <c r="T330" s="4"/>
      <c r="U330" s="3"/>
      <c r="V330" s="4"/>
      <c r="W330" s="3"/>
      <c r="X330" s="3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57"/>
      <c r="D331" s="4"/>
      <c r="E331" s="4"/>
      <c r="F331" s="4"/>
      <c r="G331" s="4"/>
      <c r="H331" s="3"/>
      <c r="I331" s="4"/>
      <c r="J331" s="4"/>
      <c r="K331" s="3"/>
      <c r="L331" s="3"/>
      <c r="M331" s="4"/>
      <c r="N331" s="4"/>
      <c r="O331" s="4"/>
      <c r="P331" s="4"/>
      <c r="Q331" s="3"/>
      <c r="R331" s="4"/>
      <c r="S331" s="4"/>
      <c r="T331" s="4"/>
      <c r="U331" s="3"/>
      <c r="V331" s="4"/>
      <c r="W331" s="3"/>
      <c r="X331" s="3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57"/>
      <c r="D332" s="4"/>
      <c r="E332" s="4"/>
      <c r="F332" s="4"/>
      <c r="G332" s="4"/>
      <c r="H332" s="3"/>
      <c r="I332" s="4"/>
      <c r="J332" s="4"/>
      <c r="K332" s="3"/>
      <c r="L332" s="3"/>
      <c r="M332" s="4"/>
      <c r="N332" s="4"/>
      <c r="O332" s="4"/>
      <c r="P332" s="4"/>
      <c r="Q332" s="3"/>
      <c r="R332" s="4"/>
      <c r="S332" s="4"/>
      <c r="T332" s="4"/>
      <c r="U332" s="3"/>
      <c r="V332" s="4"/>
      <c r="W332" s="3"/>
      <c r="X332" s="3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57"/>
      <c r="D333" s="4"/>
      <c r="E333" s="4"/>
      <c r="F333" s="4"/>
      <c r="G333" s="4"/>
      <c r="H333" s="3"/>
      <c r="I333" s="4"/>
      <c r="J333" s="4"/>
      <c r="K333" s="3"/>
      <c r="L333" s="3"/>
      <c r="M333" s="4"/>
      <c r="N333" s="4"/>
      <c r="O333" s="4"/>
      <c r="P333" s="4"/>
      <c r="Q333" s="3"/>
      <c r="R333" s="4"/>
      <c r="S333" s="4"/>
      <c r="T333" s="4"/>
      <c r="U333" s="3"/>
      <c r="V333" s="4"/>
      <c r="W333" s="3"/>
      <c r="X333" s="3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57"/>
      <c r="D334" s="4"/>
      <c r="E334" s="4"/>
      <c r="F334" s="4"/>
      <c r="G334" s="4"/>
      <c r="H334" s="3"/>
      <c r="I334" s="4"/>
      <c r="J334" s="4"/>
      <c r="K334" s="3"/>
      <c r="L334" s="3"/>
      <c r="M334" s="4"/>
      <c r="N334" s="4"/>
      <c r="O334" s="4"/>
      <c r="P334" s="4"/>
      <c r="Q334" s="3"/>
      <c r="R334" s="4"/>
      <c r="S334" s="4"/>
      <c r="T334" s="4"/>
      <c r="U334" s="3"/>
      <c r="V334" s="4"/>
      <c r="W334" s="3"/>
      <c r="X334" s="3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57"/>
      <c r="D335" s="4"/>
      <c r="E335" s="4"/>
      <c r="F335" s="4"/>
      <c r="G335" s="4"/>
      <c r="H335" s="3"/>
      <c r="I335" s="4"/>
      <c r="J335" s="4"/>
      <c r="K335" s="3"/>
      <c r="L335" s="3"/>
      <c r="M335" s="4"/>
      <c r="N335" s="4"/>
      <c r="O335" s="4"/>
      <c r="P335" s="4"/>
      <c r="Q335" s="3"/>
      <c r="R335" s="4"/>
      <c r="S335" s="4"/>
      <c r="T335" s="4"/>
      <c r="U335" s="3"/>
      <c r="V335" s="4"/>
      <c r="W335" s="3"/>
      <c r="X335" s="3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57"/>
      <c r="D336" s="4"/>
      <c r="E336" s="4"/>
      <c r="F336" s="4"/>
      <c r="G336" s="4"/>
      <c r="H336" s="3"/>
      <c r="I336" s="4"/>
      <c r="J336" s="4"/>
      <c r="K336" s="3"/>
      <c r="L336" s="3"/>
      <c r="M336" s="4"/>
      <c r="N336" s="4"/>
      <c r="O336" s="4"/>
      <c r="P336" s="4"/>
      <c r="Q336" s="3"/>
      <c r="R336" s="4"/>
      <c r="S336" s="4"/>
      <c r="T336" s="4"/>
      <c r="U336" s="3"/>
      <c r="V336" s="4"/>
      <c r="W336" s="3"/>
      <c r="X336" s="3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57"/>
      <c r="D337" s="4"/>
      <c r="E337" s="4"/>
      <c r="F337" s="4"/>
      <c r="G337" s="4"/>
      <c r="H337" s="3"/>
      <c r="I337" s="4"/>
      <c r="J337" s="4"/>
      <c r="K337" s="3"/>
      <c r="L337" s="3"/>
      <c r="M337" s="4"/>
      <c r="N337" s="4"/>
      <c r="O337" s="4"/>
      <c r="P337" s="4"/>
      <c r="Q337" s="3"/>
      <c r="R337" s="4"/>
      <c r="S337" s="4"/>
      <c r="T337" s="4"/>
      <c r="U337" s="3"/>
      <c r="V337" s="4"/>
      <c r="W337" s="3"/>
      <c r="X337" s="3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57"/>
      <c r="D338" s="4"/>
      <c r="E338" s="4"/>
      <c r="F338" s="4"/>
      <c r="G338" s="4"/>
      <c r="H338" s="3"/>
      <c r="I338" s="4"/>
      <c r="J338" s="4"/>
      <c r="K338" s="3"/>
      <c r="L338" s="3"/>
      <c r="M338" s="4"/>
      <c r="N338" s="4"/>
      <c r="O338" s="4"/>
      <c r="P338" s="4"/>
      <c r="Q338" s="3"/>
      <c r="R338" s="4"/>
      <c r="S338" s="4"/>
      <c r="T338" s="4"/>
      <c r="U338" s="3"/>
      <c r="V338" s="4"/>
      <c r="W338" s="3"/>
      <c r="X338" s="3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57"/>
      <c r="D339" s="4"/>
      <c r="E339" s="4"/>
      <c r="F339" s="4"/>
      <c r="G339" s="4"/>
      <c r="H339" s="3"/>
      <c r="I339" s="4"/>
      <c r="J339" s="4"/>
      <c r="K339" s="3"/>
      <c r="L339" s="3"/>
      <c r="M339" s="4"/>
      <c r="N339" s="4"/>
      <c r="O339" s="4"/>
      <c r="P339" s="4"/>
      <c r="Q339" s="3"/>
      <c r="R339" s="4"/>
      <c r="S339" s="4"/>
      <c r="T339" s="4"/>
      <c r="U339" s="3"/>
      <c r="V339" s="4"/>
      <c r="W339" s="3"/>
      <c r="X339" s="3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57"/>
      <c r="D340" s="4"/>
      <c r="E340" s="4"/>
      <c r="F340" s="4"/>
      <c r="G340" s="4"/>
      <c r="H340" s="3"/>
      <c r="I340" s="4"/>
      <c r="J340" s="4"/>
      <c r="K340" s="3"/>
      <c r="L340" s="3"/>
      <c r="M340" s="4"/>
      <c r="N340" s="4"/>
      <c r="O340" s="4"/>
      <c r="P340" s="4"/>
      <c r="Q340" s="3"/>
      <c r="R340" s="4"/>
      <c r="S340" s="4"/>
      <c r="T340" s="4"/>
      <c r="U340" s="3"/>
      <c r="V340" s="4"/>
      <c r="W340" s="3"/>
      <c r="X340" s="3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57"/>
      <c r="D341" s="4"/>
      <c r="E341" s="4"/>
      <c r="F341" s="4"/>
      <c r="G341" s="4"/>
      <c r="H341" s="3"/>
      <c r="I341" s="4"/>
      <c r="J341" s="4"/>
      <c r="K341" s="3"/>
      <c r="L341" s="3"/>
      <c r="M341" s="4"/>
      <c r="N341" s="4"/>
      <c r="O341" s="4"/>
      <c r="P341" s="4"/>
      <c r="Q341" s="3"/>
      <c r="R341" s="4"/>
      <c r="S341" s="4"/>
      <c r="T341" s="4"/>
      <c r="U341" s="3"/>
      <c r="V341" s="4"/>
      <c r="W341" s="3"/>
      <c r="X341" s="3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57"/>
      <c r="D342" s="4"/>
      <c r="E342" s="4"/>
      <c r="F342" s="4"/>
      <c r="G342" s="4"/>
      <c r="H342" s="3"/>
      <c r="I342" s="4"/>
      <c r="J342" s="4"/>
      <c r="K342" s="3"/>
      <c r="L342" s="3"/>
      <c r="M342" s="4"/>
      <c r="N342" s="4"/>
      <c r="O342" s="4"/>
      <c r="P342" s="4"/>
      <c r="Q342" s="3"/>
      <c r="R342" s="4"/>
      <c r="S342" s="4"/>
      <c r="T342" s="4"/>
      <c r="U342" s="3"/>
      <c r="V342" s="4"/>
      <c r="W342" s="3"/>
      <c r="X342" s="3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57"/>
      <c r="D343" s="4"/>
      <c r="E343" s="4"/>
      <c r="F343" s="4"/>
      <c r="G343" s="4"/>
      <c r="H343" s="3"/>
      <c r="I343" s="4"/>
      <c r="J343" s="4"/>
      <c r="K343" s="3"/>
      <c r="L343" s="3"/>
      <c r="M343" s="4"/>
      <c r="N343" s="4"/>
      <c r="O343" s="4"/>
      <c r="P343" s="4"/>
      <c r="Q343" s="3"/>
      <c r="R343" s="4"/>
      <c r="S343" s="4"/>
      <c r="T343" s="4"/>
      <c r="U343" s="3"/>
      <c r="V343" s="4"/>
      <c r="W343" s="3"/>
      <c r="X343" s="3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57"/>
      <c r="D344" s="4"/>
      <c r="E344" s="4"/>
      <c r="F344" s="4"/>
      <c r="G344" s="4"/>
      <c r="H344" s="3"/>
      <c r="I344" s="4"/>
      <c r="J344" s="4"/>
      <c r="K344" s="3"/>
      <c r="L344" s="3"/>
      <c r="M344" s="4"/>
      <c r="N344" s="4"/>
      <c r="O344" s="4"/>
      <c r="P344" s="4"/>
      <c r="Q344" s="3"/>
      <c r="R344" s="4"/>
      <c r="S344" s="4"/>
      <c r="T344" s="4"/>
      <c r="U344" s="3"/>
      <c r="V344" s="4"/>
      <c r="W344" s="3"/>
      <c r="X344" s="3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57"/>
      <c r="D345" s="4"/>
      <c r="E345" s="4"/>
      <c r="F345" s="4"/>
      <c r="G345" s="4"/>
      <c r="H345" s="3"/>
      <c r="I345" s="4"/>
      <c r="J345" s="4"/>
      <c r="K345" s="3"/>
      <c r="L345" s="3"/>
      <c r="M345" s="4"/>
      <c r="N345" s="4"/>
      <c r="O345" s="4"/>
      <c r="P345" s="4"/>
      <c r="Q345" s="3"/>
      <c r="R345" s="4"/>
      <c r="S345" s="4"/>
      <c r="T345" s="4"/>
      <c r="U345" s="3"/>
      <c r="V345" s="4"/>
      <c r="W345" s="3"/>
      <c r="X345" s="3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57"/>
      <c r="D346" s="4"/>
      <c r="E346" s="4"/>
      <c r="F346" s="4"/>
      <c r="G346" s="4"/>
      <c r="H346" s="3"/>
      <c r="I346" s="4"/>
      <c r="J346" s="4"/>
      <c r="K346" s="3"/>
      <c r="L346" s="3"/>
      <c r="M346" s="4"/>
      <c r="N346" s="4"/>
      <c r="O346" s="4"/>
      <c r="P346" s="4"/>
      <c r="Q346" s="3"/>
      <c r="R346" s="4"/>
      <c r="S346" s="4"/>
      <c r="T346" s="4"/>
      <c r="U346" s="3"/>
      <c r="V346" s="4"/>
      <c r="W346" s="3"/>
      <c r="X346" s="3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57"/>
      <c r="D347" s="4"/>
      <c r="E347" s="4"/>
      <c r="F347" s="4"/>
      <c r="G347" s="4"/>
      <c r="H347" s="3"/>
      <c r="I347" s="4"/>
      <c r="J347" s="4"/>
      <c r="K347" s="3"/>
      <c r="L347" s="3"/>
      <c r="M347" s="4"/>
      <c r="N347" s="4"/>
      <c r="O347" s="4"/>
      <c r="P347" s="4"/>
      <c r="Q347" s="3"/>
      <c r="R347" s="4"/>
      <c r="S347" s="4"/>
      <c r="T347" s="4"/>
      <c r="U347" s="3"/>
      <c r="V347" s="4"/>
      <c r="W347" s="3"/>
      <c r="X347" s="3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57"/>
      <c r="D348" s="4"/>
      <c r="E348" s="4"/>
      <c r="F348" s="4"/>
      <c r="G348" s="4"/>
      <c r="H348" s="3"/>
      <c r="I348" s="4"/>
      <c r="J348" s="4"/>
      <c r="K348" s="3"/>
      <c r="L348" s="3"/>
      <c r="M348" s="4"/>
      <c r="N348" s="4"/>
      <c r="O348" s="4"/>
      <c r="P348" s="4"/>
      <c r="Q348" s="3"/>
      <c r="R348" s="4"/>
      <c r="S348" s="4"/>
      <c r="T348" s="4"/>
      <c r="U348" s="3"/>
      <c r="V348" s="4"/>
      <c r="W348" s="3"/>
      <c r="X348" s="3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57"/>
      <c r="D349" s="4"/>
      <c r="E349" s="4"/>
      <c r="F349" s="4"/>
      <c r="G349" s="4"/>
      <c r="H349" s="3"/>
      <c r="I349" s="4"/>
      <c r="J349" s="4"/>
      <c r="K349" s="3"/>
      <c r="L349" s="3"/>
      <c r="M349" s="4"/>
      <c r="N349" s="4"/>
      <c r="O349" s="4"/>
      <c r="P349" s="4"/>
      <c r="Q349" s="3"/>
      <c r="R349" s="4"/>
      <c r="S349" s="4"/>
      <c r="T349" s="4"/>
      <c r="U349" s="3"/>
      <c r="V349" s="4"/>
      <c r="W349" s="3"/>
      <c r="X349" s="3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57"/>
      <c r="D350" s="4"/>
      <c r="E350" s="4"/>
      <c r="F350" s="4"/>
      <c r="G350" s="4"/>
      <c r="H350" s="3"/>
      <c r="I350" s="4"/>
      <c r="J350" s="4"/>
      <c r="K350" s="3"/>
      <c r="L350" s="3"/>
      <c r="M350" s="4"/>
      <c r="N350" s="4"/>
      <c r="O350" s="4"/>
      <c r="P350" s="4"/>
      <c r="Q350" s="3"/>
      <c r="R350" s="4"/>
      <c r="S350" s="4"/>
      <c r="T350" s="4"/>
      <c r="U350" s="3"/>
      <c r="V350" s="4"/>
      <c r="W350" s="3"/>
      <c r="X350" s="3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57"/>
      <c r="D351" s="4"/>
      <c r="E351" s="4"/>
      <c r="F351" s="4"/>
      <c r="G351" s="4"/>
      <c r="H351" s="3"/>
      <c r="I351" s="4"/>
      <c r="J351" s="4"/>
      <c r="K351" s="3"/>
      <c r="L351" s="3"/>
      <c r="M351" s="4"/>
      <c r="N351" s="4"/>
      <c r="O351" s="4"/>
      <c r="P351" s="4"/>
      <c r="Q351" s="3"/>
      <c r="R351" s="4"/>
      <c r="S351" s="4"/>
      <c r="T351" s="4"/>
      <c r="U351" s="3"/>
      <c r="V351" s="4"/>
      <c r="W351" s="3"/>
      <c r="X351" s="3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57"/>
      <c r="D352" s="4"/>
      <c r="E352" s="4"/>
      <c r="F352" s="4"/>
      <c r="G352" s="4"/>
      <c r="H352" s="3"/>
      <c r="I352" s="4"/>
      <c r="J352" s="4"/>
      <c r="K352" s="3"/>
      <c r="L352" s="3"/>
      <c r="M352" s="4"/>
      <c r="N352" s="4"/>
      <c r="O352" s="4"/>
      <c r="P352" s="4"/>
      <c r="Q352" s="3"/>
      <c r="R352" s="4"/>
      <c r="S352" s="4"/>
      <c r="T352" s="4"/>
      <c r="U352" s="3"/>
      <c r="V352" s="4"/>
      <c r="W352" s="3"/>
      <c r="X352" s="3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57"/>
      <c r="D353" s="4"/>
      <c r="E353" s="4"/>
      <c r="F353" s="4"/>
      <c r="G353" s="4"/>
      <c r="H353" s="3"/>
      <c r="I353" s="4"/>
      <c r="J353" s="4"/>
      <c r="K353" s="3"/>
      <c r="L353" s="3"/>
      <c r="M353" s="4"/>
      <c r="N353" s="4"/>
      <c r="O353" s="4"/>
      <c r="P353" s="4"/>
      <c r="Q353" s="3"/>
      <c r="R353" s="4"/>
      <c r="S353" s="4"/>
      <c r="T353" s="4"/>
      <c r="U353" s="3"/>
      <c r="V353" s="4"/>
      <c r="W353" s="3"/>
      <c r="X353" s="3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57"/>
      <c r="D354" s="4"/>
      <c r="E354" s="4"/>
      <c r="F354" s="4"/>
      <c r="G354" s="4"/>
      <c r="H354" s="3"/>
      <c r="I354" s="4"/>
      <c r="J354" s="4"/>
      <c r="K354" s="3"/>
      <c r="L354" s="3"/>
      <c r="M354" s="4"/>
      <c r="N354" s="4"/>
      <c r="O354" s="4"/>
      <c r="P354" s="4"/>
      <c r="Q354" s="3"/>
      <c r="R354" s="4"/>
      <c r="S354" s="4"/>
      <c r="T354" s="4"/>
      <c r="U354" s="3"/>
      <c r="V354" s="4"/>
      <c r="W354" s="3"/>
      <c r="X354" s="3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57"/>
      <c r="D355" s="4"/>
      <c r="E355" s="4"/>
      <c r="F355" s="4"/>
      <c r="G355" s="4"/>
      <c r="H355" s="3"/>
      <c r="I355" s="4"/>
      <c r="J355" s="4"/>
      <c r="K355" s="3"/>
      <c r="L355" s="3"/>
      <c r="M355" s="4"/>
      <c r="N355" s="4"/>
      <c r="O355" s="4"/>
      <c r="P355" s="4"/>
      <c r="Q355" s="3"/>
      <c r="R355" s="4"/>
      <c r="S355" s="4"/>
      <c r="T355" s="4"/>
      <c r="U355" s="3"/>
      <c r="V355" s="4"/>
      <c r="W355" s="3"/>
      <c r="X355" s="3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57"/>
      <c r="D356" s="4"/>
      <c r="E356" s="4"/>
      <c r="F356" s="4"/>
      <c r="G356" s="4"/>
      <c r="H356" s="3"/>
      <c r="I356" s="4"/>
      <c r="J356" s="4"/>
      <c r="K356" s="3"/>
      <c r="L356" s="3"/>
      <c r="M356" s="4"/>
      <c r="N356" s="4"/>
      <c r="O356" s="4"/>
      <c r="P356" s="4"/>
      <c r="Q356" s="3"/>
      <c r="R356" s="4"/>
      <c r="S356" s="4"/>
      <c r="T356" s="4"/>
      <c r="U356" s="3"/>
      <c r="V356" s="4"/>
      <c r="W356" s="3"/>
      <c r="X356" s="3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57"/>
      <c r="D357" s="4"/>
      <c r="E357" s="4"/>
      <c r="F357" s="4"/>
      <c r="G357" s="4"/>
      <c r="H357" s="3"/>
      <c r="I357" s="4"/>
      <c r="J357" s="4"/>
      <c r="K357" s="3"/>
      <c r="L357" s="3"/>
      <c r="M357" s="4"/>
      <c r="N357" s="4"/>
      <c r="O357" s="4"/>
      <c r="P357" s="4"/>
      <c r="Q357" s="3"/>
      <c r="R357" s="4"/>
      <c r="S357" s="4"/>
      <c r="T357" s="4"/>
      <c r="U357" s="3"/>
      <c r="V357" s="4"/>
      <c r="W357" s="3"/>
      <c r="X357" s="3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57"/>
      <c r="D358" s="4"/>
      <c r="E358" s="4"/>
      <c r="F358" s="4"/>
      <c r="G358" s="4"/>
      <c r="H358" s="3"/>
      <c r="I358" s="4"/>
      <c r="J358" s="4"/>
      <c r="K358" s="3"/>
      <c r="L358" s="3"/>
      <c r="M358" s="4"/>
      <c r="N358" s="4"/>
      <c r="O358" s="4"/>
      <c r="P358" s="4"/>
      <c r="Q358" s="3"/>
      <c r="R358" s="4"/>
      <c r="S358" s="4"/>
      <c r="T358" s="4"/>
      <c r="U358" s="3"/>
      <c r="V358" s="4"/>
      <c r="W358" s="3"/>
      <c r="X358" s="3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57"/>
      <c r="D359" s="4"/>
      <c r="E359" s="4"/>
      <c r="F359" s="4"/>
      <c r="G359" s="4"/>
      <c r="H359" s="3"/>
      <c r="I359" s="4"/>
      <c r="J359" s="4"/>
      <c r="K359" s="3"/>
      <c r="L359" s="3"/>
      <c r="M359" s="4"/>
      <c r="N359" s="4"/>
      <c r="O359" s="4"/>
      <c r="P359" s="4"/>
      <c r="Q359" s="3"/>
      <c r="R359" s="4"/>
      <c r="S359" s="4"/>
      <c r="T359" s="4"/>
      <c r="U359" s="3"/>
      <c r="V359" s="4"/>
      <c r="W359" s="3"/>
      <c r="X359" s="3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57"/>
      <c r="D360" s="4"/>
      <c r="E360" s="4"/>
      <c r="F360" s="4"/>
      <c r="G360" s="4"/>
      <c r="H360" s="3"/>
      <c r="I360" s="4"/>
      <c r="J360" s="4"/>
      <c r="K360" s="3"/>
      <c r="L360" s="3"/>
      <c r="M360" s="4"/>
      <c r="N360" s="4"/>
      <c r="O360" s="4"/>
      <c r="P360" s="4"/>
      <c r="Q360" s="3"/>
      <c r="R360" s="4"/>
      <c r="S360" s="4"/>
      <c r="T360" s="4"/>
      <c r="U360" s="3"/>
      <c r="V360" s="4"/>
      <c r="W360" s="3"/>
      <c r="X360" s="3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57"/>
      <c r="D361" s="4"/>
      <c r="E361" s="4"/>
      <c r="F361" s="4"/>
      <c r="G361" s="4"/>
      <c r="H361" s="3"/>
      <c r="I361" s="4"/>
      <c r="J361" s="4"/>
      <c r="K361" s="3"/>
      <c r="L361" s="3"/>
      <c r="M361" s="4"/>
      <c r="N361" s="4"/>
      <c r="O361" s="4"/>
      <c r="P361" s="4"/>
      <c r="Q361" s="3"/>
      <c r="R361" s="4"/>
      <c r="S361" s="4"/>
      <c r="T361" s="4"/>
      <c r="U361" s="3"/>
      <c r="V361" s="4"/>
      <c r="W361" s="3"/>
      <c r="X361" s="3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57"/>
      <c r="D362" s="4"/>
      <c r="E362" s="4"/>
      <c r="F362" s="4"/>
      <c r="G362" s="4"/>
      <c r="H362" s="3"/>
      <c r="I362" s="4"/>
      <c r="J362" s="4"/>
      <c r="K362" s="3"/>
      <c r="L362" s="3"/>
      <c r="M362" s="4"/>
      <c r="N362" s="4"/>
      <c r="O362" s="4"/>
      <c r="P362" s="4"/>
      <c r="Q362" s="3"/>
      <c r="R362" s="4"/>
      <c r="S362" s="4"/>
      <c r="T362" s="4"/>
      <c r="U362" s="3"/>
      <c r="V362" s="4"/>
      <c r="W362" s="3"/>
      <c r="X362" s="3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57"/>
      <c r="D363" s="4"/>
      <c r="E363" s="4"/>
      <c r="F363" s="4"/>
      <c r="G363" s="4"/>
      <c r="H363" s="3"/>
      <c r="I363" s="4"/>
      <c r="J363" s="4"/>
      <c r="K363" s="3"/>
      <c r="L363" s="3"/>
      <c r="M363" s="4"/>
      <c r="N363" s="4"/>
      <c r="O363" s="4"/>
      <c r="P363" s="4"/>
      <c r="Q363" s="3"/>
      <c r="R363" s="4"/>
      <c r="S363" s="4"/>
      <c r="T363" s="4"/>
      <c r="U363" s="3"/>
      <c r="V363" s="4"/>
      <c r="W363" s="3"/>
      <c r="X363" s="3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57"/>
      <c r="D364" s="4"/>
      <c r="E364" s="4"/>
      <c r="F364" s="4"/>
      <c r="G364" s="4"/>
      <c r="H364" s="3"/>
      <c r="I364" s="4"/>
      <c r="J364" s="4"/>
      <c r="K364" s="3"/>
      <c r="L364" s="3"/>
      <c r="M364" s="4"/>
      <c r="N364" s="4"/>
      <c r="O364" s="4"/>
      <c r="P364" s="4"/>
      <c r="Q364" s="3"/>
      <c r="R364" s="4"/>
      <c r="S364" s="4"/>
      <c r="T364" s="4"/>
      <c r="U364" s="3"/>
      <c r="V364" s="4"/>
      <c r="W364" s="3"/>
      <c r="X364" s="3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57"/>
      <c r="D365" s="4"/>
      <c r="E365" s="4"/>
      <c r="F365" s="4"/>
      <c r="G365" s="4"/>
      <c r="H365" s="3"/>
      <c r="I365" s="4"/>
      <c r="J365" s="4"/>
      <c r="K365" s="3"/>
      <c r="L365" s="3"/>
      <c r="M365" s="4"/>
      <c r="N365" s="4"/>
      <c r="O365" s="4"/>
      <c r="P365" s="4"/>
      <c r="Q365" s="3"/>
      <c r="R365" s="4"/>
      <c r="S365" s="4"/>
      <c r="T365" s="4"/>
      <c r="U365" s="3"/>
      <c r="V365" s="4"/>
      <c r="W365" s="3"/>
      <c r="X365" s="3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57"/>
      <c r="D366" s="4"/>
      <c r="E366" s="4"/>
      <c r="F366" s="4"/>
      <c r="G366" s="4"/>
      <c r="H366" s="3"/>
      <c r="I366" s="4"/>
      <c r="J366" s="4"/>
      <c r="K366" s="3"/>
      <c r="L366" s="3"/>
      <c r="M366" s="4"/>
      <c r="N366" s="4"/>
      <c r="O366" s="4"/>
      <c r="P366" s="4"/>
      <c r="Q366" s="3"/>
      <c r="R366" s="4"/>
      <c r="S366" s="4"/>
      <c r="T366" s="4"/>
      <c r="U366" s="3"/>
      <c r="V366" s="4"/>
      <c r="W366" s="3"/>
      <c r="X366" s="3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57"/>
      <c r="D367" s="4"/>
      <c r="E367" s="4"/>
      <c r="F367" s="4"/>
      <c r="G367" s="4"/>
      <c r="H367" s="3"/>
      <c r="I367" s="4"/>
      <c r="J367" s="4"/>
      <c r="K367" s="3"/>
      <c r="L367" s="3"/>
      <c r="M367" s="4"/>
      <c r="N367" s="4"/>
      <c r="O367" s="4"/>
      <c r="P367" s="4"/>
      <c r="Q367" s="3"/>
      <c r="R367" s="4"/>
      <c r="S367" s="4"/>
      <c r="T367" s="4"/>
      <c r="U367" s="3"/>
      <c r="V367" s="4"/>
      <c r="W367" s="3"/>
      <c r="X367" s="3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57"/>
      <c r="D368" s="4"/>
      <c r="E368" s="4"/>
      <c r="F368" s="4"/>
      <c r="G368" s="4"/>
      <c r="H368" s="3"/>
      <c r="I368" s="4"/>
      <c r="J368" s="4"/>
      <c r="K368" s="3"/>
      <c r="L368" s="3"/>
      <c r="M368" s="4"/>
      <c r="N368" s="4"/>
      <c r="O368" s="4"/>
      <c r="P368" s="4"/>
      <c r="Q368" s="3"/>
      <c r="R368" s="4"/>
      <c r="S368" s="4"/>
      <c r="T368" s="4"/>
      <c r="U368" s="3"/>
      <c r="V368" s="4"/>
      <c r="W368" s="3"/>
      <c r="X368" s="3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57"/>
      <c r="D369" s="4"/>
      <c r="E369" s="4"/>
      <c r="F369" s="4"/>
      <c r="G369" s="4"/>
      <c r="H369" s="3"/>
      <c r="I369" s="4"/>
      <c r="J369" s="4"/>
      <c r="K369" s="3"/>
      <c r="L369" s="3"/>
      <c r="M369" s="4"/>
      <c r="N369" s="4"/>
      <c r="O369" s="4"/>
      <c r="P369" s="4"/>
      <c r="Q369" s="3"/>
      <c r="R369" s="4"/>
      <c r="S369" s="4"/>
      <c r="T369" s="4"/>
      <c r="U369" s="3"/>
      <c r="V369" s="4"/>
      <c r="W369" s="3"/>
      <c r="X369" s="3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57"/>
      <c r="D370" s="4"/>
      <c r="E370" s="4"/>
      <c r="F370" s="4"/>
      <c r="G370" s="4"/>
      <c r="H370" s="3"/>
      <c r="I370" s="4"/>
      <c r="J370" s="4"/>
      <c r="K370" s="3"/>
      <c r="L370" s="3"/>
      <c r="M370" s="4"/>
      <c r="N370" s="4"/>
      <c r="O370" s="4"/>
      <c r="P370" s="4"/>
      <c r="Q370" s="3"/>
      <c r="R370" s="4"/>
      <c r="S370" s="4"/>
      <c r="T370" s="4"/>
      <c r="U370" s="3"/>
      <c r="V370" s="4"/>
      <c r="W370" s="3"/>
      <c r="X370" s="3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57"/>
      <c r="D371" s="4"/>
      <c r="E371" s="4"/>
      <c r="F371" s="4"/>
      <c r="G371" s="4"/>
      <c r="H371" s="3"/>
      <c r="I371" s="4"/>
      <c r="J371" s="4"/>
      <c r="K371" s="3"/>
      <c r="L371" s="3"/>
      <c r="M371" s="4"/>
      <c r="N371" s="4"/>
      <c r="O371" s="4"/>
      <c r="P371" s="4"/>
      <c r="Q371" s="3"/>
      <c r="R371" s="4"/>
      <c r="S371" s="4"/>
      <c r="T371" s="4"/>
      <c r="U371" s="3"/>
      <c r="V371" s="4"/>
      <c r="W371" s="3"/>
      <c r="X371" s="3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57"/>
      <c r="D372" s="4"/>
      <c r="E372" s="4"/>
      <c r="F372" s="4"/>
      <c r="G372" s="4"/>
      <c r="H372" s="3"/>
      <c r="I372" s="4"/>
      <c r="J372" s="4"/>
      <c r="K372" s="3"/>
      <c r="L372" s="3"/>
      <c r="M372" s="4"/>
      <c r="N372" s="4"/>
      <c r="O372" s="4"/>
      <c r="P372" s="4"/>
      <c r="Q372" s="3"/>
      <c r="R372" s="4"/>
      <c r="S372" s="4"/>
      <c r="T372" s="4"/>
      <c r="U372" s="3"/>
      <c r="V372" s="4"/>
      <c r="W372" s="3"/>
      <c r="X372" s="3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57"/>
      <c r="D373" s="4"/>
      <c r="E373" s="4"/>
      <c r="F373" s="4"/>
      <c r="G373" s="4"/>
      <c r="H373" s="3"/>
      <c r="I373" s="4"/>
      <c r="J373" s="4"/>
      <c r="K373" s="3"/>
      <c r="L373" s="3"/>
      <c r="M373" s="4"/>
      <c r="N373" s="4"/>
      <c r="O373" s="4"/>
      <c r="P373" s="4"/>
      <c r="Q373" s="3"/>
      <c r="R373" s="4"/>
      <c r="S373" s="4"/>
      <c r="T373" s="4"/>
      <c r="U373" s="3"/>
      <c r="V373" s="4"/>
      <c r="W373" s="3"/>
      <c r="X373" s="3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57"/>
      <c r="D374" s="4"/>
      <c r="E374" s="4"/>
      <c r="F374" s="4"/>
      <c r="G374" s="4"/>
      <c r="H374" s="3"/>
      <c r="I374" s="4"/>
      <c r="J374" s="4"/>
      <c r="K374" s="3"/>
      <c r="L374" s="3"/>
      <c r="M374" s="4"/>
      <c r="N374" s="4"/>
      <c r="O374" s="4"/>
      <c r="P374" s="4"/>
      <c r="Q374" s="3"/>
      <c r="R374" s="4"/>
      <c r="S374" s="4"/>
      <c r="T374" s="4"/>
      <c r="U374" s="3"/>
      <c r="V374" s="4"/>
      <c r="W374" s="3"/>
      <c r="X374" s="3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57"/>
      <c r="D375" s="4"/>
      <c r="E375" s="4"/>
      <c r="F375" s="4"/>
      <c r="G375" s="4"/>
      <c r="H375" s="3"/>
      <c r="I375" s="4"/>
      <c r="J375" s="4"/>
      <c r="K375" s="3"/>
      <c r="L375" s="3"/>
      <c r="M375" s="4"/>
      <c r="N375" s="4"/>
      <c r="O375" s="4"/>
      <c r="P375" s="4"/>
      <c r="Q375" s="3"/>
      <c r="R375" s="4"/>
      <c r="S375" s="4"/>
      <c r="T375" s="4"/>
      <c r="U375" s="3"/>
      <c r="V375" s="4"/>
      <c r="W375" s="3"/>
      <c r="X375" s="3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57"/>
      <c r="D376" s="4"/>
      <c r="E376" s="4"/>
      <c r="F376" s="4"/>
      <c r="G376" s="4"/>
      <c r="H376" s="3"/>
      <c r="I376" s="4"/>
      <c r="J376" s="4"/>
      <c r="K376" s="3"/>
      <c r="L376" s="3"/>
      <c r="M376" s="4"/>
      <c r="N376" s="4"/>
      <c r="O376" s="4"/>
      <c r="P376" s="4"/>
      <c r="Q376" s="3"/>
      <c r="R376" s="4"/>
      <c r="S376" s="4"/>
      <c r="T376" s="4"/>
      <c r="U376" s="3"/>
      <c r="V376" s="4"/>
      <c r="W376" s="3"/>
      <c r="X376" s="3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57"/>
      <c r="D377" s="4"/>
      <c r="E377" s="4"/>
      <c r="F377" s="4"/>
      <c r="G377" s="4"/>
      <c r="H377" s="3"/>
      <c r="I377" s="4"/>
      <c r="J377" s="4"/>
      <c r="K377" s="3"/>
      <c r="L377" s="3"/>
      <c r="M377" s="4"/>
      <c r="N377" s="4"/>
      <c r="O377" s="4"/>
      <c r="P377" s="4"/>
      <c r="Q377" s="3"/>
      <c r="R377" s="4"/>
      <c r="S377" s="4"/>
      <c r="T377" s="4"/>
      <c r="U377" s="3"/>
      <c r="V377" s="4"/>
      <c r="W377" s="3"/>
      <c r="X377" s="3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57"/>
      <c r="D378" s="4"/>
      <c r="E378" s="4"/>
      <c r="F378" s="4"/>
      <c r="G378" s="4"/>
      <c r="H378" s="3"/>
      <c r="I378" s="4"/>
      <c r="J378" s="4"/>
      <c r="K378" s="3"/>
      <c r="L378" s="3"/>
      <c r="M378" s="4"/>
      <c r="N378" s="4"/>
      <c r="O378" s="4"/>
      <c r="P378" s="4"/>
      <c r="Q378" s="3"/>
      <c r="R378" s="4"/>
      <c r="S378" s="4"/>
      <c r="T378" s="4"/>
      <c r="U378" s="3"/>
      <c r="V378" s="4"/>
      <c r="W378" s="3"/>
      <c r="X378" s="3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57"/>
      <c r="D379" s="4"/>
      <c r="E379" s="4"/>
      <c r="F379" s="4"/>
      <c r="G379" s="4"/>
      <c r="H379" s="3"/>
      <c r="I379" s="4"/>
      <c r="J379" s="4"/>
      <c r="K379" s="3"/>
      <c r="L379" s="3"/>
      <c r="M379" s="4"/>
      <c r="N379" s="4"/>
      <c r="O379" s="4"/>
      <c r="P379" s="4"/>
      <c r="Q379" s="3"/>
      <c r="R379" s="4"/>
      <c r="S379" s="4"/>
      <c r="T379" s="4"/>
      <c r="U379" s="3"/>
      <c r="V379" s="4"/>
      <c r="W379" s="3"/>
      <c r="X379" s="3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57"/>
      <c r="D380" s="4"/>
      <c r="E380" s="4"/>
      <c r="F380" s="4"/>
      <c r="G380" s="4"/>
      <c r="H380" s="3"/>
      <c r="I380" s="4"/>
      <c r="J380" s="4"/>
      <c r="K380" s="3"/>
      <c r="L380" s="3"/>
      <c r="M380" s="4"/>
      <c r="N380" s="4"/>
      <c r="O380" s="4"/>
      <c r="P380" s="4"/>
      <c r="Q380" s="3"/>
      <c r="R380" s="4"/>
      <c r="S380" s="4"/>
      <c r="T380" s="4"/>
      <c r="U380" s="3"/>
      <c r="V380" s="4"/>
      <c r="W380" s="3"/>
      <c r="X380" s="3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57"/>
      <c r="D381" s="4"/>
      <c r="E381" s="4"/>
      <c r="F381" s="4"/>
      <c r="G381" s="4"/>
      <c r="H381" s="3"/>
      <c r="I381" s="4"/>
      <c r="J381" s="4"/>
      <c r="K381" s="3"/>
      <c r="L381" s="3"/>
      <c r="M381" s="4"/>
      <c r="N381" s="4"/>
      <c r="O381" s="4"/>
      <c r="P381" s="4"/>
      <c r="Q381" s="3"/>
      <c r="R381" s="4"/>
      <c r="S381" s="4"/>
      <c r="T381" s="4"/>
      <c r="U381" s="3"/>
      <c r="V381" s="4"/>
      <c r="W381" s="3"/>
      <c r="X381" s="3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57"/>
      <c r="D382" s="4"/>
      <c r="E382" s="4"/>
      <c r="F382" s="4"/>
      <c r="G382" s="4"/>
      <c r="H382" s="3"/>
      <c r="I382" s="4"/>
      <c r="J382" s="4"/>
      <c r="K382" s="3"/>
      <c r="L382" s="3"/>
      <c r="M382" s="4"/>
      <c r="N382" s="4"/>
      <c r="O382" s="4"/>
      <c r="P382" s="4"/>
      <c r="Q382" s="3"/>
      <c r="R382" s="4"/>
      <c r="S382" s="4"/>
      <c r="T382" s="4"/>
      <c r="U382" s="3"/>
      <c r="V382" s="4"/>
      <c r="W382" s="3"/>
      <c r="X382" s="3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57"/>
      <c r="D383" s="4"/>
      <c r="E383" s="4"/>
      <c r="F383" s="4"/>
      <c r="G383" s="4"/>
      <c r="H383" s="3"/>
      <c r="I383" s="4"/>
      <c r="J383" s="4"/>
      <c r="K383" s="3"/>
      <c r="L383" s="3"/>
      <c r="M383" s="4"/>
      <c r="N383" s="4"/>
      <c r="O383" s="4"/>
      <c r="P383" s="4"/>
      <c r="Q383" s="3"/>
      <c r="R383" s="4"/>
      <c r="S383" s="4"/>
      <c r="T383" s="4"/>
      <c r="U383" s="3"/>
      <c r="V383" s="4"/>
      <c r="W383" s="3"/>
      <c r="X383" s="3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57"/>
      <c r="D384" s="4"/>
      <c r="E384" s="4"/>
      <c r="F384" s="4"/>
      <c r="G384" s="4"/>
      <c r="H384" s="3"/>
      <c r="I384" s="4"/>
      <c r="J384" s="4"/>
      <c r="K384" s="3"/>
      <c r="L384" s="3"/>
      <c r="M384" s="4"/>
      <c r="N384" s="4"/>
      <c r="O384" s="4"/>
      <c r="P384" s="4"/>
      <c r="Q384" s="3"/>
      <c r="R384" s="4"/>
      <c r="S384" s="4"/>
      <c r="T384" s="4"/>
      <c r="U384" s="3"/>
      <c r="V384" s="4"/>
      <c r="W384" s="3"/>
      <c r="X384" s="3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57"/>
      <c r="D385" s="4"/>
      <c r="E385" s="4"/>
      <c r="F385" s="4"/>
      <c r="G385" s="4"/>
      <c r="H385" s="3"/>
      <c r="I385" s="4"/>
      <c r="J385" s="4"/>
      <c r="K385" s="3"/>
      <c r="L385" s="3"/>
      <c r="M385" s="4"/>
      <c r="N385" s="4"/>
      <c r="O385" s="4"/>
      <c r="P385" s="4"/>
      <c r="Q385" s="3"/>
      <c r="R385" s="4"/>
      <c r="S385" s="4"/>
      <c r="T385" s="4"/>
      <c r="U385" s="3"/>
      <c r="V385" s="4"/>
      <c r="W385" s="3"/>
      <c r="X385" s="3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57"/>
      <c r="D386" s="4"/>
      <c r="E386" s="4"/>
      <c r="F386" s="4"/>
      <c r="G386" s="4"/>
      <c r="H386" s="3"/>
      <c r="I386" s="4"/>
      <c r="J386" s="4"/>
      <c r="K386" s="3"/>
      <c r="L386" s="3"/>
      <c r="M386" s="4"/>
      <c r="N386" s="4"/>
      <c r="O386" s="4"/>
      <c r="P386" s="4"/>
      <c r="Q386" s="3"/>
      <c r="R386" s="4"/>
      <c r="S386" s="4"/>
      <c r="T386" s="4"/>
      <c r="U386" s="3"/>
      <c r="V386" s="4"/>
      <c r="W386" s="3"/>
      <c r="X386" s="3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57"/>
      <c r="D387" s="4"/>
      <c r="E387" s="4"/>
      <c r="F387" s="4"/>
      <c r="G387" s="4"/>
      <c r="H387" s="3"/>
      <c r="I387" s="4"/>
      <c r="J387" s="4"/>
      <c r="K387" s="3"/>
      <c r="L387" s="3"/>
      <c r="M387" s="4"/>
      <c r="N387" s="4"/>
      <c r="O387" s="4"/>
      <c r="P387" s="4"/>
      <c r="Q387" s="3"/>
      <c r="R387" s="4"/>
      <c r="S387" s="4"/>
      <c r="T387" s="4"/>
      <c r="U387" s="3"/>
      <c r="V387" s="4"/>
      <c r="W387" s="3"/>
      <c r="X387" s="3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57"/>
      <c r="D388" s="4"/>
      <c r="E388" s="4"/>
      <c r="F388" s="4"/>
      <c r="G388" s="4"/>
      <c r="H388" s="3"/>
      <c r="I388" s="4"/>
      <c r="J388" s="4"/>
      <c r="K388" s="3"/>
      <c r="L388" s="3"/>
      <c r="M388" s="4"/>
      <c r="N388" s="4"/>
      <c r="O388" s="4"/>
      <c r="P388" s="4"/>
      <c r="Q388" s="3"/>
      <c r="R388" s="4"/>
      <c r="S388" s="4"/>
      <c r="T388" s="4"/>
      <c r="U388" s="3"/>
      <c r="V388" s="4"/>
      <c r="W388" s="3"/>
      <c r="X388" s="3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57"/>
      <c r="D389" s="4"/>
      <c r="E389" s="4"/>
      <c r="F389" s="4"/>
      <c r="G389" s="4"/>
      <c r="H389" s="3"/>
      <c r="I389" s="4"/>
      <c r="J389" s="4"/>
      <c r="K389" s="3"/>
      <c r="L389" s="3"/>
      <c r="M389" s="4"/>
      <c r="N389" s="4"/>
      <c r="O389" s="4"/>
      <c r="P389" s="4"/>
      <c r="Q389" s="3"/>
      <c r="R389" s="4"/>
      <c r="S389" s="4"/>
      <c r="T389" s="4"/>
      <c r="U389" s="3"/>
      <c r="V389" s="4"/>
      <c r="W389" s="3"/>
      <c r="X389" s="3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57"/>
      <c r="D390" s="4"/>
      <c r="E390" s="4"/>
      <c r="F390" s="4"/>
      <c r="G390" s="4"/>
      <c r="H390" s="3"/>
      <c r="I390" s="4"/>
      <c r="J390" s="4"/>
      <c r="K390" s="3"/>
      <c r="L390" s="3"/>
      <c r="M390" s="4"/>
      <c r="N390" s="4"/>
      <c r="O390" s="4"/>
      <c r="P390" s="4"/>
      <c r="Q390" s="3"/>
      <c r="R390" s="4"/>
      <c r="S390" s="4"/>
      <c r="T390" s="4"/>
      <c r="U390" s="3"/>
      <c r="V390" s="4"/>
      <c r="W390" s="3"/>
      <c r="X390" s="3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57"/>
      <c r="D391" s="4"/>
      <c r="E391" s="4"/>
      <c r="F391" s="4"/>
      <c r="G391" s="4"/>
      <c r="H391" s="3"/>
      <c r="I391" s="4"/>
      <c r="J391" s="4"/>
      <c r="K391" s="3"/>
      <c r="L391" s="3"/>
      <c r="M391" s="4"/>
      <c r="N391" s="4"/>
      <c r="O391" s="4"/>
      <c r="P391" s="4"/>
      <c r="Q391" s="3"/>
      <c r="R391" s="4"/>
      <c r="S391" s="4"/>
      <c r="T391" s="4"/>
      <c r="U391" s="3"/>
      <c r="V391" s="4"/>
      <c r="W391" s="3"/>
      <c r="X391" s="3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57"/>
      <c r="D392" s="4"/>
      <c r="E392" s="4"/>
      <c r="F392" s="4"/>
      <c r="G392" s="4"/>
      <c r="H392" s="3"/>
      <c r="I392" s="4"/>
      <c r="J392" s="4"/>
      <c r="K392" s="3"/>
      <c r="L392" s="3"/>
      <c r="M392" s="4"/>
      <c r="N392" s="4"/>
      <c r="O392" s="4"/>
      <c r="P392" s="4"/>
      <c r="Q392" s="3"/>
      <c r="R392" s="4"/>
      <c r="S392" s="4"/>
      <c r="T392" s="4"/>
      <c r="U392" s="3"/>
      <c r="V392" s="4"/>
      <c r="W392" s="3"/>
      <c r="X392" s="3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57"/>
      <c r="D393" s="4"/>
      <c r="E393" s="4"/>
      <c r="F393" s="4"/>
      <c r="G393" s="4"/>
      <c r="H393" s="3"/>
      <c r="I393" s="4"/>
      <c r="J393" s="4"/>
      <c r="K393" s="3"/>
      <c r="L393" s="3"/>
      <c r="M393" s="4"/>
      <c r="N393" s="4"/>
      <c r="O393" s="4"/>
      <c r="P393" s="4"/>
      <c r="Q393" s="3"/>
      <c r="R393" s="4"/>
      <c r="S393" s="4"/>
      <c r="T393" s="4"/>
      <c r="U393" s="3"/>
      <c r="V393" s="4"/>
      <c r="W393" s="3"/>
      <c r="X393" s="3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57"/>
      <c r="D394" s="4"/>
      <c r="E394" s="4"/>
      <c r="F394" s="4"/>
      <c r="G394" s="4"/>
      <c r="H394" s="3"/>
      <c r="I394" s="4"/>
      <c r="J394" s="4"/>
      <c r="K394" s="3"/>
      <c r="L394" s="3"/>
      <c r="M394" s="4"/>
      <c r="N394" s="4"/>
      <c r="O394" s="4"/>
      <c r="P394" s="4"/>
      <c r="Q394" s="3"/>
      <c r="R394" s="4"/>
      <c r="S394" s="4"/>
      <c r="T394" s="4"/>
      <c r="U394" s="3"/>
      <c r="V394" s="4"/>
      <c r="W394" s="3"/>
      <c r="X394" s="3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57"/>
      <c r="D395" s="4"/>
      <c r="E395" s="4"/>
      <c r="F395" s="4"/>
      <c r="G395" s="4"/>
      <c r="H395" s="3"/>
      <c r="I395" s="4"/>
      <c r="J395" s="4"/>
      <c r="K395" s="3"/>
      <c r="L395" s="3"/>
      <c r="M395" s="4"/>
      <c r="N395" s="4"/>
      <c r="O395" s="4"/>
      <c r="P395" s="4"/>
      <c r="Q395" s="3"/>
      <c r="R395" s="4"/>
      <c r="S395" s="4"/>
      <c r="T395" s="4"/>
      <c r="U395" s="3"/>
      <c r="V395" s="4"/>
      <c r="W395" s="3"/>
      <c r="X395" s="3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57"/>
      <c r="D396" s="4"/>
      <c r="E396" s="4"/>
      <c r="F396" s="4"/>
      <c r="G396" s="4"/>
      <c r="H396" s="3"/>
      <c r="I396" s="4"/>
      <c r="J396" s="4"/>
      <c r="K396" s="3"/>
      <c r="L396" s="3"/>
      <c r="M396" s="4"/>
      <c r="N396" s="4"/>
      <c r="O396" s="4"/>
      <c r="P396" s="4"/>
      <c r="Q396" s="3"/>
      <c r="R396" s="4"/>
      <c r="S396" s="4"/>
      <c r="T396" s="4"/>
      <c r="U396" s="3"/>
      <c r="V396" s="4"/>
      <c r="W396" s="3"/>
      <c r="X396" s="3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57"/>
      <c r="D397" s="4"/>
      <c r="E397" s="4"/>
      <c r="F397" s="4"/>
      <c r="G397" s="4"/>
      <c r="H397" s="3"/>
      <c r="I397" s="4"/>
      <c r="J397" s="4"/>
      <c r="K397" s="3"/>
      <c r="L397" s="3"/>
      <c r="M397" s="4"/>
      <c r="N397" s="4"/>
      <c r="O397" s="4"/>
      <c r="P397" s="4"/>
      <c r="Q397" s="3"/>
      <c r="R397" s="4"/>
      <c r="S397" s="4"/>
      <c r="T397" s="4"/>
      <c r="U397" s="3"/>
      <c r="V397" s="4"/>
      <c r="W397" s="3"/>
      <c r="X397" s="3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57"/>
      <c r="D398" s="4"/>
      <c r="E398" s="4"/>
      <c r="F398" s="4"/>
      <c r="G398" s="4"/>
      <c r="H398" s="3"/>
      <c r="I398" s="4"/>
      <c r="J398" s="4"/>
      <c r="K398" s="3"/>
      <c r="L398" s="3"/>
      <c r="M398" s="4"/>
      <c r="N398" s="4"/>
      <c r="O398" s="4"/>
      <c r="P398" s="4"/>
      <c r="Q398" s="3"/>
      <c r="R398" s="4"/>
      <c r="S398" s="4"/>
      <c r="T398" s="4"/>
      <c r="U398" s="3"/>
      <c r="V398" s="4"/>
      <c r="W398" s="3"/>
      <c r="X398" s="3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57"/>
      <c r="D399" s="4"/>
      <c r="E399" s="4"/>
      <c r="F399" s="4"/>
      <c r="G399" s="4"/>
      <c r="H399" s="3"/>
      <c r="I399" s="4"/>
      <c r="J399" s="4"/>
      <c r="K399" s="3"/>
      <c r="L399" s="3"/>
      <c r="M399" s="4"/>
      <c r="N399" s="4"/>
      <c r="O399" s="4"/>
      <c r="P399" s="4"/>
      <c r="Q399" s="3"/>
      <c r="R399" s="4"/>
      <c r="S399" s="4"/>
      <c r="T399" s="4"/>
      <c r="U399" s="3"/>
      <c r="V399" s="4"/>
      <c r="W399" s="3"/>
      <c r="X399" s="3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57"/>
      <c r="D400" s="4"/>
      <c r="E400" s="4"/>
      <c r="F400" s="4"/>
      <c r="G400" s="4"/>
      <c r="H400" s="3"/>
      <c r="I400" s="4"/>
      <c r="J400" s="4"/>
      <c r="K400" s="3"/>
      <c r="L400" s="3"/>
      <c r="M400" s="4"/>
      <c r="N400" s="4"/>
      <c r="O400" s="4"/>
      <c r="P400" s="4"/>
      <c r="Q400" s="3"/>
      <c r="R400" s="4"/>
      <c r="S400" s="4"/>
      <c r="T400" s="4"/>
      <c r="U400" s="3"/>
      <c r="V400" s="4"/>
      <c r="W400" s="3"/>
      <c r="X400" s="3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57"/>
      <c r="D401" s="4"/>
      <c r="E401" s="4"/>
      <c r="F401" s="4"/>
      <c r="G401" s="4"/>
      <c r="H401" s="3"/>
      <c r="I401" s="4"/>
      <c r="J401" s="4"/>
      <c r="K401" s="3"/>
      <c r="L401" s="3"/>
      <c r="M401" s="4"/>
      <c r="N401" s="4"/>
      <c r="O401" s="4"/>
      <c r="P401" s="4"/>
      <c r="Q401" s="3"/>
      <c r="R401" s="4"/>
      <c r="S401" s="4"/>
      <c r="T401" s="4"/>
      <c r="U401" s="3"/>
      <c r="V401" s="4"/>
      <c r="W401" s="3"/>
      <c r="X401" s="3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57"/>
      <c r="D402" s="4"/>
      <c r="E402" s="4"/>
      <c r="F402" s="4"/>
      <c r="G402" s="4"/>
      <c r="H402" s="3"/>
      <c r="I402" s="4"/>
      <c r="J402" s="4"/>
      <c r="K402" s="3"/>
      <c r="L402" s="3"/>
      <c r="M402" s="4"/>
      <c r="N402" s="4"/>
      <c r="O402" s="4"/>
      <c r="P402" s="4"/>
      <c r="Q402" s="3"/>
      <c r="R402" s="4"/>
      <c r="S402" s="4"/>
      <c r="T402" s="4"/>
      <c r="U402" s="3"/>
      <c r="V402" s="4"/>
      <c r="W402" s="3"/>
      <c r="X402" s="3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57"/>
      <c r="D403" s="4"/>
      <c r="E403" s="4"/>
      <c r="F403" s="4"/>
      <c r="G403" s="4"/>
      <c r="H403" s="3"/>
      <c r="I403" s="4"/>
      <c r="J403" s="4"/>
      <c r="K403" s="3"/>
      <c r="L403" s="3"/>
      <c r="M403" s="4"/>
      <c r="N403" s="4"/>
      <c r="O403" s="4"/>
      <c r="P403" s="4"/>
      <c r="Q403" s="3"/>
      <c r="R403" s="4"/>
      <c r="S403" s="4"/>
      <c r="T403" s="4"/>
      <c r="U403" s="3"/>
      <c r="V403" s="4"/>
      <c r="W403" s="3"/>
      <c r="X403" s="3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57"/>
      <c r="D404" s="4"/>
      <c r="E404" s="4"/>
      <c r="F404" s="4"/>
      <c r="G404" s="4"/>
      <c r="H404" s="3"/>
      <c r="I404" s="4"/>
      <c r="J404" s="4"/>
      <c r="K404" s="3"/>
      <c r="L404" s="3"/>
      <c r="M404" s="4"/>
      <c r="N404" s="4"/>
      <c r="O404" s="4"/>
      <c r="P404" s="4"/>
      <c r="Q404" s="3"/>
      <c r="R404" s="4"/>
      <c r="S404" s="4"/>
      <c r="T404" s="4"/>
      <c r="U404" s="3"/>
      <c r="V404" s="4"/>
      <c r="W404" s="3"/>
      <c r="X404" s="3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57"/>
      <c r="D405" s="4"/>
      <c r="E405" s="4"/>
      <c r="F405" s="4"/>
      <c r="G405" s="4"/>
      <c r="H405" s="3"/>
      <c r="I405" s="4"/>
      <c r="J405" s="4"/>
      <c r="K405" s="3"/>
      <c r="L405" s="3"/>
      <c r="M405" s="4"/>
      <c r="N405" s="4"/>
      <c r="O405" s="4"/>
      <c r="P405" s="4"/>
      <c r="Q405" s="3"/>
      <c r="R405" s="4"/>
      <c r="S405" s="4"/>
      <c r="T405" s="4"/>
      <c r="U405" s="3"/>
      <c r="V405" s="4"/>
      <c r="W405" s="3"/>
      <c r="X405" s="3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57"/>
      <c r="D406" s="4"/>
      <c r="E406" s="4"/>
      <c r="F406" s="4"/>
      <c r="G406" s="4"/>
      <c r="H406" s="3"/>
      <c r="I406" s="4"/>
      <c r="J406" s="4"/>
      <c r="K406" s="3"/>
      <c r="L406" s="3"/>
      <c r="M406" s="4"/>
      <c r="N406" s="4"/>
      <c r="O406" s="4"/>
      <c r="P406" s="4"/>
      <c r="Q406" s="3"/>
      <c r="R406" s="4"/>
      <c r="S406" s="4"/>
      <c r="T406" s="4"/>
      <c r="U406" s="3"/>
      <c r="V406" s="4"/>
      <c r="W406" s="3"/>
      <c r="X406" s="3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57"/>
      <c r="D407" s="4"/>
      <c r="E407" s="4"/>
      <c r="F407" s="4"/>
      <c r="G407" s="4"/>
      <c r="H407" s="3"/>
      <c r="I407" s="4"/>
      <c r="J407" s="4"/>
      <c r="K407" s="3"/>
      <c r="L407" s="3"/>
      <c r="M407" s="4"/>
      <c r="N407" s="4"/>
      <c r="O407" s="4"/>
      <c r="P407" s="4"/>
      <c r="Q407" s="3"/>
      <c r="R407" s="4"/>
      <c r="S407" s="4"/>
      <c r="T407" s="4"/>
      <c r="U407" s="3"/>
      <c r="V407" s="4"/>
      <c r="W407" s="3"/>
      <c r="X407" s="3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57"/>
      <c r="D408" s="4"/>
      <c r="E408" s="4"/>
      <c r="F408" s="4"/>
      <c r="G408" s="4"/>
      <c r="H408" s="3"/>
      <c r="I408" s="4"/>
      <c r="J408" s="4"/>
      <c r="K408" s="3"/>
      <c r="L408" s="3"/>
      <c r="M408" s="4"/>
      <c r="N408" s="4"/>
      <c r="O408" s="4"/>
      <c r="P408" s="4"/>
      <c r="Q408" s="3"/>
      <c r="R408" s="4"/>
      <c r="S408" s="4"/>
      <c r="T408" s="4"/>
      <c r="U408" s="3"/>
      <c r="V408" s="4"/>
      <c r="W408" s="3"/>
      <c r="X408" s="3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57"/>
      <c r="D409" s="4"/>
      <c r="E409" s="4"/>
      <c r="F409" s="4"/>
      <c r="G409" s="4"/>
      <c r="H409" s="3"/>
      <c r="I409" s="4"/>
      <c r="J409" s="4"/>
      <c r="K409" s="3"/>
      <c r="L409" s="3"/>
      <c r="M409" s="4"/>
      <c r="N409" s="4"/>
      <c r="O409" s="4"/>
      <c r="P409" s="4"/>
      <c r="Q409" s="3"/>
      <c r="R409" s="4"/>
      <c r="S409" s="4"/>
      <c r="T409" s="4"/>
      <c r="U409" s="3"/>
      <c r="V409" s="4"/>
      <c r="W409" s="3"/>
      <c r="X409" s="3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57"/>
      <c r="D410" s="4"/>
      <c r="E410" s="4"/>
      <c r="F410" s="4"/>
      <c r="G410" s="4"/>
      <c r="H410" s="3"/>
      <c r="I410" s="4"/>
      <c r="J410" s="4"/>
      <c r="K410" s="3"/>
      <c r="L410" s="3"/>
      <c r="M410" s="4"/>
      <c r="N410" s="4"/>
      <c r="O410" s="4"/>
      <c r="P410" s="4"/>
      <c r="Q410" s="3"/>
      <c r="R410" s="4"/>
      <c r="S410" s="4"/>
      <c r="T410" s="4"/>
      <c r="U410" s="3"/>
      <c r="V410" s="4"/>
      <c r="W410" s="3"/>
      <c r="X410" s="3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57"/>
      <c r="D411" s="4"/>
      <c r="E411" s="4"/>
      <c r="F411" s="4"/>
      <c r="G411" s="4"/>
      <c r="H411" s="3"/>
      <c r="I411" s="4"/>
      <c r="J411" s="4"/>
      <c r="K411" s="3"/>
      <c r="L411" s="3"/>
      <c r="M411" s="4"/>
      <c r="N411" s="4"/>
      <c r="O411" s="4"/>
      <c r="P411" s="4"/>
      <c r="Q411" s="3"/>
      <c r="R411" s="4"/>
      <c r="S411" s="4"/>
      <c r="T411" s="4"/>
      <c r="U411" s="3"/>
      <c r="V411" s="4"/>
      <c r="W411" s="3"/>
      <c r="X411" s="3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57"/>
      <c r="D412" s="4"/>
      <c r="E412" s="4"/>
      <c r="F412" s="4"/>
      <c r="G412" s="4"/>
      <c r="H412" s="3"/>
      <c r="I412" s="4"/>
      <c r="J412" s="4"/>
      <c r="K412" s="3"/>
      <c r="L412" s="3"/>
      <c r="M412" s="4"/>
      <c r="N412" s="4"/>
      <c r="O412" s="4"/>
      <c r="P412" s="4"/>
      <c r="Q412" s="3"/>
      <c r="R412" s="4"/>
      <c r="S412" s="4"/>
      <c r="T412" s="4"/>
      <c r="U412" s="3"/>
      <c r="V412" s="4"/>
      <c r="W412" s="3"/>
      <c r="X412" s="3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57"/>
      <c r="D413" s="4"/>
      <c r="E413" s="4"/>
      <c r="F413" s="4"/>
      <c r="G413" s="4"/>
      <c r="H413" s="3"/>
      <c r="I413" s="4"/>
      <c r="J413" s="4"/>
      <c r="K413" s="3"/>
      <c r="L413" s="3"/>
      <c r="M413" s="4"/>
      <c r="N413" s="4"/>
      <c r="O413" s="4"/>
      <c r="P413" s="4"/>
      <c r="Q413" s="3"/>
      <c r="R413" s="4"/>
      <c r="S413" s="4"/>
      <c r="T413" s="4"/>
      <c r="U413" s="3"/>
      <c r="V413" s="4"/>
      <c r="W413" s="3"/>
      <c r="X413" s="3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57"/>
      <c r="D414" s="4"/>
      <c r="E414" s="4"/>
      <c r="F414" s="4"/>
      <c r="G414" s="4"/>
      <c r="H414" s="3"/>
      <c r="I414" s="4"/>
      <c r="J414" s="4"/>
      <c r="K414" s="3"/>
      <c r="L414" s="3"/>
      <c r="M414" s="4"/>
      <c r="N414" s="4"/>
      <c r="O414" s="4"/>
      <c r="P414" s="4"/>
      <c r="Q414" s="3"/>
      <c r="R414" s="4"/>
      <c r="S414" s="4"/>
      <c r="T414" s="4"/>
      <c r="U414" s="3"/>
      <c r="V414" s="4"/>
      <c r="W414" s="3"/>
      <c r="X414" s="3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57"/>
      <c r="D415" s="4"/>
      <c r="E415" s="4"/>
      <c r="F415" s="4"/>
      <c r="G415" s="4"/>
      <c r="H415" s="3"/>
      <c r="I415" s="4"/>
      <c r="J415" s="4"/>
      <c r="K415" s="3"/>
      <c r="L415" s="3"/>
      <c r="M415" s="4"/>
      <c r="N415" s="4"/>
      <c r="O415" s="4"/>
      <c r="P415" s="4"/>
      <c r="Q415" s="3"/>
      <c r="R415" s="4"/>
      <c r="S415" s="4"/>
      <c r="T415" s="4"/>
      <c r="U415" s="3"/>
      <c r="V415" s="4"/>
      <c r="W415" s="3"/>
      <c r="X415" s="3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57"/>
      <c r="D416" s="4"/>
      <c r="E416" s="4"/>
      <c r="F416" s="4"/>
      <c r="G416" s="4"/>
      <c r="H416" s="3"/>
      <c r="I416" s="4"/>
      <c r="J416" s="4"/>
      <c r="K416" s="3"/>
      <c r="L416" s="3"/>
      <c r="M416" s="4"/>
      <c r="N416" s="4"/>
      <c r="O416" s="4"/>
      <c r="P416" s="4"/>
      <c r="Q416" s="3"/>
      <c r="R416" s="4"/>
      <c r="S416" s="4"/>
      <c r="T416" s="4"/>
      <c r="U416" s="3"/>
      <c r="V416" s="4"/>
      <c r="W416" s="3"/>
      <c r="X416" s="3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57"/>
      <c r="D417" s="4"/>
      <c r="E417" s="4"/>
      <c r="F417" s="4"/>
      <c r="G417" s="4"/>
      <c r="H417" s="3"/>
      <c r="I417" s="4"/>
      <c r="J417" s="4"/>
      <c r="K417" s="3"/>
      <c r="L417" s="3"/>
      <c r="M417" s="4"/>
      <c r="N417" s="4"/>
      <c r="O417" s="4"/>
      <c r="P417" s="4"/>
      <c r="Q417" s="3"/>
      <c r="R417" s="4"/>
      <c r="S417" s="4"/>
      <c r="T417" s="4"/>
      <c r="U417" s="3"/>
      <c r="V417" s="4"/>
      <c r="W417" s="3"/>
      <c r="X417" s="3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57"/>
      <c r="D418" s="4"/>
      <c r="E418" s="4"/>
      <c r="F418" s="4"/>
      <c r="G418" s="4"/>
      <c r="H418" s="3"/>
      <c r="I418" s="4"/>
      <c r="J418" s="4"/>
      <c r="K418" s="3"/>
      <c r="L418" s="3"/>
      <c r="M418" s="4"/>
      <c r="N418" s="4"/>
      <c r="O418" s="4"/>
      <c r="P418" s="4"/>
      <c r="Q418" s="3"/>
      <c r="R418" s="4"/>
      <c r="S418" s="4"/>
      <c r="T418" s="4"/>
      <c r="U418" s="3"/>
      <c r="V418" s="4"/>
      <c r="W418" s="3"/>
      <c r="X418" s="3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57"/>
      <c r="D419" s="4"/>
      <c r="E419" s="4"/>
      <c r="F419" s="4"/>
      <c r="G419" s="4"/>
      <c r="H419" s="3"/>
      <c r="I419" s="4"/>
      <c r="J419" s="4"/>
      <c r="K419" s="3"/>
      <c r="L419" s="3"/>
      <c r="M419" s="4"/>
      <c r="N419" s="4"/>
      <c r="O419" s="4"/>
      <c r="P419" s="4"/>
      <c r="Q419" s="3"/>
      <c r="R419" s="4"/>
      <c r="S419" s="4"/>
      <c r="T419" s="4"/>
      <c r="U419" s="3"/>
      <c r="V419" s="4"/>
      <c r="W419" s="3"/>
      <c r="X419" s="3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57"/>
      <c r="D420" s="4"/>
      <c r="E420" s="4"/>
      <c r="F420" s="4"/>
      <c r="G420" s="4"/>
      <c r="H420" s="3"/>
      <c r="I420" s="4"/>
      <c r="J420" s="4"/>
      <c r="K420" s="3"/>
      <c r="L420" s="3"/>
      <c r="M420" s="4"/>
      <c r="N420" s="4"/>
      <c r="O420" s="4"/>
      <c r="P420" s="4"/>
      <c r="Q420" s="3"/>
      <c r="R420" s="4"/>
      <c r="S420" s="4"/>
      <c r="T420" s="4"/>
      <c r="U420" s="3"/>
      <c r="V420" s="4"/>
      <c r="W420" s="3"/>
      <c r="X420" s="3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57"/>
      <c r="D421" s="4"/>
      <c r="E421" s="4"/>
      <c r="F421" s="4"/>
      <c r="G421" s="4"/>
      <c r="H421" s="3"/>
      <c r="I421" s="4"/>
      <c r="J421" s="4"/>
      <c r="K421" s="3"/>
      <c r="L421" s="3"/>
      <c r="M421" s="4"/>
      <c r="N421" s="4"/>
      <c r="O421" s="4"/>
      <c r="P421" s="4"/>
      <c r="Q421" s="3"/>
      <c r="R421" s="4"/>
      <c r="S421" s="4"/>
      <c r="T421" s="4"/>
      <c r="U421" s="3"/>
      <c r="V421" s="4"/>
      <c r="W421" s="3"/>
      <c r="X421" s="3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57"/>
      <c r="D422" s="4"/>
      <c r="E422" s="4"/>
      <c r="F422" s="4"/>
      <c r="G422" s="4"/>
      <c r="H422" s="3"/>
      <c r="I422" s="4"/>
      <c r="J422" s="4"/>
      <c r="K422" s="3"/>
      <c r="L422" s="3"/>
      <c r="M422" s="4"/>
      <c r="N422" s="4"/>
      <c r="O422" s="4"/>
      <c r="P422" s="4"/>
      <c r="Q422" s="3"/>
      <c r="R422" s="4"/>
      <c r="S422" s="4"/>
      <c r="T422" s="4"/>
      <c r="U422" s="3"/>
      <c r="V422" s="4"/>
      <c r="W422" s="3"/>
      <c r="X422" s="3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57"/>
      <c r="D423" s="4"/>
      <c r="E423" s="4"/>
      <c r="F423" s="4"/>
      <c r="G423" s="4"/>
      <c r="H423" s="3"/>
      <c r="I423" s="4"/>
      <c r="J423" s="4"/>
      <c r="K423" s="3"/>
      <c r="L423" s="3"/>
      <c r="M423" s="4"/>
      <c r="N423" s="4"/>
      <c r="O423" s="4"/>
      <c r="P423" s="4"/>
      <c r="Q423" s="3"/>
      <c r="R423" s="4"/>
      <c r="S423" s="4"/>
      <c r="T423" s="4"/>
      <c r="U423" s="3"/>
      <c r="V423" s="4"/>
      <c r="W423" s="3"/>
      <c r="X423" s="3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57"/>
      <c r="D424" s="4"/>
      <c r="E424" s="4"/>
      <c r="F424" s="4"/>
      <c r="G424" s="4"/>
      <c r="H424" s="3"/>
      <c r="I424" s="4"/>
      <c r="J424" s="4"/>
      <c r="K424" s="3"/>
      <c r="L424" s="3"/>
      <c r="M424" s="4"/>
      <c r="N424" s="4"/>
      <c r="O424" s="4"/>
      <c r="P424" s="4"/>
      <c r="Q424" s="3"/>
      <c r="R424" s="4"/>
      <c r="S424" s="4"/>
      <c r="T424" s="4"/>
      <c r="U424" s="3"/>
      <c r="V424" s="4"/>
      <c r="W424" s="3"/>
      <c r="X424" s="3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57"/>
      <c r="D425" s="4"/>
      <c r="E425" s="4"/>
      <c r="F425" s="4"/>
      <c r="G425" s="4"/>
      <c r="H425" s="3"/>
      <c r="I425" s="4"/>
      <c r="J425" s="4"/>
      <c r="K425" s="3"/>
      <c r="L425" s="3"/>
      <c r="M425" s="4"/>
      <c r="N425" s="4"/>
      <c r="O425" s="4"/>
      <c r="P425" s="4"/>
      <c r="Q425" s="3"/>
      <c r="R425" s="4"/>
      <c r="S425" s="4"/>
      <c r="T425" s="4"/>
      <c r="U425" s="3"/>
      <c r="V425" s="4"/>
      <c r="W425" s="3"/>
      <c r="X425" s="3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57"/>
      <c r="D426" s="4"/>
      <c r="E426" s="4"/>
      <c r="F426" s="4"/>
      <c r="G426" s="4"/>
      <c r="H426" s="3"/>
      <c r="I426" s="4"/>
      <c r="J426" s="4"/>
      <c r="K426" s="3"/>
      <c r="L426" s="3"/>
      <c r="M426" s="4"/>
      <c r="N426" s="4"/>
      <c r="O426" s="4"/>
      <c r="P426" s="4"/>
      <c r="Q426" s="3"/>
      <c r="R426" s="4"/>
      <c r="S426" s="4"/>
      <c r="T426" s="4"/>
      <c r="U426" s="3"/>
      <c r="V426" s="4"/>
      <c r="W426" s="3"/>
      <c r="X426" s="3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57"/>
      <c r="D427" s="4"/>
      <c r="E427" s="4"/>
      <c r="F427" s="4"/>
      <c r="G427" s="4"/>
      <c r="H427" s="3"/>
      <c r="I427" s="4"/>
      <c r="J427" s="4"/>
      <c r="K427" s="3"/>
      <c r="L427" s="3"/>
      <c r="M427" s="4"/>
      <c r="N427" s="4"/>
      <c r="O427" s="4"/>
      <c r="P427" s="4"/>
      <c r="Q427" s="3"/>
      <c r="R427" s="4"/>
      <c r="S427" s="4"/>
      <c r="T427" s="4"/>
      <c r="U427" s="3"/>
      <c r="V427" s="4"/>
      <c r="W427" s="3"/>
      <c r="X427" s="3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57"/>
      <c r="D428" s="4"/>
      <c r="E428" s="4"/>
      <c r="F428" s="4"/>
      <c r="G428" s="4"/>
      <c r="H428" s="3"/>
      <c r="I428" s="4"/>
      <c r="J428" s="4"/>
      <c r="K428" s="3"/>
      <c r="L428" s="3"/>
      <c r="M428" s="4"/>
      <c r="N428" s="4"/>
      <c r="O428" s="4"/>
      <c r="P428" s="4"/>
      <c r="Q428" s="3"/>
      <c r="R428" s="4"/>
      <c r="S428" s="4"/>
      <c r="T428" s="4"/>
      <c r="U428" s="3"/>
      <c r="V428" s="4"/>
      <c r="W428" s="3"/>
      <c r="X428" s="3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57"/>
      <c r="D429" s="4"/>
      <c r="E429" s="4"/>
      <c r="F429" s="4"/>
      <c r="G429" s="4"/>
      <c r="H429" s="3"/>
      <c r="I429" s="4"/>
      <c r="J429" s="4"/>
      <c r="K429" s="3"/>
      <c r="L429" s="3"/>
      <c r="M429" s="4"/>
      <c r="N429" s="4"/>
      <c r="O429" s="4"/>
      <c r="P429" s="4"/>
      <c r="Q429" s="3"/>
      <c r="R429" s="4"/>
      <c r="S429" s="4"/>
      <c r="T429" s="4"/>
      <c r="U429" s="3"/>
      <c r="V429" s="4"/>
      <c r="W429" s="3"/>
      <c r="X429" s="3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57"/>
      <c r="D430" s="4"/>
      <c r="E430" s="4"/>
      <c r="F430" s="4"/>
      <c r="G430" s="4"/>
      <c r="H430" s="3"/>
      <c r="I430" s="4"/>
      <c r="J430" s="4"/>
      <c r="K430" s="3"/>
      <c r="L430" s="3"/>
      <c r="M430" s="4"/>
      <c r="N430" s="4"/>
      <c r="O430" s="4"/>
      <c r="P430" s="4"/>
      <c r="Q430" s="3"/>
      <c r="R430" s="4"/>
      <c r="S430" s="4"/>
      <c r="T430" s="4"/>
      <c r="U430" s="3"/>
      <c r="V430" s="4"/>
      <c r="W430" s="3"/>
      <c r="X430" s="3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57"/>
      <c r="D431" s="4"/>
      <c r="E431" s="4"/>
      <c r="F431" s="4"/>
      <c r="G431" s="4"/>
      <c r="H431" s="3"/>
      <c r="I431" s="4"/>
      <c r="J431" s="4"/>
      <c r="K431" s="3"/>
      <c r="L431" s="3"/>
      <c r="M431" s="4"/>
      <c r="N431" s="4"/>
      <c r="O431" s="4"/>
      <c r="P431" s="4"/>
      <c r="Q431" s="3"/>
      <c r="R431" s="4"/>
      <c r="S431" s="4"/>
      <c r="T431" s="4"/>
      <c r="U431" s="3"/>
      <c r="V431" s="4"/>
      <c r="W431" s="3"/>
      <c r="X431" s="3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57"/>
      <c r="D432" s="4"/>
      <c r="E432" s="4"/>
      <c r="F432" s="4"/>
      <c r="G432" s="4"/>
      <c r="H432" s="3"/>
      <c r="I432" s="4"/>
      <c r="J432" s="4"/>
      <c r="K432" s="3"/>
      <c r="L432" s="3"/>
      <c r="M432" s="4"/>
      <c r="N432" s="4"/>
      <c r="O432" s="4"/>
      <c r="P432" s="4"/>
      <c r="Q432" s="3"/>
      <c r="R432" s="4"/>
      <c r="S432" s="4"/>
      <c r="T432" s="4"/>
      <c r="U432" s="3"/>
      <c r="V432" s="4"/>
      <c r="W432" s="3"/>
      <c r="X432" s="3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57"/>
      <c r="D433" s="4"/>
      <c r="E433" s="4"/>
      <c r="F433" s="4"/>
      <c r="G433" s="4"/>
      <c r="H433" s="3"/>
      <c r="I433" s="4"/>
      <c r="J433" s="4"/>
      <c r="K433" s="3"/>
      <c r="L433" s="3"/>
      <c r="M433" s="4"/>
      <c r="N433" s="4"/>
      <c r="O433" s="4"/>
      <c r="P433" s="4"/>
      <c r="Q433" s="3"/>
      <c r="R433" s="4"/>
      <c r="S433" s="4"/>
      <c r="T433" s="4"/>
      <c r="U433" s="3"/>
      <c r="V433" s="4"/>
      <c r="W433" s="3"/>
      <c r="X433" s="3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57"/>
      <c r="D434" s="4"/>
      <c r="E434" s="4"/>
      <c r="F434" s="4"/>
      <c r="G434" s="4"/>
      <c r="H434" s="3"/>
      <c r="I434" s="4"/>
      <c r="J434" s="4"/>
      <c r="K434" s="3"/>
      <c r="L434" s="3"/>
      <c r="M434" s="4"/>
      <c r="N434" s="4"/>
      <c r="O434" s="4"/>
      <c r="P434" s="4"/>
      <c r="Q434" s="3"/>
      <c r="R434" s="4"/>
      <c r="S434" s="4"/>
      <c r="T434" s="4"/>
      <c r="U434" s="3"/>
      <c r="V434" s="4"/>
      <c r="W434" s="3"/>
      <c r="X434" s="3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57"/>
      <c r="D435" s="4"/>
      <c r="E435" s="4"/>
      <c r="F435" s="4"/>
      <c r="G435" s="4"/>
      <c r="H435" s="3"/>
      <c r="I435" s="4"/>
      <c r="J435" s="4"/>
      <c r="K435" s="3"/>
      <c r="L435" s="3"/>
      <c r="M435" s="4"/>
      <c r="N435" s="4"/>
      <c r="O435" s="4"/>
      <c r="P435" s="4"/>
      <c r="Q435" s="3"/>
      <c r="R435" s="4"/>
      <c r="S435" s="4"/>
      <c r="T435" s="4"/>
      <c r="U435" s="3"/>
      <c r="V435" s="4"/>
      <c r="W435" s="3"/>
      <c r="X435" s="3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57"/>
      <c r="D436" s="4"/>
      <c r="E436" s="4"/>
      <c r="F436" s="4"/>
      <c r="G436" s="4"/>
      <c r="H436" s="3"/>
      <c r="I436" s="4"/>
      <c r="J436" s="4"/>
      <c r="K436" s="3"/>
      <c r="L436" s="3"/>
      <c r="M436" s="4"/>
      <c r="N436" s="4"/>
      <c r="O436" s="4"/>
      <c r="P436" s="4"/>
      <c r="Q436" s="3"/>
      <c r="R436" s="4"/>
      <c r="S436" s="4"/>
      <c r="T436" s="4"/>
      <c r="U436" s="3"/>
      <c r="V436" s="4"/>
      <c r="W436" s="3"/>
      <c r="X436" s="3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57"/>
      <c r="D437" s="4"/>
      <c r="E437" s="4"/>
      <c r="F437" s="4"/>
      <c r="G437" s="4"/>
      <c r="H437" s="3"/>
      <c r="I437" s="4"/>
      <c r="J437" s="4"/>
      <c r="K437" s="3"/>
      <c r="L437" s="3"/>
      <c r="M437" s="4"/>
      <c r="N437" s="4"/>
      <c r="O437" s="4"/>
      <c r="P437" s="4"/>
      <c r="Q437" s="3"/>
      <c r="R437" s="4"/>
      <c r="S437" s="4"/>
      <c r="T437" s="4"/>
      <c r="U437" s="3"/>
      <c r="V437" s="4"/>
      <c r="W437" s="3"/>
      <c r="X437" s="3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57"/>
      <c r="D438" s="4"/>
      <c r="E438" s="4"/>
      <c r="F438" s="4"/>
      <c r="G438" s="4"/>
      <c r="H438" s="3"/>
      <c r="I438" s="4"/>
      <c r="J438" s="4"/>
      <c r="K438" s="3"/>
      <c r="L438" s="3"/>
      <c r="M438" s="4"/>
      <c r="N438" s="4"/>
      <c r="O438" s="4"/>
      <c r="P438" s="4"/>
      <c r="Q438" s="3"/>
      <c r="R438" s="4"/>
      <c r="S438" s="4"/>
      <c r="T438" s="4"/>
      <c r="U438" s="3"/>
      <c r="V438" s="4"/>
      <c r="W438" s="3"/>
      <c r="X438" s="3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57"/>
      <c r="D439" s="4"/>
      <c r="E439" s="4"/>
      <c r="F439" s="4"/>
      <c r="G439" s="4"/>
      <c r="H439" s="3"/>
      <c r="I439" s="4"/>
      <c r="J439" s="4"/>
      <c r="K439" s="3"/>
      <c r="L439" s="3"/>
      <c r="M439" s="4"/>
      <c r="N439" s="4"/>
      <c r="O439" s="4"/>
      <c r="P439" s="4"/>
      <c r="Q439" s="3"/>
      <c r="R439" s="4"/>
      <c r="S439" s="4"/>
      <c r="T439" s="4"/>
      <c r="U439" s="3"/>
      <c r="V439" s="4"/>
      <c r="W439" s="3"/>
      <c r="X439" s="3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57"/>
      <c r="D440" s="4"/>
      <c r="E440" s="4"/>
      <c r="F440" s="4"/>
      <c r="G440" s="4"/>
      <c r="H440" s="3"/>
      <c r="I440" s="4"/>
      <c r="J440" s="4"/>
      <c r="K440" s="3"/>
      <c r="L440" s="3"/>
      <c r="M440" s="4"/>
      <c r="N440" s="4"/>
      <c r="O440" s="4"/>
      <c r="P440" s="4"/>
      <c r="Q440" s="3"/>
      <c r="R440" s="4"/>
      <c r="S440" s="4"/>
      <c r="T440" s="4"/>
      <c r="U440" s="3"/>
      <c r="V440" s="4"/>
      <c r="W440" s="3"/>
      <c r="X440" s="3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57"/>
      <c r="D441" s="4"/>
      <c r="E441" s="4"/>
      <c r="F441" s="4"/>
      <c r="G441" s="4"/>
      <c r="H441" s="3"/>
      <c r="I441" s="4"/>
      <c r="J441" s="4"/>
      <c r="K441" s="3"/>
      <c r="L441" s="3"/>
      <c r="M441" s="4"/>
      <c r="N441" s="4"/>
      <c r="O441" s="4"/>
      <c r="P441" s="4"/>
      <c r="Q441" s="3"/>
      <c r="R441" s="4"/>
      <c r="S441" s="4"/>
      <c r="T441" s="4"/>
      <c r="U441" s="3"/>
      <c r="V441" s="4"/>
      <c r="W441" s="3"/>
      <c r="X441" s="3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57"/>
      <c r="D442" s="4"/>
      <c r="E442" s="4"/>
      <c r="F442" s="4"/>
      <c r="G442" s="4"/>
      <c r="H442" s="3"/>
      <c r="I442" s="4"/>
      <c r="J442" s="4"/>
      <c r="K442" s="3"/>
      <c r="L442" s="3"/>
      <c r="M442" s="4"/>
      <c r="N442" s="4"/>
      <c r="O442" s="4"/>
      <c r="P442" s="4"/>
      <c r="Q442" s="3"/>
      <c r="R442" s="4"/>
      <c r="S442" s="4"/>
      <c r="T442" s="4"/>
      <c r="U442" s="3"/>
      <c r="V442" s="4"/>
      <c r="W442" s="3"/>
      <c r="X442" s="3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57"/>
      <c r="D443" s="4"/>
      <c r="E443" s="4"/>
      <c r="F443" s="4"/>
      <c r="G443" s="4"/>
      <c r="H443" s="3"/>
      <c r="I443" s="4"/>
      <c r="J443" s="4"/>
      <c r="K443" s="3"/>
      <c r="L443" s="3"/>
      <c r="M443" s="4"/>
      <c r="N443" s="4"/>
      <c r="O443" s="4"/>
      <c r="P443" s="4"/>
      <c r="Q443" s="3"/>
      <c r="R443" s="4"/>
      <c r="S443" s="4"/>
      <c r="T443" s="4"/>
      <c r="U443" s="3"/>
      <c r="V443" s="4"/>
      <c r="W443" s="3"/>
      <c r="X443" s="3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57"/>
      <c r="D444" s="4"/>
      <c r="E444" s="4"/>
      <c r="F444" s="4"/>
      <c r="G444" s="4"/>
      <c r="H444" s="3"/>
      <c r="I444" s="4"/>
      <c r="J444" s="4"/>
      <c r="K444" s="3"/>
      <c r="L444" s="3"/>
      <c r="M444" s="4"/>
      <c r="N444" s="4"/>
      <c r="O444" s="4"/>
      <c r="P444" s="4"/>
      <c r="Q444" s="3"/>
      <c r="R444" s="4"/>
      <c r="S444" s="4"/>
      <c r="T444" s="4"/>
      <c r="U444" s="3"/>
      <c r="V444" s="4"/>
      <c r="W444" s="3"/>
      <c r="X444" s="3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57"/>
      <c r="D445" s="4"/>
      <c r="E445" s="4"/>
      <c r="F445" s="4"/>
      <c r="G445" s="4"/>
      <c r="H445" s="3"/>
      <c r="I445" s="4"/>
      <c r="J445" s="4"/>
      <c r="K445" s="3"/>
      <c r="L445" s="3"/>
      <c r="M445" s="4"/>
      <c r="N445" s="4"/>
      <c r="O445" s="4"/>
      <c r="P445" s="4"/>
      <c r="Q445" s="3"/>
      <c r="R445" s="4"/>
      <c r="S445" s="4"/>
      <c r="T445" s="4"/>
      <c r="U445" s="3"/>
      <c r="V445" s="4"/>
      <c r="W445" s="3"/>
      <c r="X445" s="3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57"/>
      <c r="D446" s="4"/>
      <c r="E446" s="4"/>
      <c r="F446" s="4"/>
      <c r="G446" s="4"/>
      <c r="H446" s="3"/>
      <c r="I446" s="4"/>
      <c r="J446" s="4"/>
      <c r="K446" s="3"/>
      <c r="L446" s="3"/>
      <c r="M446" s="4"/>
      <c r="N446" s="4"/>
      <c r="O446" s="4"/>
      <c r="P446" s="4"/>
      <c r="Q446" s="3"/>
      <c r="R446" s="4"/>
      <c r="S446" s="4"/>
      <c r="T446" s="4"/>
      <c r="U446" s="3"/>
      <c r="V446" s="4"/>
      <c r="W446" s="3"/>
      <c r="X446" s="3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57"/>
      <c r="D447" s="4"/>
      <c r="E447" s="4"/>
      <c r="F447" s="4"/>
      <c r="G447" s="4"/>
      <c r="H447" s="3"/>
      <c r="I447" s="4"/>
      <c r="J447" s="4"/>
      <c r="K447" s="3"/>
      <c r="L447" s="3"/>
      <c r="M447" s="4"/>
      <c r="N447" s="4"/>
      <c r="O447" s="4"/>
      <c r="P447" s="4"/>
      <c r="Q447" s="3"/>
      <c r="R447" s="4"/>
      <c r="S447" s="4"/>
      <c r="T447" s="4"/>
      <c r="U447" s="3"/>
      <c r="V447" s="4"/>
      <c r="W447" s="3"/>
      <c r="X447" s="3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57"/>
      <c r="D448" s="4"/>
      <c r="E448" s="4"/>
      <c r="F448" s="4"/>
      <c r="G448" s="4"/>
      <c r="H448" s="3"/>
      <c r="I448" s="4"/>
      <c r="J448" s="4"/>
      <c r="K448" s="3"/>
      <c r="L448" s="3"/>
      <c r="M448" s="4"/>
      <c r="N448" s="4"/>
      <c r="O448" s="4"/>
      <c r="P448" s="4"/>
      <c r="Q448" s="3"/>
      <c r="R448" s="4"/>
      <c r="S448" s="4"/>
      <c r="T448" s="4"/>
      <c r="U448" s="3"/>
      <c r="V448" s="4"/>
      <c r="W448" s="3"/>
      <c r="X448" s="3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57"/>
      <c r="D449" s="4"/>
      <c r="E449" s="4"/>
      <c r="F449" s="4"/>
      <c r="G449" s="4"/>
      <c r="H449" s="3"/>
      <c r="I449" s="4"/>
      <c r="J449" s="4"/>
      <c r="K449" s="3"/>
      <c r="L449" s="3"/>
      <c r="M449" s="4"/>
      <c r="N449" s="4"/>
      <c r="O449" s="4"/>
      <c r="P449" s="4"/>
      <c r="Q449" s="3"/>
      <c r="R449" s="4"/>
      <c r="S449" s="4"/>
      <c r="T449" s="4"/>
      <c r="U449" s="3"/>
      <c r="V449" s="4"/>
      <c r="W449" s="3"/>
      <c r="X449" s="3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57"/>
      <c r="D450" s="4"/>
      <c r="E450" s="4"/>
      <c r="F450" s="4"/>
      <c r="G450" s="4"/>
      <c r="H450" s="3"/>
      <c r="I450" s="4"/>
      <c r="J450" s="4"/>
      <c r="K450" s="3"/>
      <c r="L450" s="3"/>
      <c r="M450" s="4"/>
      <c r="N450" s="4"/>
      <c r="O450" s="4"/>
      <c r="P450" s="4"/>
      <c r="Q450" s="3"/>
      <c r="R450" s="4"/>
      <c r="S450" s="4"/>
      <c r="T450" s="4"/>
      <c r="U450" s="3"/>
      <c r="V450" s="4"/>
      <c r="W450" s="3"/>
      <c r="X450" s="3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57"/>
      <c r="D451" s="4"/>
      <c r="E451" s="4"/>
      <c r="F451" s="4"/>
      <c r="G451" s="4"/>
      <c r="H451" s="3"/>
      <c r="I451" s="4"/>
      <c r="J451" s="4"/>
      <c r="K451" s="3"/>
      <c r="L451" s="3"/>
      <c r="M451" s="4"/>
      <c r="N451" s="4"/>
      <c r="O451" s="4"/>
      <c r="P451" s="4"/>
      <c r="Q451" s="3"/>
      <c r="R451" s="4"/>
      <c r="S451" s="4"/>
      <c r="T451" s="4"/>
      <c r="U451" s="3"/>
      <c r="V451" s="4"/>
      <c r="W451" s="3"/>
      <c r="X451" s="3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57"/>
      <c r="D452" s="4"/>
      <c r="E452" s="4"/>
      <c r="F452" s="4"/>
      <c r="G452" s="4"/>
      <c r="H452" s="3"/>
      <c r="I452" s="4"/>
      <c r="J452" s="4"/>
      <c r="K452" s="3"/>
      <c r="L452" s="3"/>
      <c r="M452" s="4"/>
      <c r="N452" s="4"/>
      <c r="O452" s="4"/>
      <c r="P452" s="4"/>
      <c r="Q452" s="3"/>
      <c r="R452" s="4"/>
      <c r="S452" s="4"/>
      <c r="T452" s="4"/>
      <c r="U452" s="3"/>
      <c r="V452" s="4"/>
      <c r="W452" s="3"/>
      <c r="X452" s="3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57"/>
      <c r="D453" s="4"/>
      <c r="E453" s="4"/>
      <c r="F453" s="4"/>
      <c r="G453" s="4"/>
      <c r="H453" s="3"/>
      <c r="I453" s="4"/>
      <c r="J453" s="4"/>
      <c r="K453" s="3"/>
      <c r="L453" s="3"/>
      <c r="M453" s="4"/>
      <c r="N453" s="4"/>
      <c r="O453" s="4"/>
      <c r="P453" s="4"/>
      <c r="Q453" s="3"/>
      <c r="R453" s="4"/>
      <c r="S453" s="4"/>
      <c r="T453" s="4"/>
      <c r="U453" s="3"/>
      <c r="V453" s="4"/>
      <c r="W453" s="3"/>
      <c r="X453" s="3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57"/>
      <c r="D454" s="4"/>
      <c r="E454" s="4"/>
      <c r="F454" s="4"/>
      <c r="G454" s="4"/>
      <c r="H454" s="3"/>
      <c r="I454" s="4"/>
      <c r="J454" s="4"/>
      <c r="K454" s="3"/>
      <c r="L454" s="3"/>
      <c r="M454" s="4"/>
      <c r="N454" s="4"/>
      <c r="O454" s="4"/>
      <c r="P454" s="4"/>
      <c r="Q454" s="3"/>
      <c r="R454" s="4"/>
      <c r="S454" s="4"/>
      <c r="T454" s="4"/>
      <c r="U454" s="3"/>
      <c r="V454" s="4"/>
      <c r="W454" s="3"/>
      <c r="X454" s="3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57"/>
      <c r="D455" s="4"/>
      <c r="E455" s="4"/>
      <c r="F455" s="4"/>
      <c r="G455" s="4"/>
      <c r="H455" s="3"/>
      <c r="I455" s="4"/>
      <c r="J455" s="4"/>
      <c r="K455" s="3"/>
      <c r="L455" s="3"/>
      <c r="M455" s="4"/>
      <c r="N455" s="4"/>
      <c r="O455" s="4"/>
      <c r="P455" s="4"/>
      <c r="Q455" s="3"/>
      <c r="R455" s="4"/>
      <c r="S455" s="4"/>
      <c r="T455" s="4"/>
      <c r="U455" s="3"/>
      <c r="V455" s="4"/>
      <c r="W455" s="3"/>
      <c r="X455" s="3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57"/>
      <c r="D456" s="4"/>
      <c r="E456" s="4"/>
      <c r="F456" s="4"/>
      <c r="G456" s="4"/>
      <c r="H456" s="3"/>
      <c r="I456" s="4"/>
      <c r="J456" s="4"/>
      <c r="K456" s="3"/>
      <c r="L456" s="3"/>
      <c r="M456" s="4"/>
      <c r="N456" s="4"/>
      <c r="O456" s="4"/>
      <c r="P456" s="4"/>
      <c r="Q456" s="3"/>
      <c r="R456" s="4"/>
      <c r="S456" s="4"/>
      <c r="T456" s="4"/>
      <c r="U456" s="3"/>
      <c r="V456" s="4"/>
      <c r="W456" s="3"/>
      <c r="X456" s="3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57"/>
      <c r="D457" s="4"/>
      <c r="E457" s="4"/>
      <c r="F457" s="4"/>
      <c r="G457" s="4"/>
      <c r="H457" s="3"/>
      <c r="I457" s="4"/>
      <c r="J457" s="4"/>
      <c r="K457" s="3"/>
      <c r="L457" s="3"/>
      <c r="M457" s="4"/>
      <c r="N457" s="4"/>
      <c r="O457" s="4"/>
      <c r="P457" s="4"/>
      <c r="Q457" s="3"/>
      <c r="R457" s="4"/>
      <c r="S457" s="4"/>
      <c r="T457" s="4"/>
      <c r="U457" s="3"/>
      <c r="V457" s="4"/>
      <c r="W457" s="3"/>
      <c r="X457" s="3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57"/>
      <c r="D458" s="4"/>
      <c r="E458" s="4"/>
      <c r="F458" s="4"/>
      <c r="G458" s="4"/>
      <c r="H458" s="3"/>
      <c r="I458" s="4"/>
      <c r="J458" s="4"/>
      <c r="K458" s="3"/>
      <c r="L458" s="3"/>
      <c r="M458" s="4"/>
      <c r="N458" s="4"/>
      <c r="O458" s="4"/>
      <c r="P458" s="4"/>
      <c r="Q458" s="3"/>
      <c r="R458" s="4"/>
      <c r="S458" s="4"/>
      <c r="T458" s="4"/>
      <c r="U458" s="3"/>
      <c r="V458" s="4"/>
      <c r="W458" s="3"/>
      <c r="X458" s="3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57"/>
      <c r="D459" s="4"/>
      <c r="E459" s="4"/>
      <c r="F459" s="4"/>
      <c r="G459" s="4"/>
      <c r="H459" s="3"/>
      <c r="I459" s="4"/>
      <c r="J459" s="4"/>
      <c r="K459" s="3"/>
      <c r="L459" s="3"/>
      <c r="M459" s="4"/>
      <c r="N459" s="4"/>
      <c r="O459" s="4"/>
      <c r="P459" s="4"/>
      <c r="Q459" s="3"/>
      <c r="R459" s="4"/>
      <c r="S459" s="4"/>
      <c r="T459" s="4"/>
      <c r="U459" s="3"/>
      <c r="V459" s="4"/>
      <c r="W459" s="3"/>
      <c r="X459" s="3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57"/>
      <c r="D460" s="4"/>
      <c r="E460" s="4"/>
      <c r="F460" s="4"/>
      <c r="G460" s="4"/>
      <c r="H460" s="3"/>
      <c r="I460" s="4"/>
      <c r="J460" s="4"/>
      <c r="K460" s="3"/>
      <c r="L460" s="3"/>
      <c r="M460" s="4"/>
      <c r="N460" s="4"/>
      <c r="O460" s="4"/>
      <c r="P460" s="4"/>
      <c r="Q460" s="3"/>
      <c r="R460" s="4"/>
      <c r="S460" s="4"/>
      <c r="T460" s="4"/>
      <c r="U460" s="3"/>
      <c r="V460" s="4"/>
      <c r="W460" s="3"/>
      <c r="X460" s="3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57"/>
      <c r="D461" s="4"/>
      <c r="E461" s="4"/>
      <c r="F461" s="4"/>
      <c r="G461" s="4"/>
      <c r="H461" s="3"/>
      <c r="I461" s="4"/>
      <c r="J461" s="4"/>
      <c r="K461" s="3"/>
      <c r="L461" s="3"/>
      <c r="M461" s="4"/>
      <c r="N461" s="4"/>
      <c r="O461" s="4"/>
      <c r="P461" s="4"/>
      <c r="Q461" s="3"/>
      <c r="R461" s="4"/>
      <c r="S461" s="4"/>
      <c r="T461" s="4"/>
      <c r="U461" s="3"/>
      <c r="V461" s="4"/>
      <c r="W461" s="3"/>
      <c r="X461" s="3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57"/>
      <c r="D462" s="4"/>
      <c r="E462" s="4"/>
      <c r="F462" s="4"/>
      <c r="G462" s="4"/>
      <c r="H462" s="3"/>
      <c r="I462" s="4"/>
      <c r="J462" s="4"/>
      <c r="K462" s="3"/>
      <c r="L462" s="3"/>
      <c r="M462" s="4"/>
      <c r="N462" s="4"/>
      <c r="O462" s="4"/>
      <c r="P462" s="4"/>
      <c r="Q462" s="3"/>
      <c r="R462" s="4"/>
      <c r="S462" s="4"/>
      <c r="T462" s="4"/>
      <c r="U462" s="3"/>
      <c r="V462" s="4"/>
      <c r="W462" s="3"/>
      <c r="X462" s="3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57"/>
      <c r="D463" s="4"/>
      <c r="E463" s="4"/>
      <c r="F463" s="4"/>
      <c r="G463" s="4"/>
      <c r="H463" s="3"/>
      <c r="I463" s="4"/>
      <c r="J463" s="4"/>
      <c r="K463" s="3"/>
      <c r="L463" s="3"/>
      <c r="M463" s="4"/>
      <c r="N463" s="4"/>
      <c r="O463" s="4"/>
      <c r="P463" s="4"/>
      <c r="Q463" s="3"/>
      <c r="R463" s="4"/>
      <c r="S463" s="4"/>
      <c r="T463" s="4"/>
      <c r="U463" s="3"/>
      <c r="V463" s="4"/>
      <c r="W463" s="3"/>
      <c r="X463" s="3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57"/>
      <c r="D464" s="4"/>
      <c r="E464" s="4"/>
      <c r="F464" s="4"/>
      <c r="G464" s="4"/>
      <c r="H464" s="3"/>
      <c r="I464" s="4"/>
      <c r="J464" s="4"/>
      <c r="K464" s="3"/>
      <c r="L464" s="3"/>
      <c r="M464" s="4"/>
      <c r="N464" s="4"/>
      <c r="O464" s="4"/>
      <c r="P464" s="4"/>
      <c r="Q464" s="3"/>
      <c r="R464" s="4"/>
      <c r="S464" s="4"/>
      <c r="T464" s="4"/>
      <c r="U464" s="3"/>
      <c r="V464" s="4"/>
      <c r="W464" s="3"/>
      <c r="X464" s="3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57"/>
      <c r="D465" s="4"/>
      <c r="E465" s="4"/>
      <c r="F465" s="4"/>
      <c r="G465" s="4"/>
      <c r="H465" s="3"/>
      <c r="I465" s="4"/>
      <c r="J465" s="4"/>
      <c r="K465" s="3"/>
      <c r="L465" s="3"/>
      <c r="M465" s="4"/>
      <c r="N465" s="4"/>
      <c r="O465" s="4"/>
      <c r="P465" s="4"/>
      <c r="Q465" s="3"/>
      <c r="R465" s="4"/>
      <c r="S465" s="4"/>
      <c r="T465" s="4"/>
      <c r="U465" s="3"/>
      <c r="V465" s="4"/>
      <c r="W465" s="3"/>
      <c r="X465" s="3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57"/>
      <c r="D466" s="4"/>
      <c r="E466" s="4"/>
      <c r="F466" s="4"/>
      <c r="G466" s="4"/>
      <c r="H466" s="3"/>
      <c r="I466" s="4"/>
      <c r="J466" s="4"/>
      <c r="K466" s="3"/>
      <c r="L466" s="3"/>
      <c r="M466" s="4"/>
      <c r="N466" s="4"/>
      <c r="O466" s="4"/>
      <c r="P466" s="4"/>
      <c r="Q466" s="3"/>
      <c r="R466" s="4"/>
      <c r="S466" s="4"/>
      <c r="T466" s="4"/>
      <c r="U466" s="3"/>
      <c r="V466" s="4"/>
      <c r="W466" s="3"/>
      <c r="X466" s="3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57"/>
      <c r="D467" s="4"/>
      <c r="E467" s="4"/>
      <c r="F467" s="4"/>
      <c r="G467" s="4"/>
      <c r="H467" s="3"/>
      <c r="I467" s="4"/>
      <c r="J467" s="4"/>
      <c r="K467" s="3"/>
      <c r="L467" s="3"/>
      <c r="M467" s="4"/>
      <c r="N467" s="4"/>
      <c r="O467" s="4"/>
      <c r="P467" s="4"/>
      <c r="Q467" s="3"/>
      <c r="R467" s="4"/>
      <c r="S467" s="4"/>
      <c r="T467" s="4"/>
      <c r="U467" s="3"/>
      <c r="V467" s="4"/>
      <c r="W467" s="3"/>
      <c r="X467" s="3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57"/>
      <c r="D468" s="4"/>
      <c r="E468" s="4"/>
      <c r="F468" s="4"/>
      <c r="G468" s="4"/>
      <c r="H468" s="3"/>
      <c r="I468" s="4"/>
      <c r="J468" s="4"/>
      <c r="K468" s="3"/>
      <c r="L468" s="3"/>
      <c r="M468" s="4"/>
      <c r="N468" s="4"/>
      <c r="O468" s="4"/>
      <c r="P468" s="4"/>
      <c r="Q468" s="3"/>
      <c r="R468" s="4"/>
      <c r="S468" s="4"/>
      <c r="T468" s="4"/>
      <c r="U468" s="3"/>
      <c r="V468" s="4"/>
      <c r="W468" s="3"/>
      <c r="X468" s="3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57"/>
      <c r="D469" s="4"/>
      <c r="E469" s="4"/>
      <c r="F469" s="4"/>
      <c r="G469" s="4"/>
      <c r="H469" s="3"/>
      <c r="I469" s="4"/>
      <c r="J469" s="4"/>
      <c r="K469" s="3"/>
      <c r="L469" s="3"/>
      <c r="M469" s="4"/>
      <c r="N469" s="4"/>
      <c r="O469" s="4"/>
      <c r="P469" s="4"/>
      <c r="Q469" s="3"/>
      <c r="R469" s="4"/>
      <c r="S469" s="4"/>
      <c r="T469" s="4"/>
      <c r="U469" s="3"/>
      <c r="V469" s="4"/>
      <c r="W469" s="3"/>
      <c r="X469" s="3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57"/>
      <c r="D470" s="4"/>
      <c r="E470" s="4"/>
      <c r="F470" s="4"/>
      <c r="G470" s="4"/>
      <c r="H470" s="3"/>
      <c r="I470" s="4"/>
      <c r="J470" s="4"/>
      <c r="K470" s="3"/>
      <c r="L470" s="3"/>
      <c r="M470" s="4"/>
      <c r="N470" s="4"/>
      <c r="O470" s="4"/>
      <c r="P470" s="4"/>
      <c r="Q470" s="3"/>
      <c r="R470" s="4"/>
      <c r="S470" s="4"/>
      <c r="T470" s="4"/>
      <c r="U470" s="3"/>
      <c r="V470" s="4"/>
      <c r="W470" s="3"/>
      <c r="X470" s="3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57"/>
      <c r="D471" s="4"/>
      <c r="E471" s="4"/>
      <c r="F471" s="4"/>
      <c r="G471" s="4"/>
      <c r="H471" s="3"/>
      <c r="I471" s="4"/>
      <c r="J471" s="4"/>
      <c r="K471" s="3"/>
      <c r="L471" s="3"/>
      <c r="M471" s="4"/>
      <c r="N471" s="4"/>
      <c r="O471" s="4"/>
      <c r="P471" s="4"/>
      <c r="Q471" s="3"/>
      <c r="R471" s="4"/>
      <c r="S471" s="4"/>
      <c r="T471" s="4"/>
      <c r="U471" s="3"/>
      <c r="V471" s="4"/>
      <c r="W471" s="3"/>
      <c r="X471" s="3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57"/>
      <c r="D472" s="4"/>
      <c r="E472" s="4"/>
      <c r="F472" s="4"/>
      <c r="G472" s="4"/>
      <c r="H472" s="3"/>
      <c r="I472" s="4"/>
      <c r="J472" s="4"/>
      <c r="K472" s="3"/>
      <c r="L472" s="3"/>
      <c r="M472" s="4"/>
      <c r="N472" s="4"/>
      <c r="O472" s="4"/>
      <c r="P472" s="4"/>
      <c r="Q472" s="3"/>
      <c r="R472" s="4"/>
      <c r="S472" s="4"/>
      <c r="T472" s="4"/>
      <c r="U472" s="3"/>
      <c r="V472" s="4"/>
      <c r="W472" s="3"/>
      <c r="X472" s="3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57"/>
      <c r="D473" s="4"/>
      <c r="E473" s="4"/>
      <c r="F473" s="4"/>
      <c r="G473" s="4"/>
      <c r="H473" s="3"/>
      <c r="I473" s="4"/>
      <c r="J473" s="4"/>
      <c r="K473" s="3"/>
      <c r="L473" s="3"/>
      <c r="M473" s="4"/>
      <c r="N473" s="4"/>
      <c r="O473" s="4"/>
      <c r="P473" s="4"/>
      <c r="Q473" s="3"/>
      <c r="R473" s="4"/>
      <c r="S473" s="4"/>
      <c r="T473" s="4"/>
      <c r="U473" s="3"/>
      <c r="V473" s="4"/>
      <c r="W473" s="3"/>
      <c r="X473" s="3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57"/>
      <c r="D474" s="4"/>
      <c r="E474" s="4"/>
      <c r="F474" s="4"/>
      <c r="G474" s="4"/>
      <c r="H474" s="3"/>
      <c r="I474" s="4"/>
      <c r="J474" s="4"/>
      <c r="K474" s="3"/>
      <c r="L474" s="3"/>
      <c r="M474" s="4"/>
      <c r="N474" s="4"/>
      <c r="O474" s="4"/>
      <c r="P474" s="4"/>
      <c r="Q474" s="3"/>
      <c r="R474" s="4"/>
      <c r="S474" s="4"/>
      <c r="T474" s="4"/>
      <c r="U474" s="3"/>
      <c r="V474" s="4"/>
      <c r="W474" s="3"/>
      <c r="X474" s="3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57"/>
      <c r="D475" s="4"/>
      <c r="E475" s="4"/>
      <c r="F475" s="4"/>
      <c r="G475" s="4"/>
      <c r="H475" s="3"/>
      <c r="I475" s="4"/>
      <c r="J475" s="4"/>
      <c r="K475" s="3"/>
      <c r="L475" s="3"/>
      <c r="M475" s="4"/>
      <c r="N475" s="4"/>
      <c r="O475" s="4"/>
      <c r="P475" s="4"/>
      <c r="Q475" s="3"/>
      <c r="R475" s="4"/>
      <c r="S475" s="4"/>
      <c r="T475" s="4"/>
      <c r="U475" s="3"/>
      <c r="V475" s="4"/>
      <c r="W475" s="3"/>
      <c r="X475" s="3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57"/>
      <c r="D476" s="4"/>
      <c r="E476" s="4"/>
      <c r="F476" s="4"/>
      <c r="G476" s="4"/>
      <c r="H476" s="3"/>
      <c r="I476" s="4"/>
      <c r="J476" s="4"/>
      <c r="K476" s="3"/>
      <c r="L476" s="3"/>
      <c r="M476" s="4"/>
      <c r="N476" s="4"/>
      <c r="O476" s="4"/>
      <c r="P476" s="4"/>
      <c r="Q476" s="3"/>
      <c r="R476" s="4"/>
      <c r="S476" s="4"/>
      <c r="T476" s="4"/>
      <c r="U476" s="3"/>
      <c r="V476" s="4"/>
      <c r="W476" s="3"/>
      <c r="X476" s="3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57"/>
      <c r="D477" s="4"/>
      <c r="E477" s="4"/>
      <c r="F477" s="4"/>
      <c r="G477" s="4"/>
      <c r="H477" s="3"/>
      <c r="I477" s="4"/>
      <c r="J477" s="4"/>
      <c r="K477" s="3"/>
      <c r="L477" s="3"/>
      <c r="M477" s="4"/>
      <c r="N477" s="4"/>
      <c r="O477" s="4"/>
      <c r="P477" s="4"/>
      <c r="Q477" s="3"/>
      <c r="R477" s="4"/>
      <c r="S477" s="4"/>
      <c r="T477" s="4"/>
      <c r="U477" s="3"/>
      <c r="V477" s="4"/>
      <c r="W477" s="3"/>
      <c r="X477" s="3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57"/>
      <c r="D478" s="4"/>
      <c r="E478" s="4"/>
      <c r="F478" s="4"/>
      <c r="G478" s="4"/>
      <c r="H478" s="3"/>
      <c r="I478" s="4"/>
      <c r="J478" s="4"/>
      <c r="K478" s="3"/>
      <c r="L478" s="3"/>
      <c r="M478" s="4"/>
      <c r="N478" s="4"/>
      <c r="O478" s="4"/>
      <c r="P478" s="4"/>
      <c r="Q478" s="3"/>
      <c r="R478" s="4"/>
      <c r="S478" s="4"/>
      <c r="T478" s="4"/>
      <c r="U478" s="3"/>
      <c r="V478" s="4"/>
      <c r="W478" s="3"/>
      <c r="X478" s="3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57"/>
      <c r="D479" s="4"/>
      <c r="E479" s="4"/>
      <c r="F479" s="4"/>
      <c r="G479" s="4"/>
      <c r="H479" s="3"/>
      <c r="I479" s="4"/>
      <c r="J479" s="4"/>
      <c r="K479" s="3"/>
      <c r="L479" s="3"/>
      <c r="M479" s="4"/>
      <c r="N479" s="4"/>
      <c r="O479" s="4"/>
      <c r="P479" s="4"/>
      <c r="Q479" s="3"/>
      <c r="R479" s="4"/>
      <c r="S479" s="4"/>
      <c r="T479" s="4"/>
      <c r="U479" s="3"/>
      <c r="V479" s="4"/>
      <c r="W479" s="3"/>
      <c r="X479" s="3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57"/>
      <c r="D480" s="4"/>
      <c r="E480" s="4"/>
      <c r="F480" s="4"/>
      <c r="G480" s="4"/>
      <c r="H480" s="3"/>
      <c r="I480" s="4"/>
      <c r="J480" s="4"/>
      <c r="K480" s="3"/>
      <c r="L480" s="3"/>
      <c r="M480" s="4"/>
      <c r="N480" s="4"/>
      <c r="O480" s="4"/>
      <c r="P480" s="4"/>
      <c r="Q480" s="3"/>
      <c r="R480" s="4"/>
      <c r="S480" s="4"/>
      <c r="T480" s="4"/>
      <c r="U480" s="3"/>
      <c r="V480" s="4"/>
      <c r="W480" s="3"/>
      <c r="X480" s="3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57"/>
      <c r="D481" s="4"/>
      <c r="E481" s="4"/>
      <c r="F481" s="4"/>
      <c r="G481" s="4"/>
      <c r="H481" s="3"/>
      <c r="I481" s="4"/>
      <c r="J481" s="4"/>
      <c r="K481" s="3"/>
      <c r="L481" s="3"/>
      <c r="M481" s="4"/>
      <c r="N481" s="4"/>
      <c r="O481" s="4"/>
      <c r="P481" s="4"/>
      <c r="Q481" s="3"/>
      <c r="R481" s="4"/>
      <c r="S481" s="4"/>
      <c r="T481" s="4"/>
      <c r="U481" s="3"/>
      <c r="V481" s="4"/>
      <c r="W481" s="3"/>
      <c r="X481" s="3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57"/>
      <c r="D482" s="4"/>
      <c r="E482" s="4"/>
      <c r="F482" s="4"/>
      <c r="G482" s="4"/>
      <c r="H482" s="3"/>
      <c r="I482" s="4"/>
      <c r="J482" s="4"/>
      <c r="K482" s="3"/>
      <c r="L482" s="3"/>
      <c r="M482" s="4"/>
      <c r="N482" s="4"/>
      <c r="O482" s="4"/>
      <c r="P482" s="4"/>
      <c r="Q482" s="3"/>
      <c r="R482" s="4"/>
      <c r="S482" s="4"/>
      <c r="T482" s="4"/>
      <c r="U482" s="3"/>
      <c r="V482" s="4"/>
      <c r="W482" s="3"/>
      <c r="X482" s="3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57"/>
      <c r="D483" s="4"/>
      <c r="E483" s="4"/>
      <c r="F483" s="4"/>
      <c r="G483" s="4"/>
      <c r="H483" s="3"/>
      <c r="I483" s="4"/>
      <c r="J483" s="4"/>
      <c r="K483" s="3"/>
      <c r="L483" s="3"/>
      <c r="M483" s="4"/>
      <c r="N483" s="4"/>
      <c r="O483" s="4"/>
      <c r="P483" s="4"/>
      <c r="Q483" s="3"/>
      <c r="R483" s="4"/>
      <c r="S483" s="4"/>
      <c r="T483" s="4"/>
      <c r="U483" s="3"/>
      <c r="V483" s="4"/>
      <c r="W483" s="3"/>
      <c r="X483" s="3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57"/>
      <c r="D484" s="4"/>
      <c r="E484" s="4"/>
      <c r="F484" s="4"/>
      <c r="G484" s="4"/>
      <c r="H484" s="3"/>
      <c r="I484" s="4"/>
      <c r="J484" s="4"/>
      <c r="K484" s="3"/>
      <c r="L484" s="3"/>
      <c r="M484" s="4"/>
      <c r="N484" s="4"/>
      <c r="O484" s="4"/>
      <c r="P484" s="4"/>
      <c r="Q484" s="3"/>
      <c r="R484" s="4"/>
      <c r="S484" s="4"/>
      <c r="T484" s="4"/>
      <c r="U484" s="3"/>
      <c r="V484" s="4"/>
      <c r="W484" s="3"/>
      <c r="X484" s="3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57"/>
      <c r="D485" s="4"/>
      <c r="E485" s="4"/>
      <c r="F485" s="4"/>
      <c r="G485" s="4"/>
      <c r="H485" s="3"/>
      <c r="I485" s="4"/>
      <c r="J485" s="4"/>
      <c r="K485" s="3"/>
      <c r="L485" s="3"/>
      <c r="M485" s="4"/>
      <c r="N485" s="4"/>
      <c r="O485" s="4"/>
      <c r="P485" s="4"/>
      <c r="Q485" s="3"/>
      <c r="R485" s="4"/>
      <c r="S485" s="4"/>
      <c r="T485" s="4"/>
      <c r="U485" s="3"/>
      <c r="V485" s="4"/>
      <c r="W485" s="3"/>
      <c r="X485" s="3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57"/>
      <c r="D486" s="4"/>
      <c r="E486" s="4"/>
      <c r="F486" s="4"/>
      <c r="G486" s="4"/>
      <c r="H486" s="3"/>
      <c r="I486" s="4"/>
      <c r="J486" s="4"/>
      <c r="K486" s="3"/>
      <c r="L486" s="3"/>
      <c r="M486" s="4"/>
      <c r="N486" s="4"/>
      <c r="O486" s="4"/>
      <c r="P486" s="4"/>
      <c r="Q486" s="3"/>
      <c r="R486" s="4"/>
      <c r="S486" s="4"/>
      <c r="T486" s="4"/>
      <c r="U486" s="3"/>
      <c r="V486" s="4"/>
      <c r="W486" s="3"/>
      <c r="X486" s="3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57"/>
      <c r="D487" s="4"/>
      <c r="E487" s="4"/>
      <c r="F487" s="4"/>
      <c r="G487" s="4"/>
      <c r="H487" s="3"/>
      <c r="I487" s="4"/>
      <c r="J487" s="4"/>
      <c r="K487" s="3"/>
      <c r="L487" s="3"/>
      <c r="M487" s="4"/>
      <c r="N487" s="4"/>
      <c r="O487" s="4"/>
      <c r="P487" s="4"/>
      <c r="Q487" s="3"/>
      <c r="R487" s="4"/>
      <c r="S487" s="4"/>
      <c r="T487" s="4"/>
      <c r="U487" s="3"/>
      <c r="V487" s="4"/>
      <c r="W487" s="3"/>
      <c r="X487" s="3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57"/>
      <c r="D488" s="4"/>
      <c r="E488" s="4"/>
      <c r="F488" s="4"/>
      <c r="G488" s="4"/>
      <c r="H488" s="3"/>
      <c r="I488" s="4"/>
      <c r="J488" s="4"/>
      <c r="K488" s="3"/>
      <c r="L488" s="3"/>
      <c r="M488" s="4"/>
      <c r="N488" s="4"/>
      <c r="O488" s="4"/>
      <c r="P488" s="4"/>
      <c r="Q488" s="3"/>
      <c r="R488" s="4"/>
      <c r="S488" s="4"/>
      <c r="T488" s="4"/>
      <c r="U488" s="3"/>
      <c r="V488" s="4"/>
      <c r="W488" s="3"/>
      <c r="X488" s="3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57"/>
      <c r="D489" s="4"/>
      <c r="E489" s="4"/>
      <c r="F489" s="4"/>
      <c r="G489" s="4"/>
      <c r="H489" s="3"/>
      <c r="I489" s="4"/>
      <c r="J489" s="4"/>
      <c r="K489" s="3"/>
      <c r="L489" s="3"/>
      <c r="M489" s="4"/>
      <c r="N489" s="4"/>
      <c r="O489" s="4"/>
      <c r="P489" s="4"/>
      <c r="Q489" s="3"/>
      <c r="R489" s="4"/>
      <c r="S489" s="4"/>
      <c r="T489" s="4"/>
      <c r="U489" s="3"/>
      <c r="V489" s="4"/>
      <c r="W489" s="3"/>
      <c r="X489" s="3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57"/>
      <c r="D490" s="4"/>
      <c r="E490" s="4"/>
      <c r="F490" s="4"/>
      <c r="G490" s="4"/>
      <c r="H490" s="3"/>
      <c r="I490" s="4"/>
      <c r="J490" s="4"/>
      <c r="K490" s="3"/>
      <c r="L490" s="3"/>
      <c r="M490" s="4"/>
      <c r="N490" s="4"/>
      <c r="O490" s="4"/>
      <c r="P490" s="4"/>
      <c r="Q490" s="3"/>
      <c r="R490" s="4"/>
      <c r="S490" s="4"/>
      <c r="T490" s="4"/>
      <c r="U490" s="3"/>
      <c r="V490" s="4"/>
      <c r="W490" s="3"/>
      <c r="X490" s="3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57"/>
      <c r="D491" s="4"/>
      <c r="E491" s="4"/>
      <c r="F491" s="4"/>
      <c r="G491" s="4"/>
      <c r="H491" s="3"/>
      <c r="I491" s="4"/>
      <c r="J491" s="4"/>
      <c r="K491" s="3"/>
      <c r="L491" s="3"/>
      <c r="M491" s="4"/>
      <c r="N491" s="4"/>
      <c r="O491" s="4"/>
      <c r="P491" s="4"/>
      <c r="Q491" s="3"/>
      <c r="R491" s="4"/>
      <c r="S491" s="4"/>
      <c r="T491" s="4"/>
      <c r="U491" s="3"/>
      <c r="V491" s="4"/>
      <c r="W491" s="3"/>
      <c r="X491" s="3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57"/>
      <c r="D492" s="4"/>
      <c r="E492" s="4"/>
      <c r="F492" s="4"/>
      <c r="G492" s="4"/>
      <c r="H492" s="3"/>
      <c r="I492" s="4"/>
      <c r="J492" s="4"/>
      <c r="K492" s="3"/>
      <c r="L492" s="3"/>
      <c r="M492" s="4"/>
      <c r="N492" s="4"/>
      <c r="O492" s="4"/>
      <c r="P492" s="4"/>
      <c r="Q492" s="3"/>
      <c r="R492" s="4"/>
      <c r="S492" s="4"/>
      <c r="T492" s="4"/>
      <c r="U492" s="3"/>
      <c r="V492" s="4"/>
      <c r="W492" s="3"/>
      <c r="X492" s="3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57"/>
      <c r="D493" s="4"/>
      <c r="E493" s="4"/>
      <c r="F493" s="4"/>
      <c r="G493" s="4"/>
      <c r="H493" s="3"/>
      <c r="I493" s="4"/>
      <c r="J493" s="4"/>
      <c r="K493" s="3"/>
      <c r="L493" s="3"/>
      <c r="M493" s="4"/>
      <c r="N493" s="4"/>
      <c r="O493" s="4"/>
      <c r="P493" s="4"/>
      <c r="Q493" s="3"/>
      <c r="R493" s="4"/>
      <c r="S493" s="4"/>
      <c r="T493" s="4"/>
      <c r="U493" s="3"/>
      <c r="V493" s="4"/>
      <c r="W493" s="3"/>
      <c r="X493" s="3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57"/>
      <c r="D494" s="4"/>
      <c r="E494" s="4"/>
      <c r="F494" s="4"/>
      <c r="G494" s="4"/>
      <c r="H494" s="3"/>
      <c r="I494" s="4"/>
      <c r="J494" s="4"/>
      <c r="K494" s="3"/>
      <c r="L494" s="3"/>
      <c r="M494" s="4"/>
      <c r="N494" s="4"/>
      <c r="O494" s="4"/>
      <c r="P494" s="4"/>
      <c r="Q494" s="3"/>
      <c r="R494" s="4"/>
      <c r="S494" s="4"/>
      <c r="T494" s="4"/>
      <c r="U494" s="3"/>
      <c r="V494" s="4"/>
      <c r="W494" s="3"/>
      <c r="X494" s="3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57"/>
      <c r="D495" s="4"/>
      <c r="E495" s="4"/>
      <c r="F495" s="4"/>
      <c r="G495" s="4"/>
      <c r="H495" s="3"/>
      <c r="I495" s="4"/>
      <c r="J495" s="4"/>
      <c r="K495" s="3"/>
      <c r="L495" s="3"/>
      <c r="M495" s="4"/>
      <c r="N495" s="4"/>
      <c r="O495" s="4"/>
      <c r="P495" s="4"/>
      <c r="Q495" s="3"/>
      <c r="R495" s="4"/>
      <c r="S495" s="4"/>
      <c r="T495" s="4"/>
      <c r="U495" s="3"/>
      <c r="V495" s="4"/>
      <c r="W495" s="3"/>
      <c r="X495" s="3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57"/>
      <c r="D496" s="4"/>
      <c r="E496" s="4"/>
      <c r="F496" s="4"/>
      <c r="G496" s="4"/>
      <c r="H496" s="3"/>
      <c r="I496" s="4"/>
      <c r="J496" s="4"/>
      <c r="K496" s="3"/>
      <c r="L496" s="3"/>
      <c r="M496" s="4"/>
      <c r="N496" s="4"/>
      <c r="O496" s="4"/>
      <c r="P496" s="4"/>
      <c r="Q496" s="3"/>
      <c r="R496" s="4"/>
      <c r="S496" s="4"/>
      <c r="T496" s="4"/>
      <c r="U496" s="3"/>
      <c r="V496" s="4"/>
      <c r="W496" s="3"/>
      <c r="X496" s="3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57"/>
      <c r="D497" s="4"/>
      <c r="E497" s="4"/>
      <c r="F497" s="4"/>
      <c r="G497" s="4"/>
      <c r="H497" s="3"/>
      <c r="I497" s="4"/>
      <c r="J497" s="4"/>
      <c r="K497" s="3"/>
      <c r="L497" s="3"/>
      <c r="M497" s="4"/>
      <c r="N497" s="4"/>
      <c r="O497" s="4"/>
      <c r="P497" s="4"/>
      <c r="Q497" s="3"/>
      <c r="R497" s="4"/>
      <c r="S497" s="4"/>
      <c r="T497" s="4"/>
      <c r="U497" s="3"/>
      <c r="V497" s="4"/>
      <c r="W497" s="3"/>
      <c r="X497" s="3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57"/>
      <c r="D498" s="4"/>
      <c r="E498" s="4"/>
      <c r="F498" s="4"/>
      <c r="G498" s="4"/>
      <c r="H498" s="3"/>
      <c r="I498" s="4"/>
      <c r="J498" s="4"/>
      <c r="K498" s="3"/>
      <c r="L498" s="3"/>
      <c r="M498" s="4"/>
      <c r="N498" s="4"/>
      <c r="O498" s="4"/>
      <c r="P498" s="4"/>
      <c r="Q498" s="3"/>
      <c r="R498" s="4"/>
      <c r="S498" s="4"/>
      <c r="T498" s="4"/>
      <c r="U498" s="3"/>
      <c r="V498" s="4"/>
      <c r="W498" s="3"/>
      <c r="X498" s="3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57"/>
      <c r="D499" s="4"/>
      <c r="E499" s="4"/>
      <c r="F499" s="4"/>
      <c r="G499" s="4"/>
      <c r="H499" s="3"/>
      <c r="I499" s="4"/>
      <c r="J499" s="4"/>
      <c r="K499" s="3"/>
      <c r="L499" s="3"/>
      <c r="M499" s="4"/>
      <c r="N499" s="4"/>
      <c r="O499" s="4"/>
      <c r="P499" s="4"/>
      <c r="Q499" s="3"/>
      <c r="R499" s="4"/>
      <c r="S499" s="4"/>
      <c r="T499" s="4"/>
      <c r="U499" s="3"/>
      <c r="V499" s="4"/>
      <c r="W499" s="3"/>
      <c r="X499" s="3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57"/>
      <c r="D500" s="4"/>
      <c r="E500" s="4"/>
      <c r="F500" s="4"/>
      <c r="G500" s="4"/>
      <c r="H500" s="3"/>
      <c r="I500" s="4"/>
      <c r="J500" s="4"/>
      <c r="K500" s="3"/>
      <c r="L500" s="3"/>
      <c r="M500" s="4"/>
      <c r="N500" s="4"/>
      <c r="O500" s="4"/>
      <c r="P500" s="4"/>
      <c r="Q500" s="3"/>
      <c r="R500" s="4"/>
      <c r="S500" s="4"/>
      <c r="T500" s="4"/>
      <c r="U500" s="3"/>
      <c r="V500" s="4"/>
      <c r="W500" s="3"/>
      <c r="X500" s="3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57"/>
      <c r="D501" s="4"/>
      <c r="E501" s="4"/>
      <c r="F501" s="4"/>
      <c r="G501" s="4"/>
      <c r="H501" s="3"/>
      <c r="I501" s="4"/>
      <c r="J501" s="4"/>
      <c r="K501" s="3"/>
      <c r="L501" s="3"/>
      <c r="M501" s="4"/>
      <c r="N501" s="4"/>
      <c r="O501" s="4"/>
      <c r="P501" s="4"/>
      <c r="Q501" s="3"/>
      <c r="R501" s="4"/>
      <c r="S501" s="4"/>
      <c r="T501" s="4"/>
      <c r="U501" s="3"/>
      <c r="V501" s="4"/>
      <c r="W501" s="3"/>
      <c r="X501" s="3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57"/>
      <c r="D502" s="4"/>
      <c r="E502" s="4"/>
      <c r="F502" s="4"/>
      <c r="G502" s="4"/>
      <c r="H502" s="3"/>
      <c r="I502" s="4"/>
      <c r="J502" s="4"/>
      <c r="K502" s="3"/>
      <c r="L502" s="3"/>
      <c r="M502" s="4"/>
      <c r="N502" s="4"/>
      <c r="O502" s="4"/>
      <c r="P502" s="4"/>
      <c r="Q502" s="3"/>
      <c r="R502" s="4"/>
      <c r="S502" s="4"/>
      <c r="T502" s="4"/>
      <c r="U502" s="3"/>
      <c r="V502" s="4"/>
      <c r="W502" s="3"/>
      <c r="X502" s="3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57"/>
      <c r="D503" s="4"/>
      <c r="E503" s="4"/>
      <c r="F503" s="4"/>
      <c r="G503" s="4"/>
      <c r="H503" s="3"/>
      <c r="I503" s="4"/>
      <c r="J503" s="4"/>
      <c r="K503" s="3"/>
      <c r="L503" s="3"/>
      <c r="M503" s="4"/>
      <c r="N503" s="4"/>
      <c r="O503" s="4"/>
      <c r="P503" s="4"/>
      <c r="Q503" s="3"/>
      <c r="R503" s="4"/>
      <c r="S503" s="4"/>
      <c r="T503" s="4"/>
      <c r="U503" s="3"/>
      <c r="V503" s="4"/>
      <c r="W503" s="3"/>
      <c r="X503" s="3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57"/>
      <c r="D504" s="4"/>
      <c r="E504" s="4"/>
      <c r="F504" s="4"/>
      <c r="G504" s="4"/>
      <c r="H504" s="3"/>
      <c r="I504" s="4"/>
      <c r="J504" s="4"/>
      <c r="K504" s="3"/>
      <c r="L504" s="3"/>
      <c r="M504" s="4"/>
      <c r="N504" s="4"/>
      <c r="O504" s="4"/>
      <c r="P504" s="4"/>
      <c r="Q504" s="3"/>
      <c r="R504" s="4"/>
      <c r="S504" s="4"/>
      <c r="T504" s="4"/>
      <c r="U504" s="3"/>
      <c r="V504" s="4"/>
      <c r="W504" s="3"/>
      <c r="X504" s="3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57"/>
      <c r="D505" s="4"/>
      <c r="E505" s="4"/>
      <c r="F505" s="4"/>
      <c r="G505" s="4"/>
      <c r="H505" s="3"/>
      <c r="I505" s="4"/>
      <c r="J505" s="4"/>
      <c r="K505" s="3"/>
      <c r="L505" s="3"/>
      <c r="M505" s="4"/>
      <c r="N505" s="4"/>
      <c r="O505" s="4"/>
      <c r="P505" s="4"/>
      <c r="Q505" s="3"/>
      <c r="R505" s="4"/>
      <c r="S505" s="4"/>
      <c r="T505" s="4"/>
      <c r="U505" s="3"/>
      <c r="V505" s="4"/>
      <c r="W505" s="3"/>
      <c r="X505" s="3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57"/>
      <c r="D506" s="4"/>
      <c r="E506" s="4"/>
      <c r="F506" s="4"/>
      <c r="G506" s="4"/>
      <c r="H506" s="3"/>
      <c r="I506" s="4"/>
      <c r="J506" s="4"/>
      <c r="K506" s="3"/>
      <c r="L506" s="3"/>
      <c r="M506" s="4"/>
      <c r="N506" s="4"/>
      <c r="O506" s="4"/>
      <c r="P506" s="4"/>
      <c r="Q506" s="3"/>
      <c r="R506" s="4"/>
      <c r="S506" s="4"/>
      <c r="T506" s="4"/>
      <c r="U506" s="3"/>
      <c r="V506" s="4"/>
      <c r="W506" s="3"/>
      <c r="X506" s="3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57"/>
      <c r="D507" s="4"/>
      <c r="E507" s="4"/>
      <c r="F507" s="4"/>
      <c r="G507" s="4"/>
      <c r="H507" s="3"/>
      <c r="I507" s="4"/>
      <c r="J507" s="4"/>
      <c r="K507" s="3"/>
      <c r="L507" s="3"/>
      <c r="M507" s="4"/>
      <c r="N507" s="4"/>
      <c r="O507" s="4"/>
      <c r="P507" s="4"/>
      <c r="Q507" s="3"/>
      <c r="R507" s="4"/>
      <c r="S507" s="4"/>
      <c r="T507" s="4"/>
      <c r="U507" s="3"/>
      <c r="V507" s="4"/>
      <c r="W507" s="3"/>
      <c r="X507" s="3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57"/>
      <c r="D508" s="4"/>
      <c r="E508" s="4"/>
      <c r="F508" s="4"/>
      <c r="G508" s="4"/>
      <c r="H508" s="3"/>
      <c r="I508" s="4"/>
      <c r="J508" s="4"/>
      <c r="K508" s="3"/>
      <c r="L508" s="3"/>
      <c r="M508" s="4"/>
      <c r="N508" s="4"/>
      <c r="O508" s="4"/>
      <c r="P508" s="4"/>
      <c r="Q508" s="3"/>
      <c r="R508" s="4"/>
      <c r="S508" s="4"/>
      <c r="T508" s="4"/>
      <c r="U508" s="3"/>
      <c r="V508" s="4"/>
      <c r="W508" s="3"/>
      <c r="X508" s="3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57"/>
      <c r="D509" s="4"/>
      <c r="E509" s="4"/>
      <c r="F509" s="4"/>
      <c r="G509" s="4"/>
      <c r="H509" s="3"/>
      <c r="I509" s="4"/>
      <c r="J509" s="4"/>
      <c r="K509" s="3"/>
      <c r="L509" s="3"/>
      <c r="M509" s="4"/>
      <c r="N509" s="4"/>
      <c r="O509" s="4"/>
      <c r="P509" s="4"/>
      <c r="Q509" s="3"/>
      <c r="R509" s="4"/>
      <c r="S509" s="4"/>
      <c r="T509" s="4"/>
      <c r="U509" s="3"/>
      <c r="V509" s="4"/>
      <c r="W509" s="3"/>
      <c r="X509" s="3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57"/>
      <c r="D510" s="4"/>
      <c r="E510" s="4"/>
      <c r="F510" s="4"/>
      <c r="G510" s="4"/>
      <c r="H510" s="3"/>
      <c r="I510" s="4"/>
      <c r="J510" s="4"/>
      <c r="K510" s="3"/>
      <c r="L510" s="3"/>
      <c r="M510" s="4"/>
      <c r="N510" s="4"/>
      <c r="O510" s="4"/>
      <c r="P510" s="4"/>
      <c r="Q510" s="3"/>
      <c r="R510" s="4"/>
      <c r="S510" s="4"/>
      <c r="T510" s="4"/>
      <c r="U510" s="3"/>
      <c r="V510" s="4"/>
      <c r="W510" s="3"/>
      <c r="X510" s="3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57"/>
      <c r="D511" s="4"/>
      <c r="E511" s="4"/>
      <c r="F511" s="4"/>
      <c r="G511" s="4"/>
      <c r="H511" s="3"/>
      <c r="I511" s="4"/>
      <c r="J511" s="4"/>
      <c r="K511" s="3"/>
      <c r="L511" s="3"/>
      <c r="M511" s="4"/>
      <c r="N511" s="4"/>
      <c r="O511" s="4"/>
      <c r="P511" s="4"/>
      <c r="Q511" s="3"/>
      <c r="R511" s="4"/>
      <c r="S511" s="4"/>
      <c r="T511" s="4"/>
      <c r="U511" s="3"/>
      <c r="V511" s="4"/>
      <c r="W511" s="3"/>
      <c r="X511" s="3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57"/>
      <c r="D512" s="4"/>
      <c r="E512" s="4"/>
      <c r="F512" s="4"/>
      <c r="G512" s="4"/>
      <c r="H512" s="3"/>
      <c r="I512" s="4"/>
      <c r="J512" s="4"/>
      <c r="K512" s="3"/>
      <c r="L512" s="3"/>
      <c r="M512" s="4"/>
      <c r="N512" s="4"/>
      <c r="O512" s="4"/>
      <c r="P512" s="4"/>
      <c r="Q512" s="3"/>
      <c r="R512" s="4"/>
      <c r="S512" s="4"/>
      <c r="T512" s="4"/>
      <c r="U512" s="3"/>
      <c r="V512" s="4"/>
      <c r="W512" s="3"/>
      <c r="X512" s="3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57"/>
      <c r="D513" s="4"/>
      <c r="E513" s="4"/>
      <c r="F513" s="4"/>
      <c r="G513" s="4"/>
      <c r="H513" s="3"/>
      <c r="I513" s="4"/>
      <c r="J513" s="4"/>
      <c r="K513" s="3"/>
      <c r="L513" s="3"/>
      <c r="M513" s="4"/>
      <c r="N513" s="4"/>
      <c r="O513" s="4"/>
      <c r="P513" s="4"/>
      <c r="Q513" s="3"/>
      <c r="R513" s="4"/>
      <c r="S513" s="4"/>
      <c r="T513" s="4"/>
      <c r="U513" s="3"/>
      <c r="V513" s="4"/>
      <c r="W513" s="3"/>
      <c r="X513" s="3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57"/>
      <c r="D514" s="4"/>
      <c r="E514" s="4"/>
      <c r="F514" s="4"/>
      <c r="G514" s="4"/>
      <c r="H514" s="3"/>
      <c r="I514" s="4"/>
      <c r="J514" s="4"/>
      <c r="K514" s="3"/>
      <c r="L514" s="3"/>
      <c r="M514" s="4"/>
      <c r="N514" s="4"/>
      <c r="O514" s="4"/>
      <c r="P514" s="4"/>
      <c r="Q514" s="3"/>
      <c r="R514" s="4"/>
      <c r="S514" s="4"/>
      <c r="T514" s="4"/>
      <c r="U514" s="3"/>
      <c r="V514" s="4"/>
      <c r="W514" s="3"/>
      <c r="X514" s="3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57"/>
      <c r="D515" s="4"/>
      <c r="E515" s="4"/>
      <c r="F515" s="4"/>
      <c r="G515" s="4"/>
      <c r="H515" s="3"/>
      <c r="I515" s="4"/>
      <c r="J515" s="4"/>
      <c r="K515" s="3"/>
      <c r="L515" s="3"/>
      <c r="M515" s="4"/>
      <c r="N515" s="4"/>
      <c r="O515" s="4"/>
      <c r="P515" s="4"/>
      <c r="Q515" s="3"/>
      <c r="R515" s="4"/>
      <c r="S515" s="4"/>
      <c r="T515" s="4"/>
      <c r="U515" s="3"/>
      <c r="V515" s="4"/>
      <c r="W515" s="3"/>
      <c r="X515" s="3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57"/>
      <c r="D516" s="4"/>
      <c r="E516" s="4"/>
      <c r="F516" s="4"/>
      <c r="G516" s="4"/>
      <c r="H516" s="3"/>
      <c r="I516" s="4"/>
      <c r="J516" s="4"/>
      <c r="K516" s="3"/>
      <c r="L516" s="3"/>
      <c r="M516" s="4"/>
      <c r="N516" s="4"/>
      <c r="O516" s="4"/>
      <c r="P516" s="4"/>
      <c r="Q516" s="3"/>
      <c r="R516" s="4"/>
      <c r="S516" s="4"/>
      <c r="T516" s="4"/>
      <c r="U516" s="3"/>
      <c r="V516" s="4"/>
      <c r="W516" s="3"/>
      <c r="X516" s="3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57"/>
      <c r="D517" s="4"/>
      <c r="E517" s="4"/>
      <c r="F517" s="4"/>
      <c r="G517" s="4"/>
      <c r="H517" s="3"/>
      <c r="I517" s="4"/>
      <c r="J517" s="4"/>
      <c r="K517" s="3"/>
      <c r="L517" s="3"/>
      <c r="M517" s="4"/>
      <c r="N517" s="4"/>
      <c r="O517" s="4"/>
      <c r="P517" s="4"/>
      <c r="Q517" s="3"/>
      <c r="R517" s="4"/>
      <c r="S517" s="4"/>
      <c r="T517" s="4"/>
      <c r="U517" s="3"/>
      <c r="V517" s="4"/>
      <c r="W517" s="3"/>
      <c r="X517" s="3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57"/>
      <c r="D518" s="4"/>
      <c r="E518" s="4"/>
      <c r="F518" s="4"/>
      <c r="G518" s="4"/>
      <c r="H518" s="3"/>
      <c r="I518" s="4"/>
      <c r="J518" s="4"/>
      <c r="K518" s="3"/>
      <c r="L518" s="3"/>
      <c r="M518" s="4"/>
      <c r="N518" s="4"/>
      <c r="O518" s="4"/>
      <c r="P518" s="4"/>
      <c r="Q518" s="3"/>
      <c r="R518" s="4"/>
      <c r="S518" s="4"/>
      <c r="T518" s="4"/>
      <c r="U518" s="3"/>
      <c r="V518" s="4"/>
      <c r="W518" s="3"/>
      <c r="X518" s="3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57"/>
      <c r="D519" s="4"/>
      <c r="E519" s="4"/>
      <c r="F519" s="4"/>
      <c r="G519" s="4"/>
      <c r="H519" s="3"/>
      <c r="I519" s="4"/>
      <c r="J519" s="4"/>
      <c r="K519" s="3"/>
      <c r="L519" s="3"/>
      <c r="M519" s="4"/>
      <c r="N519" s="4"/>
      <c r="O519" s="4"/>
      <c r="P519" s="4"/>
      <c r="Q519" s="3"/>
      <c r="R519" s="4"/>
      <c r="S519" s="4"/>
      <c r="T519" s="4"/>
      <c r="U519" s="3"/>
      <c r="V519" s="4"/>
      <c r="W519" s="3"/>
      <c r="X519" s="3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57"/>
      <c r="D520" s="4"/>
      <c r="E520" s="4"/>
      <c r="F520" s="4"/>
      <c r="G520" s="4"/>
      <c r="H520" s="3"/>
      <c r="I520" s="4"/>
      <c r="J520" s="4"/>
      <c r="K520" s="3"/>
      <c r="L520" s="3"/>
      <c r="M520" s="4"/>
      <c r="N520" s="4"/>
      <c r="O520" s="4"/>
      <c r="P520" s="4"/>
      <c r="Q520" s="3"/>
      <c r="R520" s="4"/>
      <c r="S520" s="4"/>
      <c r="T520" s="4"/>
      <c r="U520" s="3"/>
      <c r="V520" s="4"/>
      <c r="W520" s="3"/>
      <c r="X520" s="3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57"/>
      <c r="D521" s="4"/>
      <c r="E521" s="4"/>
      <c r="F521" s="4"/>
      <c r="G521" s="4"/>
      <c r="H521" s="3"/>
      <c r="I521" s="4"/>
      <c r="J521" s="4"/>
      <c r="K521" s="3"/>
      <c r="L521" s="3"/>
      <c r="M521" s="4"/>
      <c r="N521" s="4"/>
      <c r="O521" s="4"/>
      <c r="P521" s="4"/>
      <c r="Q521" s="3"/>
      <c r="R521" s="4"/>
      <c r="S521" s="4"/>
      <c r="T521" s="4"/>
      <c r="U521" s="3"/>
      <c r="V521" s="4"/>
      <c r="W521" s="3"/>
      <c r="X521" s="3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57"/>
      <c r="D522" s="4"/>
      <c r="E522" s="4"/>
      <c r="F522" s="4"/>
      <c r="G522" s="4"/>
      <c r="H522" s="3"/>
      <c r="I522" s="4"/>
      <c r="J522" s="4"/>
      <c r="K522" s="3"/>
      <c r="L522" s="3"/>
      <c r="M522" s="4"/>
      <c r="N522" s="4"/>
      <c r="O522" s="4"/>
      <c r="P522" s="4"/>
      <c r="Q522" s="3"/>
      <c r="R522" s="4"/>
      <c r="S522" s="4"/>
      <c r="T522" s="4"/>
      <c r="U522" s="3"/>
      <c r="V522" s="4"/>
      <c r="W522" s="3"/>
      <c r="X522" s="3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57"/>
      <c r="D523" s="4"/>
      <c r="E523" s="4"/>
      <c r="F523" s="4"/>
      <c r="G523" s="4"/>
      <c r="H523" s="3"/>
      <c r="I523" s="4"/>
      <c r="J523" s="4"/>
      <c r="K523" s="3"/>
      <c r="L523" s="3"/>
      <c r="M523" s="4"/>
      <c r="N523" s="4"/>
      <c r="O523" s="4"/>
      <c r="P523" s="4"/>
      <c r="Q523" s="3"/>
      <c r="R523" s="4"/>
      <c r="S523" s="4"/>
      <c r="T523" s="4"/>
      <c r="U523" s="3"/>
      <c r="V523" s="4"/>
      <c r="W523" s="3"/>
      <c r="X523" s="3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57"/>
      <c r="D524" s="4"/>
      <c r="E524" s="4"/>
      <c r="F524" s="4"/>
      <c r="G524" s="4"/>
      <c r="H524" s="3"/>
      <c r="I524" s="4"/>
      <c r="J524" s="4"/>
      <c r="K524" s="3"/>
      <c r="L524" s="3"/>
      <c r="M524" s="4"/>
      <c r="N524" s="4"/>
      <c r="O524" s="4"/>
      <c r="P524" s="4"/>
      <c r="Q524" s="3"/>
      <c r="R524" s="4"/>
      <c r="S524" s="4"/>
      <c r="T524" s="4"/>
      <c r="U524" s="3"/>
      <c r="V524" s="4"/>
      <c r="W524" s="3"/>
      <c r="X524" s="3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57"/>
      <c r="D525" s="4"/>
      <c r="E525" s="4"/>
      <c r="F525" s="4"/>
      <c r="G525" s="4"/>
      <c r="H525" s="3"/>
      <c r="I525" s="4"/>
      <c r="J525" s="4"/>
      <c r="K525" s="3"/>
      <c r="L525" s="3"/>
      <c r="M525" s="4"/>
      <c r="N525" s="4"/>
      <c r="O525" s="4"/>
      <c r="P525" s="4"/>
      <c r="Q525" s="3"/>
      <c r="R525" s="4"/>
      <c r="S525" s="4"/>
      <c r="T525" s="4"/>
      <c r="U525" s="3"/>
      <c r="V525" s="4"/>
      <c r="W525" s="3"/>
      <c r="X525" s="3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57"/>
      <c r="D526" s="4"/>
      <c r="E526" s="4"/>
      <c r="F526" s="4"/>
      <c r="G526" s="4"/>
      <c r="H526" s="3"/>
      <c r="I526" s="4"/>
      <c r="J526" s="4"/>
      <c r="K526" s="3"/>
      <c r="L526" s="3"/>
      <c r="M526" s="4"/>
      <c r="N526" s="4"/>
      <c r="O526" s="4"/>
      <c r="P526" s="4"/>
      <c r="Q526" s="3"/>
      <c r="R526" s="4"/>
      <c r="S526" s="4"/>
      <c r="T526" s="4"/>
      <c r="U526" s="3"/>
      <c r="V526" s="4"/>
      <c r="W526" s="3"/>
      <c r="X526" s="3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57"/>
      <c r="D527" s="4"/>
      <c r="E527" s="4"/>
      <c r="F527" s="4"/>
      <c r="G527" s="4"/>
      <c r="H527" s="3"/>
      <c r="I527" s="4"/>
      <c r="J527" s="4"/>
      <c r="K527" s="3"/>
      <c r="L527" s="3"/>
      <c r="M527" s="4"/>
      <c r="N527" s="4"/>
      <c r="O527" s="4"/>
      <c r="P527" s="4"/>
      <c r="Q527" s="3"/>
      <c r="R527" s="4"/>
      <c r="S527" s="4"/>
      <c r="T527" s="4"/>
      <c r="U527" s="3"/>
      <c r="V527" s="4"/>
      <c r="W527" s="3"/>
      <c r="X527" s="3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57"/>
      <c r="D528" s="4"/>
      <c r="E528" s="4"/>
      <c r="F528" s="4"/>
      <c r="G528" s="4"/>
      <c r="H528" s="3"/>
      <c r="I528" s="4"/>
      <c r="J528" s="4"/>
      <c r="K528" s="3"/>
      <c r="L528" s="3"/>
      <c r="M528" s="4"/>
      <c r="N528" s="4"/>
      <c r="O528" s="4"/>
      <c r="P528" s="4"/>
      <c r="Q528" s="3"/>
      <c r="R528" s="4"/>
      <c r="S528" s="4"/>
      <c r="T528" s="4"/>
      <c r="U528" s="3"/>
      <c r="V528" s="4"/>
      <c r="W528" s="3"/>
      <c r="X528" s="3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57"/>
      <c r="D529" s="4"/>
      <c r="E529" s="4"/>
      <c r="F529" s="4"/>
      <c r="G529" s="4"/>
      <c r="H529" s="3"/>
      <c r="I529" s="4"/>
      <c r="J529" s="4"/>
      <c r="K529" s="3"/>
      <c r="L529" s="3"/>
      <c r="M529" s="4"/>
      <c r="N529" s="4"/>
      <c r="O529" s="4"/>
      <c r="P529" s="4"/>
      <c r="Q529" s="3"/>
      <c r="R529" s="4"/>
      <c r="S529" s="4"/>
      <c r="T529" s="4"/>
      <c r="U529" s="3"/>
      <c r="V529" s="4"/>
      <c r="W529" s="3"/>
      <c r="X529" s="3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57"/>
      <c r="D530" s="4"/>
      <c r="E530" s="4"/>
      <c r="F530" s="4"/>
      <c r="G530" s="4"/>
      <c r="H530" s="3"/>
      <c r="I530" s="4"/>
      <c r="J530" s="4"/>
      <c r="K530" s="3"/>
      <c r="L530" s="3"/>
      <c r="M530" s="4"/>
      <c r="N530" s="4"/>
      <c r="O530" s="4"/>
      <c r="P530" s="4"/>
      <c r="Q530" s="3"/>
      <c r="R530" s="4"/>
      <c r="S530" s="4"/>
      <c r="T530" s="4"/>
      <c r="U530" s="3"/>
      <c r="V530" s="4"/>
      <c r="W530" s="3"/>
      <c r="X530" s="3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57"/>
      <c r="D531" s="4"/>
      <c r="E531" s="4"/>
      <c r="F531" s="4"/>
      <c r="G531" s="4"/>
      <c r="H531" s="3"/>
      <c r="I531" s="4"/>
      <c r="J531" s="4"/>
      <c r="K531" s="3"/>
      <c r="L531" s="3"/>
      <c r="M531" s="4"/>
      <c r="N531" s="4"/>
      <c r="O531" s="4"/>
      <c r="P531" s="4"/>
      <c r="Q531" s="3"/>
      <c r="R531" s="4"/>
      <c r="S531" s="4"/>
      <c r="T531" s="4"/>
      <c r="U531" s="3"/>
      <c r="V531" s="4"/>
      <c r="W531" s="3"/>
      <c r="X531" s="3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57"/>
      <c r="D532" s="4"/>
      <c r="E532" s="4"/>
      <c r="F532" s="4"/>
      <c r="G532" s="4"/>
      <c r="H532" s="3"/>
      <c r="I532" s="4"/>
      <c r="J532" s="4"/>
      <c r="K532" s="3"/>
      <c r="L532" s="3"/>
      <c r="M532" s="4"/>
      <c r="N532" s="4"/>
      <c r="O532" s="4"/>
      <c r="P532" s="4"/>
      <c r="Q532" s="3"/>
      <c r="R532" s="4"/>
      <c r="S532" s="4"/>
      <c r="T532" s="4"/>
      <c r="U532" s="3"/>
      <c r="V532" s="4"/>
      <c r="W532" s="3"/>
      <c r="X532" s="3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57"/>
      <c r="D533" s="4"/>
      <c r="E533" s="4"/>
      <c r="F533" s="4"/>
      <c r="G533" s="4"/>
      <c r="H533" s="3"/>
      <c r="I533" s="4"/>
      <c r="J533" s="4"/>
      <c r="K533" s="3"/>
      <c r="L533" s="3"/>
      <c r="M533" s="4"/>
      <c r="N533" s="4"/>
      <c r="O533" s="4"/>
      <c r="P533" s="4"/>
      <c r="Q533" s="3"/>
      <c r="R533" s="4"/>
      <c r="S533" s="4"/>
      <c r="T533" s="4"/>
      <c r="U533" s="3"/>
      <c r="V533" s="4"/>
      <c r="W533" s="3"/>
      <c r="X533" s="3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57"/>
      <c r="D534" s="4"/>
      <c r="E534" s="4"/>
      <c r="F534" s="4"/>
      <c r="G534" s="4"/>
      <c r="H534" s="3"/>
      <c r="I534" s="4"/>
      <c r="J534" s="4"/>
      <c r="K534" s="3"/>
      <c r="L534" s="3"/>
      <c r="M534" s="4"/>
      <c r="N534" s="4"/>
      <c r="O534" s="4"/>
      <c r="P534" s="4"/>
      <c r="Q534" s="3"/>
      <c r="R534" s="4"/>
      <c r="S534" s="4"/>
      <c r="T534" s="4"/>
      <c r="U534" s="3"/>
      <c r="V534" s="4"/>
      <c r="W534" s="3"/>
      <c r="X534" s="3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57"/>
      <c r="D535" s="4"/>
      <c r="E535" s="4"/>
      <c r="F535" s="4"/>
      <c r="G535" s="4"/>
      <c r="H535" s="3"/>
      <c r="I535" s="4"/>
      <c r="J535" s="4"/>
      <c r="K535" s="3"/>
      <c r="L535" s="3"/>
      <c r="M535" s="4"/>
      <c r="N535" s="4"/>
      <c r="O535" s="4"/>
      <c r="P535" s="4"/>
      <c r="Q535" s="3"/>
      <c r="R535" s="4"/>
      <c r="S535" s="4"/>
      <c r="T535" s="4"/>
      <c r="U535" s="3"/>
      <c r="V535" s="4"/>
      <c r="W535" s="3"/>
      <c r="X535" s="3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57"/>
      <c r="D536" s="4"/>
      <c r="E536" s="4"/>
      <c r="F536" s="4"/>
      <c r="G536" s="4"/>
      <c r="H536" s="3"/>
      <c r="I536" s="4"/>
      <c r="J536" s="4"/>
      <c r="K536" s="3"/>
      <c r="L536" s="3"/>
      <c r="M536" s="4"/>
      <c r="N536" s="4"/>
      <c r="O536" s="4"/>
      <c r="P536" s="4"/>
      <c r="Q536" s="3"/>
      <c r="R536" s="4"/>
      <c r="S536" s="4"/>
      <c r="T536" s="4"/>
      <c r="U536" s="3"/>
      <c r="V536" s="4"/>
      <c r="W536" s="3"/>
      <c r="X536" s="3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57"/>
      <c r="D537" s="4"/>
      <c r="E537" s="4"/>
      <c r="F537" s="4"/>
      <c r="G537" s="4"/>
      <c r="H537" s="3"/>
      <c r="I537" s="4"/>
      <c r="J537" s="4"/>
      <c r="K537" s="3"/>
      <c r="L537" s="3"/>
      <c r="M537" s="4"/>
      <c r="N537" s="4"/>
      <c r="O537" s="4"/>
      <c r="P537" s="4"/>
      <c r="Q537" s="3"/>
      <c r="R537" s="4"/>
      <c r="S537" s="4"/>
      <c r="T537" s="4"/>
      <c r="U537" s="3"/>
      <c r="V537" s="4"/>
      <c r="W537" s="3"/>
      <c r="X537" s="3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57"/>
      <c r="D538" s="4"/>
      <c r="E538" s="4"/>
      <c r="F538" s="4"/>
      <c r="G538" s="4"/>
      <c r="H538" s="3"/>
      <c r="I538" s="4"/>
      <c r="J538" s="4"/>
      <c r="K538" s="3"/>
      <c r="L538" s="3"/>
      <c r="M538" s="4"/>
      <c r="N538" s="4"/>
      <c r="O538" s="4"/>
      <c r="P538" s="4"/>
      <c r="Q538" s="3"/>
      <c r="R538" s="4"/>
      <c r="S538" s="4"/>
      <c r="T538" s="4"/>
      <c r="U538" s="3"/>
      <c r="V538" s="4"/>
      <c r="W538" s="3"/>
      <c r="X538" s="3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57"/>
      <c r="D539" s="4"/>
      <c r="E539" s="4"/>
      <c r="F539" s="4"/>
      <c r="G539" s="4"/>
      <c r="H539" s="3"/>
      <c r="I539" s="4"/>
      <c r="J539" s="4"/>
      <c r="K539" s="3"/>
      <c r="L539" s="3"/>
      <c r="M539" s="4"/>
      <c r="N539" s="4"/>
      <c r="O539" s="4"/>
      <c r="P539" s="4"/>
      <c r="Q539" s="3"/>
      <c r="R539" s="4"/>
      <c r="S539" s="4"/>
      <c r="T539" s="4"/>
      <c r="U539" s="3"/>
      <c r="V539" s="4"/>
      <c r="W539" s="3"/>
      <c r="X539" s="3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57"/>
      <c r="D540" s="4"/>
      <c r="E540" s="4"/>
      <c r="F540" s="4"/>
      <c r="G540" s="4"/>
      <c r="H540" s="3"/>
      <c r="I540" s="4"/>
      <c r="J540" s="4"/>
      <c r="K540" s="3"/>
      <c r="L540" s="3"/>
      <c r="M540" s="4"/>
      <c r="N540" s="4"/>
      <c r="O540" s="4"/>
      <c r="P540" s="4"/>
      <c r="Q540" s="3"/>
      <c r="R540" s="4"/>
      <c r="S540" s="4"/>
      <c r="T540" s="4"/>
      <c r="U540" s="3"/>
      <c r="V540" s="4"/>
      <c r="W540" s="3"/>
      <c r="X540" s="3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57"/>
      <c r="D541" s="4"/>
      <c r="E541" s="4"/>
      <c r="F541" s="4"/>
      <c r="G541" s="4"/>
      <c r="H541" s="3"/>
      <c r="I541" s="4"/>
      <c r="J541" s="4"/>
      <c r="K541" s="3"/>
      <c r="L541" s="3"/>
      <c r="M541" s="4"/>
      <c r="N541" s="4"/>
      <c r="O541" s="4"/>
      <c r="P541" s="4"/>
      <c r="Q541" s="3"/>
      <c r="R541" s="4"/>
      <c r="S541" s="4"/>
      <c r="T541" s="4"/>
      <c r="U541" s="3"/>
      <c r="V541" s="4"/>
      <c r="W541" s="3"/>
      <c r="X541" s="3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57"/>
      <c r="D542" s="4"/>
      <c r="E542" s="4"/>
      <c r="F542" s="4"/>
      <c r="G542" s="4"/>
      <c r="H542" s="3"/>
      <c r="I542" s="4"/>
      <c r="J542" s="4"/>
      <c r="K542" s="3"/>
      <c r="L542" s="3"/>
      <c r="M542" s="4"/>
      <c r="N542" s="4"/>
      <c r="O542" s="4"/>
      <c r="P542" s="4"/>
      <c r="Q542" s="3"/>
      <c r="R542" s="4"/>
      <c r="S542" s="4"/>
      <c r="T542" s="4"/>
      <c r="U542" s="3"/>
      <c r="V542" s="4"/>
      <c r="W542" s="3"/>
      <c r="X542" s="3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57"/>
      <c r="D543" s="4"/>
      <c r="E543" s="4"/>
      <c r="F543" s="4"/>
      <c r="G543" s="4"/>
      <c r="H543" s="3"/>
      <c r="I543" s="4"/>
      <c r="J543" s="4"/>
      <c r="K543" s="3"/>
      <c r="L543" s="3"/>
      <c r="M543" s="4"/>
      <c r="N543" s="4"/>
      <c r="O543" s="4"/>
      <c r="P543" s="4"/>
      <c r="Q543" s="3"/>
      <c r="R543" s="4"/>
      <c r="S543" s="4"/>
      <c r="T543" s="4"/>
      <c r="U543" s="3"/>
      <c r="V543" s="4"/>
      <c r="W543" s="3"/>
      <c r="X543" s="3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57"/>
      <c r="D544" s="4"/>
      <c r="E544" s="4"/>
      <c r="F544" s="4"/>
      <c r="G544" s="4"/>
      <c r="H544" s="3"/>
      <c r="I544" s="4"/>
      <c r="J544" s="4"/>
      <c r="K544" s="3"/>
      <c r="L544" s="3"/>
      <c r="M544" s="4"/>
      <c r="N544" s="4"/>
      <c r="O544" s="4"/>
      <c r="P544" s="4"/>
      <c r="Q544" s="3"/>
      <c r="R544" s="4"/>
      <c r="S544" s="4"/>
      <c r="T544" s="4"/>
      <c r="U544" s="3"/>
      <c r="V544" s="4"/>
      <c r="W544" s="3"/>
      <c r="X544" s="3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57"/>
      <c r="D545" s="4"/>
      <c r="E545" s="4"/>
      <c r="F545" s="4"/>
      <c r="G545" s="4"/>
      <c r="H545" s="3"/>
      <c r="I545" s="4"/>
      <c r="J545" s="4"/>
      <c r="K545" s="3"/>
      <c r="L545" s="3"/>
      <c r="M545" s="4"/>
      <c r="N545" s="4"/>
      <c r="O545" s="4"/>
      <c r="P545" s="4"/>
      <c r="Q545" s="3"/>
      <c r="R545" s="4"/>
      <c r="S545" s="4"/>
      <c r="T545" s="4"/>
      <c r="U545" s="3"/>
      <c r="V545" s="4"/>
      <c r="W545" s="3"/>
      <c r="X545" s="3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57"/>
      <c r="D546" s="4"/>
      <c r="E546" s="4"/>
      <c r="F546" s="4"/>
      <c r="G546" s="4"/>
      <c r="H546" s="3"/>
      <c r="I546" s="4"/>
      <c r="J546" s="4"/>
      <c r="K546" s="3"/>
      <c r="L546" s="3"/>
      <c r="M546" s="4"/>
      <c r="N546" s="4"/>
      <c r="O546" s="4"/>
      <c r="P546" s="4"/>
      <c r="Q546" s="3"/>
      <c r="R546" s="4"/>
      <c r="S546" s="4"/>
      <c r="T546" s="4"/>
      <c r="U546" s="3"/>
      <c r="V546" s="4"/>
      <c r="W546" s="3"/>
      <c r="X546" s="3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57"/>
      <c r="D547" s="4"/>
      <c r="E547" s="4"/>
      <c r="F547" s="4"/>
      <c r="G547" s="4"/>
      <c r="H547" s="3"/>
      <c r="I547" s="4"/>
      <c r="J547" s="4"/>
      <c r="K547" s="3"/>
      <c r="L547" s="3"/>
      <c r="M547" s="4"/>
      <c r="N547" s="4"/>
      <c r="O547" s="4"/>
      <c r="P547" s="4"/>
      <c r="Q547" s="3"/>
      <c r="R547" s="4"/>
      <c r="S547" s="4"/>
      <c r="T547" s="4"/>
      <c r="U547" s="3"/>
      <c r="V547" s="4"/>
      <c r="W547" s="3"/>
      <c r="X547" s="3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57"/>
      <c r="D548" s="4"/>
      <c r="E548" s="4"/>
      <c r="F548" s="4"/>
      <c r="G548" s="4"/>
      <c r="H548" s="3"/>
      <c r="I548" s="4"/>
      <c r="J548" s="4"/>
      <c r="K548" s="3"/>
      <c r="L548" s="3"/>
      <c r="M548" s="4"/>
      <c r="N548" s="4"/>
      <c r="O548" s="4"/>
      <c r="P548" s="4"/>
      <c r="Q548" s="3"/>
      <c r="R548" s="4"/>
      <c r="S548" s="4"/>
      <c r="T548" s="4"/>
      <c r="U548" s="3"/>
      <c r="V548" s="4"/>
      <c r="W548" s="3"/>
      <c r="X548" s="3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57"/>
      <c r="D549" s="4"/>
      <c r="E549" s="4"/>
      <c r="F549" s="4"/>
      <c r="G549" s="4"/>
      <c r="H549" s="3"/>
      <c r="I549" s="4"/>
      <c r="J549" s="4"/>
      <c r="K549" s="3"/>
      <c r="L549" s="3"/>
      <c r="M549" s="4"/>
      <c r="N549" s="4"/>
      <c r="O549" s="4"/>
      <c r="P549" s="4"/>
      <c r="Q549" s="3"/>
      <c r="R549" s="4"/>
      <c r="S549" s="4"/>
      <c r="T549" s="4"/>
      <c r="U549" s="3"/>
      <c r="V549" s="4"/>
      <c r="W549" s="3"/>
      <c r="X549" s="3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57"/>
      <c r="D550" s="4"/>
      <c r="E550" s="4"/>
      <c r="F550" s="4"/>
      <c r="G550" s="4"/>
      <c r="H550" s="3"/>
      <c r="I550" s="4"/>
      <c r="J550" s="4"/>
      <c r="K550" s="3"/>
      <c r="L550" s="3"/>
      <c r="M550" s="4"/>
      <c r="N550" s="4"/>
      <c r="O550" s="4"/>
      <c r="P550" s="4"/>
      <c r="Q550" s="3"/>
      <c r="R550" s="4"/>
      <c r="S550" s="4"/>
      <c r="T550" s="4"/>
      <c r="U550" s="3"/>
      <c r="V550" s="4"/>
      <c r="W550" s="3"/>
      <c r="X550" s="3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57"/>
      <c r="D551" s="4"/>
      <c r="E551" s="4"/>
      <c r="F551" s="4"/>
      <c r="G551" s="4"/>
      <c r="H551" s="3"/>
      <c r="I551" s="4"/>
      <c r="J551" s="4"/>
      <c r="K551" s="3"/>
      <c r="L551" s="3"/>
      <c r="M551" s="4"/>
      <c r="N551" s="4"/>
      <c r="O551" s="4"/>
      <c r="P551" s="4"/>
      <c r="Q551" s="3"/>
      <c r="R551" s="4"/>
      <c r="S551" s="4"/>
      <c r="T551" s="4"/>
      <c r="U551" s="3"/>
      <c r="V551" s="4"/>
      <c r="W551" s="3"/>
      <c r="X551" s="3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57"/>
      <c r="D552" s="4"/>
      <c r="E552" s="4"/>
      <c r="F552" s="4"/>
      <c r="G552" s="4"/>
      <c r="H552" s="3"/>
      <c r="I552" s="4"/>
      <c r="J552" s="4"/>
      <c r="K552" s="3"/>
      <c r="L552" s="3"/>
      <c r="M552" s="4"/>
      <c r="N552" s="4"/>
      <c r="O552" s="4"/>
      <c r="P552" s="4"/>
      <c r="Q552" s="3"/>
      <c r="R552" s="4"/>
      <c r="S552" s="4"/>
      <c r="T552" s="4"/>
      <c r="U552" s="3"/>
      <c r="V552" s="4"/>
      <c r="W552" s="3"/>
      <c r="X552" s="3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57"/>
      <c r="D553" s="4"/>
      <c r="E553" s="4"/>
      <c r="F553" s="4"/>
      <c r="G553" s="4"/>
      <c r="H553" s="3"/>
      <c r="I553" s="4"/>
      <c r="J553" s="4"/>
      <c r="K553" s="3"/>
      <c r="L553" s="3"/>
      <c r="M553" s="4"/>
      <c r="N553" s="4"/>
      <c r="O553" s="4"/>
      <c r="P553" s="4"/>
      <c r="Q553" s="3"/>
      <c r="R553" s="4"/>
      <c r="S553" s="4"/>
      <c r="T553" s="4"/>
      <c r="U553" s="3"/>
      <c r="V553" s="4"/>
      <c r="W553" s="3"/>
      <c r="X553" s="3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57"/>
      <c r="D554" s="4"/>
      <c r="E554" s="4"/>
      <c r="F554" s="4"/>
      <c r="G554" s="4"/>
      <c r="H554" s="3"/>
      <c r="I554" s="4"/>
      <c r="J554" s="4"/>
      <c r="K554" s="3"/>
      <c r="L554" s="3"/>
      <c r="M554" s="4"/>
      <c r="N554" s="4"/>
      <c r="O554" s="4"/>
      <c r="P554" s="4"/>
      <c r="Q554" s="3"/>
      <c r="R554" s="4"/>
      <c r="S554" s="4"/>
      <c r="T554" s="4"/>
      <c r="U554" s="3"/>
      <c r="V554" s="4"/>
      <c r="W554" s="3"/>
      <c r="X554" s="3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57"/>
      <c r="D555" s="4"/>
      <c r="E555" s="4"/>
      <c r="F555" s="4"/>
      <c r="G555" s="4"/>
      <c r="H555" s="3"/>
      <c r="I555" s="4"/>
      <c r="J555" s="4"/>
      <c r="K555" s="3"/>
      <c r="L555" s="3"/>
      <c r="M555" s="4"/>
      <c r="N555" s="4"/>
      <c r="O555" s="4"/>
      <c r="P555" s="4"/>
      <c r="Q555" s="3"/>
      <c r="R555" s="4"/>
      <c r="S555" s="4"/>
      <c r="T555" s="4"/>
      <c r="U555" s="3"/>
      <c r="V555" s="4"/>
      <c r="W555" s="3"/>
      <c r="X555" s="3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57"/>
      <c r="D556" s="4"/>
      <c r="E556" s="4"/>
      <c r="F556" s="4"/>
      <c r="G556" s="4"/>
      <c r="H556" s="3"/>
      <c r="I556" s="4"/>
      <c r="J556" s="4"/>
      <c r="K556" s="3"/>
      <c r="L556" s="3"/>
      <c r="M556" s="4"/>
      <c r="N556" s="4"/>
      <c r="O556" s="4"/>
      <c r="P556" s="4"/>
      <c r="Q556" s="3"/>
      <c r="R556" s="4"/>
      <c r="S556" s="4"/>
      <c r="T556" s="4"/>
      <c r="U556" s="3"/>
      <c r="V556" s="4"/>
      <c r="W556" s="3"/>
      <c r="X556" s="3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57"/>
      <c r="D557" s="4"/>
      <c r="E557" s="4"/>
      <c r="F557" s="4"/>
      <c r="G557" s="4"/>
      <c r="H557" s="3"/>
      <c r="I557" s="4"/>
      <c r="J557" s="4"/>
      <c r="K557" s="3"/>
      <c r="L557" s="3"/>
      <c r="M557" s="4"/>
      <c r="N557" s="4"/>
      <c r="O557" s="4"/>
      <c r="P557" s="4"/>
      <c r="Q557" s="3"/>
      <c r="R557" s="4"/>
      <c r="S557" s="4"/>
      <c r="T557" s="4"/>
      <c r="U557" s="3"/>
      <c r="V557" s="4"/>
      <c r="W557" s="3"/>
      <c r="X557" s="3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57"/>
      <c r="D558" s="4"/>
      <c r="E558" s="4"/>
      <c r="F558" s="4"/>
      <c r="G558" s="4"/>
      <c r="H558" s="3"/>
      <c r="I558" s="4"/>
      <c r="J558" s="4"/>
      <c r="K558" s="3"/>
      <c r="L558" s="3"/>
      <c r="M558" s="4"/>
      <c r="N558" s="4"/>
      <c r="O558" s="4"/>
      <c r="P558" s="4"/>
      <c r="Q558" s="3"/>
      <c r="R558" s="4"/>
      <c r="S558" s="4"/>
      <c r="T558" s="4"/>
      <c r="U558" s="3"/>
      <c r="V558" s="4"/>
      <c r="W558" s="3"/>
      <c r="X558" s="3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57"/>
      <c r="D559" s="4"/>
      <c r="E559" s="4"/>
      <c r="F559" s="4"/>
      <c r="G559" s="4"/>
      <c r="H559" s="3"/>
      <c r="I559" s="4"/>
      <c r="J559" s="4"/>
      <c r="K559" s="3"/>
      <c r="L559" s="3"/>
      <c r="M559" s="4"/>
      <c r="N559" s="4"/>
      <c r="O559" s="4"/>
      <c r="P559" s="4"/>
      <c r="Q559" s="3"/>
      <c r="R559" s="4"/>
      <c r="S559" s="4"/>
      <c r="T559" s="4"/>
      <c r="U559" s="3"/>
      <c r="V559" s="4"/>
      <c r="W559" s="3"/>
      <c r="X559" s="3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57"/>
      <c r="D560" s="4"/>
      <c r="E560" s="4"/>
      <c r="F560" s="4"/>
      <c r="G560" s="4"/>
      <c r="H560" s="3"/>
      <c r="I560" s="4"/>
      <c r="J560" s="4"/>
      <c r="K560" s="3"/>
      <c r="L560" s="3"/>
      <c r="M560" s="4"/>
      <c r="N560" s="4"/>
      <c r="O560" s="4"/>
      <c r="P560" s="4"/>
      <c r="Q560" s="3"/>
      <c r="R560" s="4"/>
      <c r="S560" s="4"/>
      <c r="T560" s="4"/>
      <c r="U560" s="3"/>
      <c r="V560" s="4"/>
      <c r="W560" s="3"/>
      <c r="X560" s="3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57"/>
      <c r="D561" s="4"/>
      <c r="E561" s="4"/>
      <c r="F561" s="4"/>
      <c r="G561" s="4"/>
      <c r="H561" s="3"/>
      <c r="I561" s="4"/>
      <c r="J561" s="4"/>
      <c r="K561" s="3"/>
      <c r="L561" s="3"/>
      <c r="M561" s="4"/>
      <c r="N561" s="4"/>
      <c r="O561" s="4"/>
      <c r="P561" s="4"/>
      <c r="Q561" s="3"/>
      <c r="R561" s="4"/>
      <c r="S561" s="4"/>
      <c r="T561" s="4"/>
      <c r="U561" s="3"/>
      <c r="V561" s="4"/>
      <c r="W561" s="3"/>
      <c r="X561" s="3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57"/>
      <c r="D562" s="4"/>
      <c r="E562" s="4"/>
      <c r="F562" s="4"/>
      <c r="G562" s="4"/>
      <c r="H562" s="3"/>
      <c r="I562" s="4"/>
      <c r="J562" s="4"/>
      <c r="K562" s="3"/>
      <c r="L562" s="3"/>
      <c r="M562" s="4"/>
      <c r="N562" s="4"/>
      <c r="O562" s="4"/>
      <c r="P562" s="4"/>
      <c r="Q562" s="3"/>
      <c r="R562" s="4"/>
      <c r="S562" s="4"/>
      <c r="T562" s="4"/>
      <c r="U562" s="3"/>
      <c r="V562" s="4"/>
      <c r="W562" s="3"/>
      <c r="X562" s="3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57"/>
      <c r="D563" s="4"/>
      <c r="E563" s="4"/>
      <c r="F563" s="4"/>
      <c r="G563" s="4"/>
      <c r="H563" s="3"/>
      <c r="I563" s="4"/>
      <c r="J563" s="4"/>
      <c r="K563" s="3"/>
      <c r="L563" s="3"/>
      <c r="M563" s="4"/>
      <c r="N563" s="4"/>
      <c r="O563" s="4"/>
      <c r="P563" s="4"/>
      <c r="Q563" s="3"/>
      <c r="R563" s="4"/>
      <c r="S563" s="4"/>
      <c r="T563" s="4"/>
      <c r="U563" s="3"/>
      <c r="V563" s="4"/>
      <c r="W563" s="3"/>
      <c r="X563" s="3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57"/>
      <c r="D564" s="4"/>
      <c r="E564" s="4"/>
      <c r="F564" s="4"/>
      <c r="G564" s="4"/>
      <c r="H564" s="3"/>
      <c r="I564" s="4"/>
      <c r="J564" s="4"/>
      <c r="K564" s="3"/>
      <c r="L564" s="3"/>
      <c r="M564" s="4"/>
      <c r="N564" s="4"/>
      <c r="O564" s="4"/>
      <c r="P564" s="4"/>
      <c r="Q564" s="3"/>
      <c r="R564" s="4"/>
      <c r="S564" s="4"/>
      <c r="T564" s="4"/>
      <c r="U564" s="3"/>
      <c r="V564" s="4"/>
      <c r="W564" s="3"/>
      <c r="X564" s="3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57"/>
      <c r="D565" s="4"/>
      <c r="E565" s="4"/>
      <c r="F565" s="4"/>
      <c r="G565" s="4"/>
      <c r="H565" s="3"/>
      <c r="I565" s="4"/>
      <c r="J565" s="4"/>
      <c r="K565" s="3"/>
      <c r="L565" s="3"/>
      <c r="M565" s="4"/>
      <c r="N565" s="4"/>
      <c r="O565" s="4"/>
      <c r="P565" s="4"/>
      <c r="Q565" s="3"/>
      <c r="R565" s="4"/>
      <c r="S565" s="4"/>
      <c r="T565" s="4"/>
      <c r="U565" s="3"/>
      <c r="V565" s="4"/>
      <c r="W565" s="3"/>
      <c r="X565" s="3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57"/>
      <c r="D566" s="4"/>
      <c r="E566" s="4"/>
      <c r="F566" s="4"/>
      <c r="G566" s="4"/>
      <c r="H566" s="3"/>
      <c r="I566" s="4"/>
      <c r="J566" s="4"/>
      <c r="K566" s="3"/>
      <c r="L566" s="3"/>
      <c r="M566" s="4"/>
      <c r="N566" s="4"/>
      <c r="O566" s="4"/>
      <c r="P566" s="4"/>
      <c r="Q566" s="3"/>
      <c r="R566" s="4"/>
      <c r="S566" s="4"/>
      <c r="T566" s="4"/>
      <c r="U566" s="3"/>
      <c r="V566" s="4"/>
      <c r="W566" s="3"/>
      <c r="X566" s="3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57"/>
      <c r="D567" s="4"/>
      <c r="E567" s="4"/>
      <c r="F567" s="4"/>
      <c r="G567" s="4"/>
      <c r="H567" s="3"/>
      <c r="I567" s="4"/>
      <c r="J567" s="4"/>
      <c r="K567" s="3"/>
      <c r="L567" s="3"/>
      <c r="M567" s="4"/>
      <c r="N567" s="4"/>
      <c r="O567" s="4"/>
      <c r="P567" s="4"/>
      <c r="Q567" s="3"/>
      <c r="R567" s="4"/>
      <c r="S567" s="4"/>
      <c r="T567" s="4"/>
      <c r="U567" s="3"/>
      <c r="V567" s="4"/>
      <c r="W567" s="3"/>
      <c r="X567" s="3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57"/>
      <c r="D568" s="4"/>
      <c r="E568" s="4"/>
      <c r="F568" s="4"/>
      <c r="G568" s="4"/>
      <c r="H568" s="3"/>
      <c r="I568" s="4"/>
      <c r="J568" s="4"/>
      <c r="K568" s="3"/>
      <c r="L568" s="3"/>
      <c r="M568" s="4"/>
      <c r="N568" s="4"/>
      <c r="O568" s="4"/>
      <c r="P568" s="4"/>
      <c r="Q568" s="3"/>
      <c r="R568" s="4"/>
      <c r="S568" s="4"/>
      <c r="T568" s="4"/>
      <c r="U568" s="3"/>
      <c r="V568" s="4"/>
      <c r="W568" s="3"/>
      <c r="X568" s="3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57"/>
      <c r="D569" s="4"/>
      <c r="E569" s="4"/>
      <c r="F569" s="4"/>
      <c r="G569" s="4"/>
      <c r="H569" s="3"/>
      <c r="I569" s="4"/>
      <c r="J569" s="4"/>
      <c r="K569" s="3"/>
      <c r="L569" s="3"/>
      <c r="M569" s="4"/>
      <c r="N569" s="4"/>
      <c r="O569" s="4"/>
      <c r="P569" s="4"/>
      <c r="Q569" s="3"/>
      <c r="R569" s="4"/>
      <c r="S569" s="4"/>
      <c r="T569" s="4"/>
      <c r="U569" s="3"/>
      <c r="V569" s="4"/>
      <c r="W569" s="3"/>
      <c r="X569" s="3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57"/>
      <c r="D570" s="4"/>
      <c r="E570" s="4"/>
      <c r="F570" s="4"/>
      <c r="G570" s="4"/>
      <c r="H570" s="3"/>
      <c r="I570" s="4"/>
      <c r="J570" s="4"/>
      <c r="K570" s="3"/>
      <c r="L570" s="3"/>
      <c r="M570" s="4"/>
      <c r="N570" s="4"/>
      <c r="O570" s="4"/>
      <c r="P570" s="4"/>
      <c r="Q570" s="3"/>
      <c r="R570" s="4"/>
      <c r="S570" s="4"/>
      <c r="T570" s="4"/>
      <c r="U570" s="3"/>
      <c r="V570" s="4"/>
      <c r="W570" s="3"/>
      <c r="X570" s="3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57"/>
      <c r="D571" s="4"/>
      <c r="E571" s="4"/>
      <c r="F571" s="4"/>
      <c r="G571" s="4"/>
      <c r="H571" s="3"/>
      <c r="I571" s="4"/>
      <c r="J571" s="4"/>
      <c r="K571" s="3"/>
      <c r="L571" s="3"/>
      <c r="M571" s="4"/>
      <c r="N571" s="4"/>
      <c r="O571" s="4"/>
      <c r="P571" s="4"/>
      <c r="Q571" s="3"/>
      <c r="R571" s="4"/>
      <c r="S571" s="4"/>
      <c r="T571" s="4"/>
      <c r="U571" s="3"/>
      <c r="V571" s="4"/>
      <c r="W571" s="3"/>
      <c r="X571" s="3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57"/>
      <c r="D572" s="4"/>
      <c r="E572" s="4"/>
      <c r="F572" s="4"/>
      <c r="G572" s="4"/>
      <c r="H572" s="3"/>
      <c r="I572" s="4"/>
      <c r="J572" s="4"/>
      <c r="K572" s="3"/>
      <c r="L572" s="3"/>
      <c r="M572" s="4"/>
      <c r="N572" s="4"/>
      <c r="O572" s="4"/>
      <c r="P572" s="4"/>
      <c r="Q572" s="3"/>
      <c r="R572" s="4"/>
      <c r="S572" s="4"/>
      <c r="T572" s="4"/>
      <c r="U572" s="3"/>
      <c r="V572" s="4"/>
      <c r="W572" s="3"/>
      <c r="X572" s="3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57"/>
      <c r="D573" s="4"/>
      <c r="E573" s="4"/>
      <c r="F573" s="4"/>
      <c r="G573" s="4"/>
      <c r="H573" s="3"/>
      <c r="I573" s="4"/>
      <c r="J573" s="4"/>
      <c r="K573" s="3"/>
      <c r="L573" s="3"/>
      <c r="M573" s="4"/>
      <c r="N573" s="4"/>
      <c r="O573" s="4"/>
      <c r="P573" s="4"/>
      <c r="Q573" s="3"/>
      <c r="R573" s="4"/>
      <c r="S573" s="4"/>
      <c r="T573" s="4"/>
      <c r="U573" s="3"/>
      <c r="V573" s="4"/>
      <c r="W573" s="3"/>
      <c r="X573" s="3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57"/>
      <c r="D574" s="4"/>
      <c r="E574" s="4"/>
      <c r="F574" s="4"/>
      <c r="G574" s="4"/>
      <c r="H574" s="3"/>
      <c r="I574" s="4"/>
      <c r="J574" s="4"/>
      <c r="K574" s="3"/>
      <c r="L574" s="3"/>
      <c r="M574" s="4"/>
      <c r="N574" s="4"/>
      <c r="O574" s="4"/>
      <c r="P574" s="4"/>
      <c r="Q574" s="3"/>
      <c r="R574" s="4"/>
      <c r="S574" s="4"/>
      <c r="T574" s="4"/>
      <c r="U574" s="3"/>
      <c r="V574" s="4"/>
      <c r="W574" s="3"/>
      <c r="X574" s="3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57"/>
      <c r="D575" s="4"/>
      <c r="E575" s="4"/>
      <c r="F575" s="4"/>
      <c r="G575" s="4"/>
      <c r="H575" s="3"/>
      <c r="I575" s="4"/>
      <c r="J575" s="4"/>
      <c r="K575" s="3"/>
      <c r="L575" s="3"/>
      <c r="M575" s="4"/>
      <c r="N575" s="4"/>
      <c r="O575" s="4"/>
      <c r="P575" s="4"/>
      <c r="Q575" s="3"/>
      <c r="R575" s="4"/>
      <c r="S575" s="4"/>
      <c r="T575" s="4"/>
      <c r="U575" s="3"/>
      <c r="V575" s="4"/>
      <c r="W575" s="3"/>
      <c r="X575" s="3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57"/>
      <c r="D576" s="4"/>
      <c r="E576" s="4"/>
      <c r="F576" s="4"/>
      <c r="G576" s="4"/>
      <c r="H576" s="3"/>
      <c r="I576" s="4"/>
      <c r="J576" s="4"/>
      <c r="K576" s="3"/>
      <c r="L576" s="3"/>
      <c r="M576" s="4"/>
      <c r="N576" s="4"/>
      <c r="O576" s="4"/>
      <c r="P576" s="4"/>
      <c r="Q576" s="3"/>
      <c r="R576" s="4"/>
      <c r="S576" s="4"/>
      <c r="T576" s="4"/>
      <c r="U576" s="3"/>
      <c r="V576" s="4"/>
      <c r="W576" s="3"/>
      <c r="X576" s="3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57"/>
      <c r="D577" s="4"/>
      <c r="E577" s="4"/>
      <c r="F577" s="4"/>
      <c r="G577" s="4"/>
      <c r="H577" s="3"/>
      <c r="I577" s="4"/>
      <c r="J577" s="4"/>
      <c r="K577" s="3"/>
      <c r="L577" s="3"/>
      <c r="M577" s="4"/>
      <c r="N577" s="4"/>
      <c r="O577" s="4"/>
      <c r="P577" s="4"/>
      <c r="Q577" s="3"/>
      <c r="R577" s="4"/>
      <c r="S577" s="4"/>
      <c r="T577" s="4"/>
      <c r="U577" s="3"/>
      <c r="V577" s="4"/>
      <c r="W577" s="3"/>
      <c r="X577" s="3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57"/>
      <c r="D578" s="4"/>
      <c r="E578" s="4"/>
      <c r="F578" s="4"/>
      <c r="G578" s="4"/>
      <c r="H578" s="3"/>
      <c r="I578" s="4"/>
      <c r="J578" s="4"/>
      <c r="K578" s="3"/>
      <c r="L578" s="3"/>
      <c r="M578" s="4"/>
      <c r="N578" s="4"/>
      <c r="O578" s="4"/>
      <c r="P578" s="4"/>
      <c r="Q578" s="3"/>
      <c r="R578" s="4"/>
      <c r="S578" s="4"/>
      <c r="T578" s="4"/>
      <c r="U578" s="3"/>
      <c r="V578" s="4"/>
      <c r="W578" s="3"/>
      <c r="X578" s="3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57"/>
      <c r="D579" s="4"/>
      <c r="E579" s="4"/>
      <c r="F579" s="4"/>
      <c r="G579" s="4"/>
      <c r="H579" s="3"/>
      <c r="I579" s="4"/>
      <c r="J579" s="4"/>
      <c r="K579" s="3"/>
      <c r="L579" s="3"/>
      <c r="M579" s="4"/>
      <c r="N579" s="4"/>
      <c r="O579" s="4"/>
      <c r="P579" s="4"/>
      <c r="Q579" s="3"/>
      <c r="R579" s="4"/>
      <c r="S579" s="4"/>
      <c r="T579" s="4"/>
      <c r="U579" s="3"/>
      <c r="V579" s="4"/>
      <c r="W579" s="3"/>
      <c r="X579" s="3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57"/>
      <c r="D580" s="4"/>
      <c r="E580" s="4"/>
      <c r="F580" s="4"/>
      <c r="G580" s="4"/>
      <c r="H580" s="3"/>
      <c r="I580" s="4"/>
      <c r="J580" s="4"/>
      <c r="K580" s="3"/>
      <c r="L580" s="3"/>
      <c r="M580" s="4"/>
      <c r="N580" s="4"/>
      <c r="O580" s="4"/>
      <c r="P580" s="4"/>
      <c r="Q580" s="3"/>
      <c r="R580" s="4"/>
      <c r="S580" s="4"/>
      <c r="T580" s="4"/>
      <c r="U580" s="3"/>
      <c r="V580" s="4"/>
      <c r="W580" s="3"/>
      <c r="X580" s="3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57"/>
      <c r="D581" s="4"/>
      <c r="E581" s="4"/>
      <c r="F581" s="4"/>
      <c r="G581" s="4"/>
      <c r="H581" s="3"/>
      <c r="I581" s="4"/>
      <c r="J581" s="4"/>
      <c r="K581" s="3"/>
      <c r="L581" s="3"/>
      <c r="M581" s="4"/>
      <c r="N581" s="4"/>
      <c r="O581" s="4"/>
      <c r="P581" s="4"/>
      <c r="Q581" s="3"/>
      <c r="R581" s="4"/>
      <c r="S581" s="4"/>
      <c r="T581" s="4"/>
      <c r="U581" s="3"/>
      <c r="V581" s="4"/>
      <c r="W581" s="3"/>
      <c r="X581" s="3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57"/>
      <c r="D582" s="4"/>
      <c r="E582" s="4"/>
      <c r="F582" s="4"/>
      <c r="G582" s="4"/>
      <c r="H582" s="3"/>
      <c r="I582" s="4"/>
      <c r="J582" s="4"/>
      <c r="K582" s="3"/>
      <c r="L582" s="3"/>
      <c r="M582" s="4"/>
      <c r="N582" s="4"/>
      <c r="O582" s="4"/>
      <c r="P582" s="4"/>
      <c r="Q582" s="3"/>
      <c r="R582" s="4"/>
      <c r="S582" s="4"/>
      <c r="T582" s="4"/>
      <c r="U582" s="3"/>
      <c r="V582" s="4"/>
      <c r="W582" s="3"/>
      <c r="X582" s="3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57"/>
      <c r="D583" s="4"/>
      <c r="E583" s="4"/>
      <c r="F583" s="4"/>
      <c r="G583" s="4"/>
      <c r="H583" s="3"/>
      <c r="I583" s="4"/>
      <c r="J583" s="4"/>
      <c r="K583" s="3"/>
      <c r="L583" s="3"/>
      <c r="M583" s="4"/>
      <c r="N583" s="4"/>
      <c r="O583" s="4"/>
      <c r="P583" s="4"/>
      <c r="Q583" s="3"/>
      <c r="R583" s="4"/>
      <c r="S583" s="4"/>
      <c r="T583" s="4"/>
      <c r="U583" s="3"/>
      <c r="V583" s="4"/>
      <c r="W583" s="3"/>
      <c r="X583" s="3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57"/>
      <c r="D584" s="4"/>
      <c r="E584" s="4"/>
      <c r="F584" s="4"/>
      <c r="G584" s="4"/>
      <c r="H584" s="3"/>
      <c r="I584" s="4"/>
      <c r="J584" s="4"/>
      <c r="K584" s="3"/>
      <c r="L584" s="3"/>
      <c r="M584" s="4"/>
      <c r="N584" s="4"/>
      <c r="O584" s="4"/>
      <c r="P584" s="4"/>
      <c r="Q584" s="3"/>
      <c r="R584" s="4"/>
      <c r="S584" s="4"/>
      <c r="T584" s="4"/>
      <c r="U584" s="3"/>
      <c r="V584" s="4"/>
      <c r="W584" s="3"/>
      <c r="X584" s="3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57"/>
      <c r="D585" s="4"/>
      <c r="E585" s="4"/>
      <c r="F585" s="4"/>
      <c r="G585" s="4"/>
      <c r="H585" s="3"/>
      <c r="I585" s="4"/>
      <c r="J585" s="4"/>
      <c r="K585" s="3"/>
      <c r="L585" s="3"/>
      <c r="M585" s="4"/>
      <c r="N585" s="4"/>
      <c r="O585" s="4"/>
      <c r="P585" s="4"/>
      <c r="Q585" s="3"/>
      <c r="R585" s="4"/>
      <c r="S585" s="4"/>
      <c r="T585" s="4"/>
      <c r="U585" s="3"/>
      <c r="V585" s="4"/>
      <c r="W585" s="3"/>
      <c r="X585" s="3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57"/>
      <c r="D586" s="4"/>
      <c r="E586" s="4"/>
      <c r="F586" s="4"/>
      <c r="G586" s="4"/>
      <c r="H586" s="3"/>
      <c r="I586" s="4"/>
      <c r="J586" s="4"/>
      <c r="K586" s="3"/>
      <c r="L586" s="3"/>
      <c r="M586" s="4"/>
      <c r="N586" s="4"/>
      <c r="O586" s="4"/>
      <c r="P586" s="4"/>
      <c r="Q586" s="3"/>
      <c r="R586" s="4"/>
      <c r="S586" s="4"/>
      <c r="T586" s="4"/>
      <c r="U586" s="3"/>
      <c r="V586" s="4"/>
      <c r="W586" s="3"/>
      <c r="X586" s="3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57"/>
      <c r="D587" s="4"/>
      <c r="E587" s="4"/>
      <c r="F587" s="4"/>
      <c r="G587" s="4"/>
      <c r="H587" s="3"/>
      <c r="I587" s="4"/>
      <c r="J587" s="4"/>
      <c r="K587" s="3"/>
      <c r="L587" s="3"/>
      <c r="M587" s="4"/>
      <c r="N587" s="4"/>
      <c r="O587" s="4"/>
      <c r="P587" s="4"/>
      <c r="Q587" s="3"/>
      <c r="R587" s="4"/>
      <c r="S587" s="4"/>
      <c r="T587" s="4"/>
      <c r="U587" s="3"/>
      <c r="V587" s="4"/>
      <c r="W587" s="3"/>
      <c r="X587" s="3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57"/>
      <c r="D588" s="4"/>
      <c r="E588" s="4"/>
      <c r="F588" s="4"/>
      <c r="G588" s="4"/>
      <c r="H588" s="3"/>
      <c r="I588" s="4"/>
      <c r="J588" s="4"/>
      <c r="K588" s="3"/>
      <c r="L588" s="3"/>
      <c r="M588" s="4"/>
      <c r="N588" s="4"/>
      <c r="O588" s="4"/>
      <c r="P588" s="4"/>
      <c r="Q588" s="3"/>
      <c r="R588" s="4"/>
      <c r="S588" s="4"/>
      <c r="T588" s="4"/>
      <c r="U588" s="3"/>
      <c r="V588" s="4"/>
      <c r="W588" s="3"/>
      <c r="X588" s="3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57"/>
      <c r="D589" s="4"/>
      <c r="E589" s="4"/>
      <c r="F589" s="4"/>
      <c r="G589" s="4"/>
      <c r="H589" s="3"/>
      <c r="I589" s="4"/>
      <c r="J589" s="4"/>
      <c r="K589" s="3"/>
      <c r="L589" s="3"/>
      <c r="M589" s="4"/>
      <c r="N589" s="4"/>
      <c r="O589" s="4"/>
      <c r="P589" s="4"/>
      <c r="Q589" s="3"/>
      <c r="R589" s="4"/>
      <c r="S589" s="4"/>
      <c r="T589" s="4"/>
      <c r="U589" s="3"/>
      <c r="V589" s="4"/>
      <c r="W589" s="3"/>
      <c r="X589" s="3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57"/>
      <c r="D590" s="4"/>
      <c r="E590" s="4"/>
      <c r="F590" s="4"/>
      <c r="G590" s="4"/>
      <c r="H590" s="3"/>
      <c r="I590" s="4"/>
      <c r="J590" s="4"/>
      <c r="K590" s="3"/>
      <c r="L590" s="3"/>
      <c r="M590" s="4"/>
      <c r="N590" s="4"/>
      <c r="O590" s="4"/>
      <c r="P590" s="4"/>
      <c r="Q590" s="3"/>
      <c r="R590" s="4"/>
      <c r="S590" s="4"/>
      <c r="T590" s="4"/>
      <c r="U590" s="3"/>
      <c r="V590" s="4"/>
      <c r="W590" s="3"/>
      <c r="X590" s="3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57"/>
      <c r="D591" s="4"/>
      <c r="E591" s="4"/>
      <c r="F591" s="4"/>
      <c r="G591" s="4"/>
      <c r="H591" s="3"/>
      <c r="I591" s="4"/>
      <c r="J591" s="4"/>
      <c r="K591" s="3"/>
      <c r="L591" s="3"/>
      <c r="M591" s="4"/>
      <c r="N591" s="4"/>
      <c r="O591" s="4"/>
      <c r="P591" s="4"/>
      <c r="Q591" s="3"/>
      <c r="R591" s="4"/>
      <c r="S591" s="4"/>
      <c r="T591" s="4"/>
      <c r="U591" s="3"/>
      <c r="V591" s="4"/>
      <c r="W591" s="3"/>
      <c r="X591" s="3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57"/>
      <c r="D592" s="4"/>
      <c r="E592" s="4"/>
      <c r="F592" s="4"/>
      <c r="G592" s="4"/>
      <c r="H592" s="3"/>
      <c r="I592" s="4"/>
      <c r="J592" s="4"/>
      <c r="K592" s="3"/>
      <c r="L592" s="3"/>
      <c r="M592" s="4"/>
      <c r="N592" s="4"/>
      <c r="O592" s="4"/>
      <c r="P592" s="4"/>
      <c r="Q592" s="3"/>
      <c r="R592" s="4"/>
      <c r="S592" s="4"/>
      <c r="T592" s="4"/>
      <c r="U592" s="3"/>
      <c r="V592" s="4"/>
      <c r="W592" s="3"/>
      <c r="X592" s="3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57"/>
      <c r="D593" s="4"/>
      <c r="E593" s="4"/>
      <c r="F593" s="4"/>
      <c r="G593" s="4"/>
      <c r="H593" s="3"/>
      <c r="I593" s="4"/>
      <c r="J593" s="4"/>
      <c r="K593" s="3"/>
      <c r="L593" s="3"/>
      <c r="M593" s="4"/>
      <c r="N593" s="4"/>
      <c r="O593" s="4"/>
      <c r="P593" s="4"/>
      <c r="Q593" s="3"/>
      <c r="R593" s="4"/>
      <c r="S593" s="4"/>
      <c r="T593" s="4"/>
      <c r="U593" s="3"/>
      <c r="V593" s="4"/>
      <c r="W593" s="3"/>
      <c r="X593" s="3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57"/>
      <c r="D594" s="4"/>
      <c r="E594" s="4"/>
      <c r="F594" s="4"/>
      <c r="G594" s="4"/>
      <c r="H594" s="3"/>
      <c r="I594" s="4"/>
      <c r="J594" s="4"/>
      <c r="K594" s="3"/>
      <c r="L594" s="3"/>
      <c r="M594" s="4"/>
      <c r="N594" s="4"/>
      <c r="O594" s="4"/>
      <c r="P594" s="4"/>
      <c r="Q594" s="3"/>
      <c r="R594" s="4"/>
      <c r="S594" s="4"/>
      <c r="T594" s="4"/>
      <c r="U594" s="3"/>
      <c r="V594" s="4"/>
      <c r="W594" s="3"/>
      <c r="X594" s="3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57"/>
      <c r="D595" s="4"/>
      <c r="E595" s="4"/>
      <c r="F595" s="4"/>
      <c r="G595" s="4"/>
      <c r="H595" s="3"/>
      <c r="I595" s="4"/>
      <c r="J595" s="4"/>
      <c r="K595" s="3"/>
      <c r="L595" s="3"/>
      <c r="M595" s="4"/>
      <c r="N595" s="4"/>
      <c r="O595" s="4"/>
      <c r="P595" s="4"/>
      <c r="Q595" s="3"/>
      <c r="R595" s="4"/>
      <c r="S595" s="4"/>
      <c r="T595" s="4"/>
      <c r="U595" s="3"/>
      <c r="V595" s="4"/>
      <c r="W595" s="3"/>
      <c r="X595" s="3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57"/>
      <c r="D596" s="4"/>
      <c r="E596" s="4"/>
      <c r="F596" s="4"/>
      <c r="G596" s="4"/>
      <c r="H596" s="3"/>
      <c r="I596" s="4"/>
      <c r="J596" s="4"/>
      <c r="K596" s="3"/>
      <c r="L596" s="3"/>
      <c r="M596" s="4"/>
      <c r="N596" s="4"/>
      <c r="O596" s="4"/>
      <c r="P596" s="4"/>
      <c r="Q596" s="3"/>
      <c r="R596" s="4"/>
      <c r="S596" s="4"/>
      <c r="T596" s="4"/>
      <c r="U596" s="3"/>
      <c r="V596" s="4"/>
      <c r="W596" s="3"/>
      <c r="X596" s="3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57"/>
      <c r="D597" s="4"/>
      <c r="E597" s="4"/>
      <c r="F597" s="4"/>
      <c r="G597" s="4"/>
      <c r="H597" s="3"/>
      <c r="I597" s="4"/>
      <c r="J597" s="4"/>
      <c r="K597" s="3"/>
      <c r="L597" s="3"/>
      <c r="M597" s="4"/>
      <c r="N597" s="4"/>
      <c r="O597" s="4"/>
      <c r="P597" s="4"/>
      <c r="Q597" s="3"/>
      <c r="R597" s="4"/>
      <c r="S597" s="4"/>
      <c r="T597" s="4"/>
      <c r="U597" s="3"/>
      <c r="V597" s="4"/>
      <c r="W597" s="3"/>
      <c r="X597" s="3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57"/>
      <c r="D598" s="4"/>
      <c r="E598" s="4"/>
      <c r="F598" s="4"/>
      <c r="G598" s="4"/>
      <c r="H598" s="3"/>
      <c r="I598" s="4"/>
      <c r="J598" s="4"/>
      <c r="K598" s="3"/>
      <c r="L598" s="3"/>
      <c r="M598" s="4"/>
      <c r="N598" s="4"/>
      <c r="O598" s="4"/>
      <c r="P598" s="4"/>
      <c r="Q598" s="3"/>
      <c r="R598" s="4"/>
      <c r="S598" s="4"/>
      <c r="T598" s="4"/>
      <c r="U598" s="3"/>
      <c r="V598" s="4"/>
      <c r="W598" s="3"/>
      <c r="X598" s="3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57"/>
      <c r="D599" s="4"/>
      <c r="E599" s="4"/>
      <c r="F599" s="4"/>
      <c r="G599" s="4"/>
      <c r="H599" s="3"/>
      <c r="I599" s="4"/>
      <c r="J599" s="4"/>
      <c r="K599" s="3"/>
      <c r="L599" s="3"/>
      <c r="M599" s="4"/>
      <c r="N599" s="4"/>
      <c r="O599" s="4"/>
      <c r="P599" s="4"/>
      <c r="Q599" s="3"/>
      <c r="R599" s="4"/>
      <c r="S599" s="4"/>
      <c r="T599" s="4"/>
      <c r="U599" s="3"/>
      <c r="V599" s="4"/>
      <c r="W599" s="3"/>
      <c r="X599" s="3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57"/>
      <c r="D600" s="4"/>
      <c r="E600" s="4"/>
      <c r="F600" s="4"/>
      <c r="G600" s="4"/>
      <c r="H600" s="3"/>
      <c r="I600" s="4"/>
      <c r="J600" s="4"/>
      <c r="K600" s="3"/>
      <c r="L600" s="3"/>
      <c r="M600" s="4"/>
      <c r="N600" s="4"/>
      <c r="O600" s="4"/>
      <c r="P600" s="4"/>
      <c r="Q600" s="3"/>
      <c r="R600" s="4"/>
      <c r="S600" s="4"/>
      <c r="T600" s="4"/>
      <c r="U600" s="3"/>
      <c r="V600" s="4"/>
      <c r="W600" s="3"/>
      <c r="X600" s="3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57"/>
      <c r="D601" s="4"/>
      <c r="E601" s="4"/>
      <c r="F601" s="4"/>
      <c r="G601" s="4"/>
      <c r="H601" s="3"/>
      <c r="I601" s="4"/>
      <c r="J601" s="4"/>
      <c r="K601" s="3"/>
      <c r="L601" s="3"/>
      <c r="M601" s="4"/>
      <c r="N601" s="4"/>
      <c r="O601" s="4"/>
      <c r="P601" s="4"/>
      <c r="Q601" s="3"/>
      <c r="R601" s="4"/>
      <c r="S601" s="4"/>
      <c r="T601" s="4"/>
      <c r="U601" s="3"/>
      <c r="V601" s="4"/>
      <c r="W601" s="3"/>
      <c r="X601" s="3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57"/>
      <c r="D602" s="4"/>
      <c r="E602" s="4"/>
      <c r="F602" s="4"/>
      <c r="G602" s="4"/>
      <c r="H602" s="3"/>
      <c r="I602" s="4"/>
      <c r="J602" s="4"/>
      <c r="K602" s="3"/>
      <c r="L602" s="3"/>
      <c r="M602" s="4"/>
      <c r="N602" s="4"/>
      <c r="O602" s="4"/>
      <c r="P602" s="4"/>
      <c r="Q602" s="3"/>
      <c r="R602" s="4"/>
      <c r="S602" s="4"/>
      <c r="T602" s="4"/>
      <c r="U602" s="3"/>
      <c r="V602" s="4"/>
      <c r="W602" s="3"/>
      <c r="X602" s="3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57"/>
      <c r="D603" s="4"/>
      <c r="E603" s="4"/>
      <c r="F603" s="4"/>
      <c r="G603" s="4"/>
      <c r="H603" s="3"/>
      <c r="I603" s="4"/>
      <c r="J603" s="4"/>
      <c r="K603" s="3"/>
      <c r="L603" s="3"/>
      <c r="M603" s="4"/>
      <c r="N603" s="4"/>
      <c r="O603" s="4"/>
      <c r="P603" s="4"/>
      <c r="Q603" s="3"/>
      <c r="R603" s="4"/>
      <c r="S603" s="4"/>
      <c r="T603" s="4"/>
      <c r="U603" s="3"/>
      <c r="V603" s="4"/>
      <c r="W603" s="3"/>
      <c r="X603" s="3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57"/>
      <c r="D604" s="4"/>
      <c r="E604" s="4"/>
      <c r="F604" s="4"/>
      <c r="G604" s="4"/>
      <c r="H604" s="3"/>
      <c r="I604" s="4"/>
      <c r="J604" s="4"/>
      <c r="K604" s="3"/>
      <c r="L604" s="3"/>
      <c r="M604" s="4"/>
      <c r="N604" s="4"/>
      <c r="O604" s="4"/>
      <c r="P604" s="4"/>
      <c r="Q604" s="3"/>
      <c r="R604" s="4"/>
      <c r="S604" s="4"/>
      <c r="T604" s="4"/>
      <c r="U604" s="3"/>
      <c r="V604" s="4"/>
      <c r="W604" s="3"/>
      <c r="X604" s="3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57"/>
      <c r="D605" s="4"/>
      <c r="E605" s="4"/>
      <c r="F605" s="4"/>
      <c r="G605" s="4"/>
      <c r="H605" s="3"/>
      <c r="I605" s="4"/>
      <c r="J605" s="4"/>
      <c r="K605" s="3"/>
      <c r="L605" s="3"/>
      <c r="M605" s="4"/>
      <c r="N605" s="4"/>
      <c r="O605" s="4"/>
      <c r="P605" s="4"/>
      <c r="Q605" s="3"/>
      <c r="R605" s="4"/>
      <c r="S605" s="4"/>
      <c r="T605" s="4"/>
      <c r="U605" s="3"/>
      <c r="V605" s="4"/>
      <c r="W605" s="3"/>
      <c r="X605" s="3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57"/>
      <c r="D606" s="4"/>
      <c r="E606" s="4"/>
      <c r="F606" s="4"/>
      <c r="G606" s="4"/>
      <c r="H606" s="3"/>
      <c r="I606" s="4"/>
      <c r="J606" s="4"/>
      <c r="K606" s="3"/>
      <c r="L606" s="3"/>
      <c r="M606" s="4"/>
      <c r="N606" s="4"/>
      <c r="O606" s="4"/>
      <c r="P606" s="4"/>
      <c r="Q606" s="3"/>
      <c r="R606" s="4"/>
      <c r="S606" s="4"/>
      <c r="T606" s="4"/>
      <c r="U606" s="3"/>
      <c r="V606" s="4"/>
      <c r="W606" s="3"/>
      <c r="X606" s="3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57"/>
      <c r="D607" s="4"/>
      <c r="E607" s="4"/>
      <c r="F607" s="4"/>
      <c r="G607" s="4"/>
      <c r="H607" s="3"/>
      <c r="I607" s="4"/>
      <c r="J607" s="4"/>
      <c r="K607" s="3"/>
      <c r="L607" s="3"/>
      <c r="M607" s="4"/>
      <c r="N607" s="4"/>
      <c r="O607" s="4"/>
      <c r="P607" s="4"/>
      <c r="Q607" s="3"/>
      <c r="R607" s="4"/>
      <c r="S607" s="4"/>
      <c r="T607" s="4"/>
      <c r="U607" s="3"/>
      <c r="V607" s="4"/>
      <c r="W607" s="3"/>
      <c r="X607" s="3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57"/>
      <c r="D608" s="4"/>
      <c r="E608" s="4"/>
      <c r="F608" s="4"/>
      <c r="G608" s="4"/>
      <c r="H608" s="3"/>
      <c r="I608" s="4"/>
      <c r="J608" s="4"/>
      <c r="K608" s="3"/>
      <c r="L608" s="3"/>
      <c r="M608" s="4"/>
      <c r="N608" s="4"/>
      <c r="O608" s="4"/>
      <c r="P608" s="4"/>
      <c r="Q608" s="3"/>
      <c r="R608" s="4"/>
      <c r="S608" s="4"/>
      <c r="T608" s="4"/>
      <c r="U608" s="3"/>
      <c r="V608" s="4"/>
      <c r="W608" s="3"/>
      <c r="X608" s="3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57"/>
      <c r="D609" s="4"/>
      <c r="E609" s="4"/>
      <c r="F609" s="4"/>
      <c r="G609" s="4"/>
      <c r="H609" s="3"/>
      <c r="I609" s="4"/>
      <c r="J609" s="4"/>
      <c r="K609" s="3"/>
      <c r="L609" s="3"/>
      <c r="M609" s="4"/>
      <c r="N609" s="4"/>
      <c r="O609" s="4"/>
      <c r="P609" s="4"/>
      <c r="Q609" s="3"/>
      <c r="R609" s="4"/>
      <c r="S609" s="4"/>
      <c r="T609" s="4"/>
      <c r="U609" s="3"/>
      <c r="V609" s="4"/>
      <c r="W609" s="3"/>
      <c r="X609" s="3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57"/>
      <c r="D610" s="4"/>
      <c r="E610" s="4"/>
      <c r="F610" s="4"/>
      <c r="G610" s="4"/>
      <c r="H610" s="3"/>
      <c r="I610" s="4"/>
      <c r="J610" s="4"/>
      <c r="K610" s="3"/>
      <c r="L610" s="3"/>
      <c r="M610" s="4"/>
      <c r="N610" s="4"/>
      <c r="O610" s="4"/>
      <c r="P610" s="4"/>
      <c r="Q610" s="3"/>
      <c r="R610" s="4"/>
      <c r="S610" s="4"/>
      <c r="T610" s="4"/>
      <c r="U610" s="3"/>
      <c r="V610" s="4"/>
      <c r="W610" s="3"/>
      <c r="X610" s="3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57"/>
      <c r="D611" s="4"/>
      <c r="E611" s="4"/>
      <c r="F611" s="4"/>
      <c r="G611" s="4"/>
      <c r="H611" s="3"/>
      <c r="I611" s="4"/>
      <c r="J611" s="4"/>
      <c r="K611" s="3"/>
      <c r="L611" s="3"/>
      <c r="M611" s="4"/>
      <c r="N611" s="4"/>
      <c r="O611" s="4"/>
      <c r="P611" s="4"/>
      <c r="Q611" s="3"/>
      <c r="R611" s="4"/>
      <c r="S611" s="4"/>
      <c r="T611" s="4"/>
      <c r="U611" s="3"/>
      <c r="V611" s="4"/>
      <c r="W611" s="3"/>
      <c r="X611" s="3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57"/>
      <c r="D612" s="4"/>
      <c r="E612" s="4"/>
      <c r="F612" s="4"/>
      <c r="G612" s="4"/>
      <c r="H612" s="3"/>
      <c r="I612" s="4"/>
      <c r="J612" s="4"/>
      <c r="K612" s="3"/>
      <c r="L612" s="3"/>
      <c r="M612" s="4"/>
      <c r="N612" s="4"/>
      <c r="O612" s="4"/>
      <c r="P612" s="4"/>
      <c r="Q612" s="3"/>
      <c r="R612" s="4"/>
      <c r="S612" s="4"/>
      <c r="T612" s="4"/>
      <c r="U612" s="3"/>
      <c r="V612" s="4"/>
      <c r="W612" s="3"/>
      <c r="X612" s="3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57"/>
      <c r="D613" s="4"/>
      <c r="E613" s="4"/>
      <c r="F613" s="4"/>
      <c r="G613" s="4"/>
      <c r="H613" s="3"/>
      <c r="I613" s="4"/>
      <c r="J613" s="4"/>
      <c r="K613" s="3"/>
      <c r="L613" s="3"/>
      <c r="M613" s="4"/>
      <c r="N613" s="4"/>
      <c r="O613" s="4"/>
      <c r="P613" s="4"/>
      <c r="Q613" s="3"/>
      <c r="R613" s="4"/>
      <c r="S613" s="4"/>
      <c r="T613" s="4"/>
      <c r="U613" s="3"/>
      <c r="V613" s="4"/>
      <c r="W613" s="3"/>
      <c r="X613" s="3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57"/>
      <c r="D614" s="4"/>
      <c r="E614" s="4"/>
      <c r="F614" s="4"/>
      <c r="G614" s="4"/>
      <c r="H614" s="3"/>
      <c r="I614" s="4"/>
      <c r="J614" s="4"/>
      <c r="K614" s="3"/>
      <c r="L614" s="3"/>
      <c r="M614" s="4"/>
      <c r="N614" s="4"/>
      <c r="O614" s="4"/>
      <c r="P614" s="4"/>
      <c r="Q614" s="3"/>
      <c r="R614" s="4"/>
      <c r="S614" s="4"/>
      <c r="T614" s="4"/>
      <c r="U614" s="3"/>
      <c r="V614" s="4"/>
      <c r="W614" s="3"/>
      <c r="X614" s="3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57"/>
      <c r="D615" s="4"/>
      <c r="E615" s="4"/>
      <c r="F615" s="4"/>
      <c r="G615" s="4"/>
      <c r="H615" s="3"/>
      <c r="I615" s="4"/>
      <c r="J615" s="4"/>
      <c r="K615" s="3"/>
      <c r="L615" s="3"/>
      <c r="M615" s="4"/>
      <c r="N615" s="4"/>
      <c r="O615" s="4"/>
      <c r="P615" s="4"/>
      <c r="Q615" s="3"/>
      <c r="R615" s="4"/>
      <c r="S615" s="4"/>
      <c r="T615" s="4"/>
      <c r="U615" s="3"/>
      <c r="V615" s="4"/>
      <c r="W615" s="3"/>
      <c r="X615" s="3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57"/>
      <c r="D616" s="4"/>
      <c r="E616" s="4"/>
      <c r="F616" s="4"/>
      <c r="G616" s="4"/>
      <c r="H616" s="3"/>
      <c r="I616" s="4"/>
      <c r="J616" s="4"/>
      <c r="K616" s="3"/>
      <c r="L616" s="3"/>
      <c r="M616" s="4"/>
      <c r="N616" s="4"/>
      <c r="O616" s="4"/>
      <c r="P616" s="4"/>
      <c r="Q616" s="3"/>
      <c r="R616" s="4"/>
      <c r="S616" s="4"/>
      <c r="T616" s="4"/>
      <c r="U616" s="3"/>
      <c r="V616" s="4"/>
      <c r="W616" s="3"/>
      <c r="X616" s="3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57"/>
      <c r="D617" s="4"/>
      <c r="E617" s="4"/>
      <c r="F617" s="4"/>
      <c r="G617" s="4"/>
      <c r="H617" s="3"/>
      <c r="I617" s="4"/>
      <c r="J617" s="4"/>
      <c r="K617" s="3"/>
      <c r="L617" s="3"/>
      <c r="M617" s="4"/>
      <c r="N617" s="4"/>
      <c r="O617" s="4"/>
      <c r="P617" s="4"/>
      <c r="Q617" s="3"/>
      <c r="R617" s="4"/>
      <c r="S617" s="4"/>
      <c r="T617" s="4"/>
      <c r="U617" s="3"/>
      <c r="V617" s="4"/>
      <c r="W617" s="3"/>
      <c r="X617" s="3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57"/>
      <c r="D618" s="4"/>
      <c r="E618" s="4"/>
      <c r="F618" s="4"/>
      <c r="G618" s="4"/>
      <c r="H618" s="3"/>
      <c r="I618" s="4"/>
      <c r="J618" s="4"/>
      <c r="K618" s="3"/>
      <c r="L618" s="3"/>
      <c r="M618" s="4"/>
      <c r="N618" s="4"/>
      <c r="O618" s="4"/>
      <c r="P618" s="4"/>
      <c r="Q618" s="3"/>
      <c r="R618" s="4"/>
      <c r="S618" s="4"/>
      <c r="T618" s="4"/>
      <c r="U618" s="3"/>
      <c r="V618" s="4"/>
      <c r="W618" s="3"/>
      <c r="X618" s="3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57"/>
      <c r="D619" s="4"/>
      <c r="E619" s="4"/>
      <c r="F619" s="4"/>
      <c r="G619" s="4"/>
      <c r="H619" s="3"/>
      <c r="I619" s="4"/>
      <c r="J619" s="4"/>
      <c r="K619" s="3"/>
      <c r="L619" s="3"/>
      <c r="M619" s="4"/>
      <c r="N619" s="4"/>
      <c r="O619" s="4"/>
      <c r="P619" s="4"/>
      <c r="Q619" s="3"/>
      <c r="R619" s="4"/>
      <c r="S619" s="4"/>
      <c r="T619" s="4"/>
      <c r="U619" s="3"/>
      <c r="V619" s="4"/>
      <c r="W619" s="3"/>
      <c r="X619" s="3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57"/>
      <c r="D620" s="4"/>
      <c r="E620" s="4"/>
      <c r="F620" s="4"/>
      <c r="G620" s="4"/>
      <c r="H620" s="3"/>
      <c r="I620" s="4"/>
      <c r="J620" s="4"/>
      <c r="K620" s="3"/>
      <c r="L620" s="3"/>
      <c r="M620" s="4"/>
      <c r="N620" s="4"/>
      <c r="O620" s="4"/>
      <c r="P620" s="4"/>
      <c r="Q620" s="3"/>
      <c r="R620" s="4"/>
      <c r="S620" s="4"/>
      <c r="T620" s="4"/>
      <c r="U620" s="3"/>
      <c r="V620" s="4"/>
      <c r="W620" s="3"/>
      <c r="X620" s="3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57"/>
      <c r="D621" s="4"/>
      <c r="E621" s="4"/>
      <c r="F621" s="4"/>
      <c r="G621" s="4"/>
      <c r="H621" s="3"/>
      <c r="I621" s="4"/>
      <c r="J621" s="4"/>
      <c r="K621" s="3"/>
      <c r="L621" s="3"/>
      <c r="M621" s="4"/>
      <c r="N621" s="4"/>
      <c r="O621" s="4"/>
      <c r="P621" s="4"/>
      <c r="Q621" s="3"/>
      <c r="R621" s="4"/>
      <c r="S621" s="4"/>
      <c r="T621" s="4"/>
      <c r="U621" s="3"/>
      <c r="V621" s="4"/>
      <c r="W621" s="3"/>
      <c r="X621" s="3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57"/>
      <c r="D622" s="4"/>
      <c r="E622" s="4"/>
      <c r="F622" s="4"/>
      <c r="G622" s="4"/>
      <c r="H622" s="3"/>
      <c r="I622" s="4"/>
      <c r="J622" s="4"/>
      <c r="K622" s="3"/>
      <c r="L622" s="3"/>
      <c r="M622" s="4"/>
      <c r="N622" s="4"/>
      <c r="O622" s="4"/>
      <c r="P622" s="4"/>
      <c r="Q622" s="3"/>
      <c r="R622" s="4"/>
      <c r="S622" s="4"/>
      <c r="T622" s="4"/>
      <c r="U622" s="3"/>
      <c r="V622" s="4"/>
      <c r="W622" s="3"/>
      <c r="X622" s="3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57"/>
      <c r="D623" s="4"/>
      <c r="E623" s="4"/>
      <c r="F623" s="4"/>
      <c r="G623" s="4"/>
      <c r="H623" s="3"/>
      <c r="I623" s="4"/>
      <c r="J623" s="4"/>
      <c r="K623" s="3"/>
      <c r="L623" s="3"/>
      <c r="M623" s="4"/>
      <c r="N623" s="4"/>
      <c r="O623" s="4"/>
      <c r="P623" s="4"/>
      <c r="Q623" s="3"/>
      <c r="R623" s="4"/>
      <c r="S623" s="4"/>
      <c r="T623" s="4"/>
      <c r="U623" s="3"/>
      <c r="V623" s="4"/>
      <c r="W623" s="3"/>
      <c r="X623" s="3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57"/>
      <c r="D624" s="4"/>
      <c r="E624" s="4"/>
      <c r="F624" s="4"/>
      <c r="G624" s="4"/>
      <c r="H624" s="3"/>
      <c r="I624" s="4"/>
      <c r="J624" s="4"/>
      <c r="K624" s="3"/>
      <c r="L624" s="3"/>
      <c r="M624" s="4"/>
      <c r="N624" s="4"/>
      <c r="O624" s="4"/>
      <c r="P624" s="4"/>
      <c r="Q624" s="3"/>
      <c r="R624" s="4"/>
      <c r="S624" s="4"/>
      <c r="T624" s="4"/>
      <c r="U624" s="3"/>
      <c r="V624" s="4"/>
      <c r="W624" s="3"/>
      <c r="X624" s="3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57"/>
      <c r="D625" s="4"/>
      <c r="E625" s="4"/>
      <c r="F625" s="4"/>
      <c r="G625" s="4"/>
      <c r="H625" s="3"/>
      <c r="I625" s="4"/>
      <c r="J625" s="4"/>
      <c r="K625" s="3"/>
      <c r="L625" s="3"/>
      <c r="M625" s="4"/>
      <c r="N625" s="4"/>
      <c r="O625" s="4"/>
      <c r="P625" s="4"/>
      <c r="Q625" s="3"/>
      <c r="R625" s="4"/>
      <c r="S625" s="4"/>
      <c r="T625" s="4"/>
      <c r="U625" s="3"/>
      <c r="V625" s="4"/>
      <c r="W625" s="3"/>
      <c r="X625" s="3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57"/>
      <c r="D626" s="4"/>
      <c r="E626" s="4"/>
      <c r="F626" s="4"/>
      <c r="G626" s="4"/>
      <c r="H626" s="3"/>
      <c r="I626" s="4"/>
      <c r="J626" s="4"/>
      <c r="K626" s="3"/>
      <c r="L626" s="3"/>
      <c r="M626" s="4"/>
      <c r="N626" s="4"/>
      <c r="O626" s="4"/>
      <c r="P626" s="4"/>
      <c r="Q626" s="3"/>
      <c r="R626" s="4"/>
      <c r="S626" s="4"/>
      <c r="T626" s="4"/>
      <c r="U626" s="3"/>
      <c r="V626" s="4"/>
      <c r="W626" s="3"/>
      <c r="X626" s="3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57"/>
      <c r="D627" s="4"/>
      <c r="E627" s="4"/>
      <c r="F627" s="4"/>
      <c r="G627" s="4"/>
      <c r="H627" s="3"/>
      <c r="I627" s="4"/>
      <c r="J627" s="4"/>
      <c r="K627" s="3"/>
      <c r="L627" s="3"/>
      <c r="M627" s="4"/>
      <c r="N627" s="4"/>
      <c r="O627" s="4"/>
      <c r="P627" s="4"/>
      <c r="Q627" s="3"/>
      <c r="R627" s="4"/>
      <c r="S627" s="4"/>
      <c r="T627" s="4"/>
      <c r="U627" s="3"/>
      <c r="V627" s="4"/>
      <c r="W627" s="3"/>
      <c r="X627" s="3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57"/>
      <c r="D628" s="4"/>
      <c r="E628" s="4"/>
      <c r="F628" s="4"/>
      <c r="G628" s="4"/>
      <c r="H628" s="3"/>
      <c r="I628" s="4"/>
      <c r="J628" s="4"/>
      <c r="K628" s="3"/>
      <c r="L628" s="3"/>
      <c r="M628" s="4"/>
      <c r="N628" s="4"/>
      <c r="O628" s="4"/>
      <c r="P628" s="4"/>
      <c r="Q628" s="3"/>
      <c r="R628" s="4"/>
      <c r="S628" s="4"/>
      <c r="T628" s="4"/>
      <c r="U628" s="3"/>
      <c r="V628" s="4"/>
      <c r="W628" s="3"/>
      <c r="X628" s="3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57"/>
      <c r="D629" s="4"/>
      <c r="E629" s="4"/>
      <c r="F629" s="4"/>
      <c r="G629" s="4"/>
      <c r="H629" s="3"/>
      <c r="I629" s="4"/>
      <c r="J629" s="4"/>
      <c r="K629" s="3"/>
      <c r="L629" s="3"/>
      <c r="M629" s="4"/>
      <c r="N629" s="4"/>
      <c r="O629" s="4"/>
      <c r="P629" s="4"/>
      <c r="Q629" s="3"/>
      <c r="R629" s="4"/>
      <c r="S629" s="4"/>
      <c r="T629" s="4"/>
      <c r="U629" s="3"/>
      <c r="V629" s="4"/>
      <c r="W629" s="3"/>
      <c r="X629" s="3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57"/>
      <c r="D630" s="4"/>
      <c r="E630" s="4"/>
      <c r="F630" s="4"/>
      <c r="G630" s="4"/>
      <c r="H630" s="3"/>
      <c r="I630" s="4"/>
      <c r="J630" s="4"/>
      <c r="K630" s="3"/>
      <c r="L630" s="3"/>
      <c r="M630" s="4"/>
      <c r="N630" s="4"/>
      <c r="O630" s="4"/>
      <c r="P630" s="4"/>
      <c r="Q630" s="3"/>
      <c r="R630" s="4"/>
      <c r="S630" s="4"/>
      <c r="T630" s="4"/>
      <c r="U630" s="3"/>
      <c r="V630" s="4"/>
      <c r="W630" s="3"/>
      <c r="X630" s="3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57"/>
      <c r="D631" s="4"/>
      <c r="E631" s="4"/>
      <c r="F631" s="4"/>
      <c r="G631" s="4"/>
      <c r="H631" s="3"/>
      <c r="I631" s="4"/>
      <c r="J631" s="4"/>
      <c r="K631" s="3"/>
      <c r="L631" s="3"/>
      <c r="M631" s="4"/>
      <c r="N631" s="4"/>
      <c r="O631" s="4"/>
      <c r="P631" s="4"/>
      <c r="Q631" s="3"/>
      <c r="R631" s="4"/>
      <c r="S631" s="4"/>
      <c r="T631" s="4"/>
      <c r="U631" s="3"/>
      <c r="V631" s="4"/>
      <c r="W631" s="3"/>
      <c r="X631" s="3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57"/>
      <c r="D632" s="4"/>
      <c r="E632" s="4"/>
      <c r="F632" s="4"/>
      <c r="G632" s="4"/>
      <c r="H632" s="3"/>
      <c r="I632" s="4"/>
      <c r="J632" s="4"/>
      <c r="K632" s="3"/>
      <c r="L632" s="3"/>
      <c r="M632" s="4"/>
      <c r="N632" s="4"/>
      <c r="O632" s="4"/>
      <c r="P632" s="4"/>
      <c r="Q632" s="3"/>
      <c r="R632" s="4"/>
      <c r="S632" s="4"/>
      <c r="T632" s="4"/>
      <c r="U632" s="3"/>
      <c r="V632" s="4"/>
      <c r="W632" s="3"/>
      <c r="X632" s="3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57"/>
      <c r="D633" s="4"/>
      <c r="E633" s="4"/>
      <c r="F633" s="4"/>
      <c r="G633" s="4"/>
      <c r="H633" s="3"/>
      <c r="I633" s="4"/>
      <c r="J633" s="4"/>
      <c r="K633" s="3"/>
      <c r="L633" s="3"/>
      <c r="M633" s="4"/>
      <c r="N633" s="4"/>
      <c r="O633" s="4"/>
      <c r="P633" s="4"/>
      <c r="Q633" s="3"/>
      <c r="R633" s="4"/>
      <c r="S633" s="4"/>
      <c r="T633" s="4"/>
      <c r="U633" s="3"/>
      <c r="V633" s="4"/>
      <c r="W633" s="3"/>
      <c r="X633" s="3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57"/>
      <c r="D634" s="4"/>
      <c r="E634" s="4"/>
      <c r="F634" s="4"/>
      <c r="G634" s="4"/>
      <c r="H634" s="3"/>
      <c r="I634" s="4"/>
      <c r="J634" s="4"/>
      <c r="K634" s="3"/>
      <c r="L634" s="3"/>
      <c r="M634" s="4"/>
      <c r="N634" s="4"/>
      <c r="O634" s="4"/>
      <c r="P634" s="4"/>
      <c r="Q634" s="3"/>
      <c r="R634" s="4"/>
      <c r="S634" s="4"/>
      <c r="T634" s="4"/>
      <c r="U634" s="3"/>
      <c r="V634" s="4"/>
      <c r="W634" s="3"/>
      <c r="X634" s="3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57"/>
      <c r="D635" s="4"/>
      <c r="E635" s="4"/>
      <c r="F635" s="4"/>
      <c r="G635" s="4"/>
      <c r="H635" s="3"/>
      <c r="I635" s="4"/>
      <c r="J635" s="4"/>
      <c r="K635" s="3"/>
      <c r="L635" s="3"/>
      <c r="M635" s="4"/>
      <c r="N635" s="4"/>
      <c r="O635" s="4"/>
      <c r="P635" s="4"/>
      <c r="Q635" s="3"/>
      <c r="R635" s="4"/>
      <c r="S635" s="4"/>
      <c r="T635" s="4"/>
      <c r="U635" s="3"/>
      <c r="V635" s="4"/>
      <c r="W635" s="3"/>
      <c r="X635" s="3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57"/>
      <c r="D636" s="4"/>
      <c r="E636" s="4"/>
      <c r="F636" s="4"/>
      <c r="G636" s="4"/>
      <c r="H636" s="3"/>
      <c r="I636" s="4"/>
      <c r="J636" s="4"/>
      <c r="K636" s="3"/>
      <c r="L636" s="3"/>
      <c r="M636" s="4"/>
      <c r="N636" s="4"/>
      <c r="O636" s="4"/>
      <c r="P636" s="4"/>
      <c r="Q636" s="3"/>
      <c r="R636" s="4"/>
      <c r="S636" s="4"/>
      <c r="T636" s="4"/>
      <c r="U636" s="3"/>
      <c r="V636" s="4"/>
      <c r="W636" s="3"/>
      <c r="X636" s="3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57"/>
      <c r="D637" s="4"/>
      <c r="E637" s="4"/>
      <c r="F637" s="4"/>
      <c r="G637" s="4"/>
      <c r="H637" s="3"/>
      <c r="I637" s="4"/>
      <c r="J637" s="4"/>
      <c r="K637" s="3"/>
      <c r="L637" s="3"/>
      <c r="M637" s="4"/>
      <c r="N637" s="4"/>
      <c r="O637" s="4"/>
      <c r="P637" s="4"/>
      <c r="Q637" s="3"/>
      <c r="R637" s="4"/>
      <c r="S637" s="4"/>
      <c r="T637" s="4"/>
      <c r="U637" s="3"/>
      <c r="V637" s="4"/>
      <c r="W637" s="3"/>
      <c r="X637" s="3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57"/>
      <c r="D638" s="4"/>
      <c r="E638" s="4"/>
      <c r="F638" s="4"/>
      <c r="G638" s="4"/>
      <c r="H638" s="3"/>
      <c r="I638" s="4"/>
      <c r="J638" s="4"/>
      <c r="K638" s="3"/>
      <c r="L638" s="3"/>
      <c r="M638" s="4"/>
      <c r="N638" s="4"/>
      <c r="O638" s="4"/>
      <c r="P638" s="4"/>
      <c r="Q638" s="3"/>
      <c r="R638" s="4"/>
      <c r="S638" s="4"/>
      <c r="T638" s="4"/>
      <c r="U638" s="3"/>
      <c r="V638" s="4"/>
      <c r="W638" s="3"/>
      <c r="X638" s="3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57"/>
      <c r="D639" s="4"/>
      <c r="E639" s="4"/>
      <c r="F639" s="4"/>
      <c r="G639" s="4"/>
      <c r="H639" s="3"/>
      <c r="I639" s="4"/>
      <c r="J639" s="4"/>
      <c r="K639" s="3"/>
      <c r="L639" s="3"/>
      <c r="M639" s="4"/>
      <c r="N639" s="4"/>
      <c r="O639" s="4"/>
      <c r="P639" s="4"/>
      <c r="Q639" s="3"/>
      <c r="R639" s="4"/>
      <c r="S639" s="4"/>
      <c r="T639" s="4"/>
      <c r="U639" s="3"/>
      <c r="V639" s="4"/>
      <c r="W639" s="3"/>
      <c r="X639" s="3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57"/>
      <c r="D640" s="4"/>
      <c r="E640" s="4"/>
      <c r="F640" s="4"/>
      <c r="G640" s="4"/>
      <c r="H640" s="3"/>
      <c r="I640" s="4"/>
      <c r="J640" s="4"/>
      <c r="K640" s="3"/>
      <c r="L640" s="3"/>
      <c r="M640" s="4"/>
      <c r="N640" s="4"/>
      <c r="O640" s="4"/>
      <c r="P640" s="4"/>
      <c r="Q640" s="3"/>
      <c r="R640" s="4"/>
      <c r="S640" s="4"/>
      <c r="T640" s="4"/>
      <c r="U640" s="3"/>
      <c r="V640" s="4"/>
      <c r="W640" s="3"/>
      <c r="X640" s="3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57"/>
      <c r="D641" s="4"/>
      <c r="E641" s="4"/>
      <c r="F641" s="4"/>
      <c r="G641" s="4"/>
      <c r="H641" s="3"/>
      <c r="I641" s="4"/>
      <c r="J641" s="4"/>
      <c r="K641" s="3"/>
      <c r="L641" s="3"/>
      <c r="M641" s="4"/>
      <c r="N641" s="4"/>
      <c r="O641" s="4"/>
      <c r="P641" s="4"/>
      <c r="Q641" s="3"/>
      <c r="R641" s="4"/>
      <c r="S641" s="4"/>
      <c r="T641" s="4"/>
      <c r="U641" s="3"/>
      <c r="V641" s="4"/>
      <c r="W641" s="3"/>
      <c r="X641" s="3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57"/>
      <c r="D642" s="4"/>
      <c r="E642" s="4"/>
      <c r="F642" s="4"/>
      <c r="G642" s="4"/>
      <c r="H642" s="3"/>
      <c r="I642" s="4"/>
      <c r="J642" s="4"/>
      <c r="K642" s="3"/>
      <c r="L642" s="3"/>
      <c r="M642" s="4"/>
      <c r="N642" s="4"/>
      <c r="O642" s="4"/>
      <c r="P642" s="4"/>
      <c r="Q642" s="3"/>
      <c r="R642" s="4"/>
      <c r="S642" s="4"/>
      <c r="T642" s="4"/>
      <c r="U642" s="3"/>
      <c r="V642" s="4"/>
      <c r="W642" s="3"/>
      <c r="X642" s="3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57"/>
      <c r="D643" s="4"/>
      <c r="E643" s="4"/>
      <c r="F643" s="4"/>
      <c r="G643" s="4"/>
      <c r="H643" s="3"/>
      <c r="I643" s="4"/>
      <c r="J643" s="4"/>
      <c r="K643" s="3"/>
      <c r="L643" s="3"/>
      <c r="M643" s="4"/>
      <c r="N643" s="4"/>
      <c r="O643" s="4"/>
      <c r="P643" s="4"/>
      <c r="Q643" s="3"/>
      <c r="R643" s="4"/>
      <c r="S643" s="4"/>
      <c r="T643" s="4"/>
      <c r="U643" s="3"/>
      <c r="V643" s="4"/>
      <c r="W643" s="3"/>
      <c r="X643" s="3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57"/>
      <c r="D644" s="4"/>
      <c r="E644" s="4"/>
      <c r="F644" s="4"/>
      <c r="G644" s="4"/>
      <c r="H644" s="3"/>
      <c r="I644" s="4"/>
      <c r="J644" s="4"/>
      <c r="K644" s="3"/>
      <c r="L644" s="3"/>
      <c r="M644" s="4"/>
      <c r="N644" s="4"/>
      <c r="O644" s="4"/>
      <c r="P644" s="4"/>
      <c r="Q644" s="3"/>
      <c r="R644" s="4"/>
      <c r="S644" s="4"/>
      <c r="T644" s="4"/>
      <c r="U644" s="3"/>
      <c r="V644" s="4"/>
      <c r="W644" s="3"/>
      <c r="X644" s="3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57"/>
      <c r="D645" s="4"/>
      <c r="E645" s="4"/>
      <c r="F645" s="4"/>
      <c r="G645" s="4"/>
      <c r="H645" s="3"/>
      <c r="I645" s="4"/>
      <c r="J645" s="4"/>
      <c r="K645" s="3"/>
      <c r="L645" s="3"/>
      <c r="M645" s="4"/>
      <c r="N645" s="4"/>
      <c r="O645" s="4"/>
      <c r="P645" s="4"/>
      <c r="Q645" s="3"/>
      <c r="R645" s="4"/>
      <c r="S645" s="4"/>
      <c r="T645" s="4"/>
      <c r="U645" s="3"/>
      <c r="V645" s="4"/>
      <c r="W645" s="3"/>
      <c r="X645" s="3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57"/>
      <c r="D646" s="4"/>
      <c r="E646" s="4"/>
      <c r="F646" s="4"/>
      <c r="G646" s="4"/>
      <c r="H646" s="3"/>
      <c r="I646" s="4"/>
      <c r="J646" s="4"/>
      <c r="K646" s="3"/>
      <c r="L646" s="3"/>
      <c r="M646" s="4"/>
      <c r="N646" s="4"/>
      <c r="O646" s="4"/>
      <c r="P646" s="4"/>
      <c r="Q646" s="3"/>
      <c r="R646" s="4"/>
      <c r="S646" s="4"/>
      <c r="T646" s="4"/>
      <c r="U646" s="3"/>
      <c r="V646" s="4"/>
      <c r="W646" s="3"/>
      <c r="X646" s="3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57"/>
      <c r="D647" s="4"/>
      <c r="E647" s="4"/>
      <c r="F647" s="4"/>
      <c r="G647" s="4"/>
      <c r="H647" s="3"/>
      <c r="I647" s="4"/>
      <c r="J647" s="4"/>
      <c r="K647" s="3"/>
      <c r="L647" s="3"/>
      <c r="M647" s="4"/>
      <c r="N647" s="4"/>
      <c r="O647" s="4"/>
      <c r="P647" s="4"/>
      <c r="Q647" s="3"/>
      <c r="R647" s="4"/>
      <c r="S647" s="4"/>
      <c r="T647" s="4"/>
      <c r="U647" s="3"/>
      <c r="V647" s="4"/>
      <c r="W647" s="3"/>
      <c r="X647" s="3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57"/>
      <c r="D648" s="4"/>
      <c r="E648" s="4"/>
      <c r="F648" s="4"/>
      <c r="G648" s="4"/>
      <c r="H648" s="3"/>
      <c r="I648" s="4"/>
      <c r="J648" s="4"/>
      <c r="K648" s="3"/>
      <c r="L648" s="3"/>
      <c r="M648" s="4"/>
      <c r="N648" s="4"/>
      <c r="O648" s="4"/>
      <c r="P648" s="4"/>
      <c r="Q648" s="3"/>
      <c r="R648" s="4"/>
      <c r="S648" s="4"/>
      <c r="T648" s="4"/>
      <c r="U648" s="3"/>
      <c r="V648" s="4"/>
      <c r="W648" s="3"/>
      <c r="X648" s="3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57"/>
      <c r="D649" s="4"/>
      <c r="E649" s="4"/>
      <c r="F649" s="4"/>
      <c r="G649" s="4"/>
      <c r="H649" s="3"/>
      <c r="I649" s="4"/>
      <c r="J649" s="4"/>
      <c r="K649" s="3"/>
      <c r="L649" s="3"/>
      <c r="M649" s="4"/>
      <c r="N649" s="4"/>
      <c r="O649" s="4"/>
      <c r="P649" s="4"/>
      <c r="Q649" s="3"/>
      <c r="R649" s="4"/>
      <c r="S649" s="4"/>
      <c r="T649" s="4"/>
      <c r="U649" s="3"/>
      <c r="V649" s="4"/>
      <c r="W649" s="3"/>
      <c r="X649" s="3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57"/>
      <c r="D650" s="4"/>
      <c r="E650" s="4"/>
      <c r="F650" s="4"/>
      <c r="G650" s="4"/>
      <c r="H650" s="3"/>
      <c r="I650" s="4"/>
      <c r="J650" s="4"/>
      <c r="K650" s="3"/>
      <c r="L650" s="3"/>
      <c r="M650" s="4"/>
      <c r="N650" s="4"/>
      <c r="O650" s="4"/>
      <c r="P650" s="4"/>
      <c r="Q650" s="3"/>
      <c r="R650" s="4"/>
      <c r="S650" s="4"/>
      <c r="T650" s="4"/>
      <c r="U650" s="3"/>
      <c r="V650" s="4"/>
      <c r="W650" s="3"/>
      <c r="X650" s="3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57"/>
      <c r="D651" s="4"/>
      <c r="E651" s="4"/>
      <c r="F651" s="4"/>
      <c r="G651" s="4"/>
      <c r="H651" s="3"/>
      <c r="I651" s="4"/>
      <c r="J651" s="4"/>
      <c r="K651" s="3"/>
      <c r="L651" s="3"/>
      <c r="M651" s="4"/>
      <c r="N651" s="4"/>
      <c r="O651" s="4"/>
      <c r="P651" s="4"/>
      <c r="Q651" s="3"/>
      <c r="R651" s="4"/>
      <c r="S651" s="4"/>
      <c r="T651" s="4"/>
      <c r="U651" s="3"/>
      <c r="V651" s="4"/>
      <c r="W651" s="3"/>
      <c r="X651" s="3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57"/>
      <c r="D652" s="4"/>
      <c r="E652" s="4"/>
      <c r="F652" s="4"/>
      <c r="G652" s="4"/>
      <c r="H652" s="3"/>
      <c r="I652" s="4"/>
      <c r="J652" s="4"/>
      <c r="K652" s="3"/>
      <c r="L652" s="3"/>
      <c r="M652" s="4"/>
      <c r="N652" s="4"/>
      <c r="O652" s="4"/>
      <c r="P652" s="4"/>
      <c r="Q652" s="3"/>
      <c r="R652" s="4"/>
      <c r="S652" s="4"/>
      <c r="T652" s="4"/>
      <c r="U652" s="3"/>
      <c r="V652" s="4"/>
      <c r="W652" s="3"/>
      <c r="X652" s="3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57"/>
      <c r="D653" s="4"/>
      <c r="E653" s="4"/>
      <c r="F653" s="4"/>
      <c r="G653" s="4"/>
      <c r="H653" s="3"/>
      <c r="I653" s="4"/>
      <c r="J653" s="4"/>
      <c r="K653" s="3"/>
      <c r="L653" s="3"/>
      <c r="M653" s="4"/>
      <c r="N653" s="4"/>
      <c r="O653" s="4"/>
      <c r="P653" s="4"/>
      <c r="Q653" s="3"/>
      <c r="R653" s="4"/>
      <c r="S653" s="4"/>
      <c r="T653" s="4"/>
      <c r="U653" s="3"/>
      <c r="V653" s="4"/>
      <c r="W653" s="3"/>
      <c r="X653" s="3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57"/>
      <c r="D654" s="4"/>
      <c r="E654" s="4"/>
      <c r="F654" s="4"/>
      <c r="G654" s="4"/>
      <c r="H654" s="3"/>
      <c r="I654" s="4"/>
      <c r="J654" s="4"/>
      <c r="K654" s="3"/>
      <c r="L654" s="3"/>
      <c r="M654" s="4"/>
      <c r="N654" s="4"/>
      <c r="O654" s="4"/>
      <c r="P654" s="4"/>
      <c r="Q654" s="3"/>
      <c r="R654" s="4"/>
      <c r="S654" s="4"/>
      <c r="T654" s="4"/>
      <c r="U654" s="3"/>
      <c r="V654" s="4"/>
      <c r="W654" s="3"/>
      <c r="X654" s="3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57"/>
      <c r="D655" s="4"/>
      <c r="E655" s="4"/>
      <c r="F655" s="4"/>
      <c r="G655" s="4"/>
      <c r="H655" s="3"/>
      <c r="I655" s="4"/>
      <c r="J655" s="4"/>
      <c r="K655" s="3"/>
      <c r="L655" s="3"/>
      <c r="M655" s="4"/>
      <c r="N655" s="4"/>
      <c r="O655" s="4"/>
      <c r="P655" s="4"/>
      <c r="Q655" s="3"/>
      <c r="R655" s="4"/>
      <c r="S655" s="4"/>
      <c r="T655" s="4"/>
      <c r="U655" s="3"/>
      <c r="V655" s="4"/>
      <c r="W655" s="3"/>
      <c r="X655" s="3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57"/>
      <c r="D656" s="4"/>
      <c r="E656" s="4"/>
      <c r="F656" s="4"/>
      <c r="G656" s="4"/>
      <c r="H656" s="3"/>
      <c r="I656" s="4"/>
      <c r="J656" s="4"/>
      <c r="K656" s="3"/>
      <c r="L656" s="3"/>
      <c r="M656" s="4"/>
      <c r="N656" s="4"/>
      <c r="O656" s="4"/>
      <c r="P656" s="4"/>
      <c r="Q656" s="3"/>
      <c r="R656" s="4"/>
      <c r="S656" s="4"/>
      <c r="T656" s="4"/>
      <c r="U656" s="3"/>
      <c r="V656" s="4"/>
      <c r="W656" s="3"/>
      <c r="X656" s="3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57"/>
      <c r="D657" s="4"/>
      <c r="E657" s="4"/>
      <c r="F657" s="4"/>
      <c r="G657" s="4"/>
      <c r="H657" s="3"/>
      <c r="I657" s="4"/>
      <c r="J657" s="4"/>
      <c r="K657" s="3"/>
      <c r="L657" s="3"/>
      <c r="M657" s="4"/>
      <c r="N657" s="4"/>
      <c r="O657" s="4"/>
      <c r="P657" s="4"/>
      <c r="Q657" s="3"/>
      <c r="R657" s="4"/>
      <c r="S657" s="4"/>
      <c r="T657" s="4"/>
      <c r="U657" s="3"/>
      <c r="V657" s="4"/>
      <c r="W657" s="3"/>
      <c r="X657" s="3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57"/>
      <c r="D658" s="4"/>
      <c r="E658" s="4"/>
      <c r="F658" s="4"/>
      <c r="G658" s="4"/>
      <c r="H658" s="3"/>
      <c r="I658" s="4"/>
      <c r="J658" s="4"/>
      <c r="K658" s="3"/>
      <c r="L658" s="3"/>
      <c r="M658" s="4"/>
      <c r="N658" s="4"/>
      <c r="O658" s="4"/>
      <c r="P658" s="4"/>
      <c r="Q658" s="3"/>
      <c r="R658" s="4"/>
      <c r="S658" s="4"/>
      <c r="T658" s="4"/>
      <c r="U658" s="3"/>
      <c r="V658" s="4"/>
      <c r="W658" s="3"/>
      <c r="X658" s="3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57"/>
      <c r="D659" s="4"/>
      <c r="E659" s="4"/>
      <c r="F659" s="4"/>
      <c r="G659" s="4"/>
      <c r="H659" s="3"/>
      <c r="I659" s="4"/>
      <c r="J659" s="4"/>
      <c r="K659" s="3"/>
      <c r="L659" s="3"/>
      <c r="M659" s="4"/>
      <c r="N659" s="4"/>
      <c r="O659" s="4"/>
      <c r="P659" s="4"/>
      <c r="Q659" s="3"/>
      <c r="R659" s="4"/>
      <c r="S659" s="4"/>
      <c r="T659" s="4"/>
      <c r="U659" s="3"/>
      <c r="V659" s="4"/>
      <c r="W659" s="3"/>
      <c r="X659" s="3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57"/>
      <c r="D660" s="4"/>
      <c r="E660" s="4"/>
      <c r="F660" s="4"/>
      <c r="G660" s="4"/>
      <c r="H660" s="3"/>
      <c r="I660" s="4"/>
      <c r="J660" s="4"/>
      <c r="K660" s="3"/>
      <c r="L660" s="3"/>
      <c r="M660" s="4"/>
      <c r="N660" s="4"/>
      <c r="O660" s="4"/>
      <c r="P660" s="4"/>
      <c r="Q660" s="3"/>
      <c r="R660" s="4"/>
      <c r="S660" s="4"/>
      <c r="T660" s="4"/>
      <c r="U660" s="3"/>
      <c r="V660" s="4"/>
      <c r="W660" s="3"/>
      <c r="X660" s="3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57"/>
      <c r="D661" s="4"/>
      <c r="E661" s="4"/>
      <c r="F661" s="4"/>
      <c r="G661" s="4"/>
      <c r="H661" s="3"/>
      <c r="I661" s="4"/>
      <c r="J661" s="4"/>
      <c r="K661" s="3"/>
      <c r="L661" s="3"/>
      <c r="M661" s="4"/>
      <c r="N661" s="4"/>
      <c r="O661" s="4"/>
      <c r="P661" s="4"/>
      <c r="Q661" s="3"/>
      <c r="R661" s="4"/>
      <c r="S661" s="4"/>
      <c r="T661" s="4"/>
      <c r="U661" s="3"/>
      <c r="V661" s="4"/>
      <c r="W661" s="3"/>
      <c r="X661" s="3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57"/>
      <c r="D662" s="4"/>
      <c r="E662" s="4"/>
      <c r="F662" s="4"/>
      <c r="G662" s="4"/>
      <c r="H662" s="3"/>
      <c r="I662" s="4"/>
      <c r="J662" s="4"/>
      <c r="K662" s="3"/>
      <c r="L662" s="3"/>
      <c r="M662" s="4"/>
      <c r="N662" s="4"/>
      <c r="O662" s="4"/>
      <c r="P662" s="4"/>
      <c r="Q662" s="3"/>
      <c r="R662" s="4"/>
      <c r="S662" s="4"/>
      <c r="T662" s="4"/>
      <c r="U662" s="3"/>
      <c r="V662" s="4"/>
      <c r="W662" s="3"/>
      <c r="X662" s="3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57"/>
      <c r="D663" s="4"/>
      <c r="E663" s="4"/>
      <c r="F663" s="4"/>
      <c r="G663" s="4"/>
      <c r="H663" s="3"/>
      <c r="I663" s="4"/>
      <c r="J663" s="4"/>
      <c r="K663" s="3"/>
      <c r="L663" s="3"/>
      <c r="M663" s="4"/>
      <c r="N663" s="4"/>
      <c r="O663" s="4"/>
      <c r="P663" s="4"/>
      <c r="Q663" s="3"/>
      <c r="R663" s="4"/>
      <c r="S663" s="4"/>
      <c r="T663" s="4"/>
      <c r="U663" s="3"/>
      <c r="V663" s="4"/>
      <c r="W663" s="3"/>
      <c r="X663" s="3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57"/>
      <c r="D664" s="4"/>
      <c r="E664" s="4"/>
      <c r="F664" s="4"/>
      <c r="G664" s="4"/>
      <c r="H664" s="3"/>
      <c r="I664" s="4"/>
      <c r="J664" s="4"/>
      <c r="K664" s="3"/>
      <c r="L664" s="3"/>
      <c r="M664" s="4"/>
      <c r="N664" s="4"/>
      <c r="O664" s="4"/>
      <c r="P664" s="4"/>
      <c r="Q664" s="3"/>
      <c r="R664" s="4"/>
      <c r="S664" s="4"/>
      <c r="T664" s="4"/>
      <c r="U664" s="3"/>
      <c r="V664" s="4"/>
      <c r="W664" s="3"/>
      <c r="X664" s="3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57"/>
      <c r="D665" s="4"/>
      <c r="E665" s="4"/>
      <c r="F665" s="4"/>
      <c r="G665" s="4"/>
      <c r="H665" s="3"/>
      <c r="I665" s="4"/>
      <c r="J665" s="4"/>
      <c r="K665" s="3"/>
      <c r="L665" s="3"/>
      <c r="M665" s="4"/>
      <c r="N665" s="4"/>
      <c r="O665" s="4"/>
      <c r="P665" s="4"/>
      <c r="Q665" s="3"/>
      <c r="R665" s="4"/>
      <c r="S665" s="4"/>
      <c r="T665" s="4"/>
      <c r="U665" s="3"/>
      <c r="V665" s="4"/>
      <c r="W665" s="3"/>
      <c r="X665" s="3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57"/>
      <c r="D666" s="4"/>
      <c r="E666" s="4"/>
      <c r="F666" s="4"/>
      <c r="G666" s="4"/>
      <c r="H666" s="3"/>
      <c r="I666" s="4"/>
      <c r="J666" s="4"/>
      <c r="K666" s="3"/>
      <c r="L666" s="3"/>
      <c r="M666" s="4"/>
      <c r="N666" s="4"/>
      <c r="O666" s="4"/>
      <c r="P666" s="4"/>
      <c r="Q666" s="3"/>
      <c r="R666" s="4"/>
      <c r="S666" s="4"/>
      <c r="T666" s="4"/>
      <c r="U666" s="3"/>
      <c r="V666" s="4"/>
      <c r="W666" s="3"/>
      <c r="X666" s="3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57"/>
      <c r="D667" s="4"/>
      <c r="E667" s="4"/>
      <c r="F667" s="4"/>
      <c r="G667" s="4"/>
      <c r="H667" s="3"/>
      <c r="I667" s="4"/>
      <c r="J667" s="4"/>
      <c r="K667" s="3"/>
      <c r="L667" s="3"/>
      <c r="M667" s="4"/>
      <c r="N667" s="4"/>
      <c r="O667" s="4"/>
      <c r="P667" s="4"/>
      <c r="Q667" s="3"/>
      <c r="R667" s="4"/>
      <c r="S667" s="4"/>
      <c r="T667" s="4"/>
      <c r="U667" s="3"/>
      <c r="V667" s="4"/>
      <c r="W667" s="3"/>
      <c r="X667" s="3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57"/>
      <c r="D668" s="4"/>
      <c r="E668" s="4"/>
      <c r="F668" s="4"/>
      <c r="G668" s="4"/>
      <c r="H668" s="3"/>
      <c r="I668" s="4"/>
      <c r="J668" s="4"/>
      <c r="K668" s="3"/>
      <c r="L668" s="3"/>
      <c r="M668" s="4"/>
      <c r="N668" s="4"/>
      <c r="O668" s="4"/>
      <c r="P668" s="4"/>
      <c r="Q668" s="3"/>
      <c r="R668" s="4"/>
      <c r="S668" s="4"/>
      <c r="T668" s="4"/>
      <c r="U668" s="3"/>
      <c r="V668" s="4"/>
      <c r="W668" s="3"/>
      <c r="X668" s="3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57"/>
      <c r="D669" s="4"/>
      <c r="E669" s="4"/>
      <c r="F669" s="4"/>
      <c r="G669" s="4"/>
      <c r="H669" s="3"/>
      <c r="I669" s="4"/>
      <c r="J669" s="4"/>
      <c r="K669" s="3"/>
      <c r="L669" s="3"/>
      <c r="M669" s="4"/>
      <c r="N669" s="4"/>
      <c r="O669" s="4"/>
      <c r="P669" s="4"/>
      <c r="Q669" s="3"/>
      <c r="R669" s="4"/>
      <c r="S669" s="4"/>
      <c r="T669" s="4"/>
      <c r="U669" s="3"/>
      <c r="V669" s="4"/>
      <c r="W669" s="3"/>
      <c r="X669" s="3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57"/>
      <c r="D670" s="4"/>
      <c r="E670" s="4"/>
      <c r="F670" s="4"/>
      <c r="G670" s="4"/>
      <c r="H670" s="3"/>
      <c r="I670" s="4"/>
      <c r="J670" s="4"/>
      <c r="K670" s="3"/>
      <c r="L670" s="3"/>
      <c r="M670" s="4"/>
      <c r="N670" s="4"/>
      <c r="O670" s="4"/>
      <c r="P670" s="4"/>
      <c r="Q670" s="3"/>
      <c r="R670" s="4"/>
      <c r="S670" s="4"/>
      <c r="T670" s="4"/>
      <c r="U670" s="3"/>
      <c r="V670" s="4"/>
      <c r="W670" s="3"/>
      <c r="X670" s="3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57"/>
      <c r="D671" s="4"/>
      <c r="E671" s="4"/>
      <c r="F671" s="4"/>
      <c r="G671" s="4"/>
      <c r="H671" s="3"/>
      <c r="I671" s="4"/>
      <c r="J671" s="4"/>
      <c r="K671" s="3"/>
      <c r="L671" s="3"/>
      <c r="M671" s="4"/>
      <c r="N671" s="4"/>
      <c r="O671" s="4"/>
      <c r="P671" s="4"/>
      <c r="Q671" s="3"/>
      <c r="R671" s="4"/>
      <c r="S671" s="4"/>
      <c r="T671" s="4"/>
      <c r="U671" s="3"/>
      <c r="V671" s="4"/>
      <c r="W671" s="3"/>
      <c r="X671" s="3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57"/>
      <c r="D672" s="4"/>
      <c r="E672" s="4"/>
      <c r="F672" s="4"/>
      <c r="G672" s="4"/>
      <c r="H672" s="3"/>
      <c r="I672" s="4"/>
      <c r="J672" s="4"/>
      <c r="K672" s="3"/>
      <c r="L672" s="3"/>
      <c r="M672" s="4"/>
      <c r="N672" s="4"/>
      <c r="O672" s="4"/>
      <c r="P672" s="4"/>
      <c r="Q672" s="3"/>
      <c r="R672" s="4"/>
      <c r="S672" s="4"/>
      <c r="T672" s="4"/>
      <c r="U672" s="3"/>
      <c r="V672" s="4"/>
      <c r="W672" s="3"/>
      <c r="X672" s="3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57"/>
      <c r="D673" s="4"/>
      <c r="E673" s="4"/>
      <c r="F673" s="4"/>
      <c r="G673" s="4"/>
      <c r="H673" s="3"/>
      <c r="I673" s="4"/>
      <c r="J673" s="4"/>
      <c r="K673" s="3"/>
      <c r="L673" s="3"/>
      <c r="M673" s="4"/>
      <c r="N673" s="4"/>
      <c r="O673" s="4"/>
      <c r="P673" s="4"/>
      <c r="Q673" s="3"/>
      <c r="R673" s="4"/>
      <c r="S673" s="4"/>
      <c r="T673" s="4"/>
      <c r="U673" s="3"/>
      <c r="V673" s="4"/>
      <c r="W673" s="3"/>
      <c r="X673" s="3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57"/>
      <c r="D674" s="4"/>
      <c r="E674" s="4"/>
      <c r="F674" s="4"/>
      <c r="G674" s="4"/>
      <c r="H674" s="3"/>
      <c r="I674" s="4"/>
      <c r="J674" s="4"/>
      <c r="K674" s="3"/>
      <c r="L674" s="3"/>
      <c r="M674" s="4"/>
      <c r="N674" s="4"/>
      <c r="O674" s="4"/>
      <c r="P674" s="4"/>
      <c r="Q674" s="3"/>
      <c r="R674" s="4"/>
      <c r="S674" s="4"/>
      <c r="T674" s="4"/>
      <c r="U674" s="3"/>
      <c r="V674" s="4"/>
      <c r="W674" s="3"/>
      <c r="X674" s="3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57"/>
      <c r="D675" s="4"/>
      <c r="E675" s="4"/>
      <c r="F675" s="4"/>
      <c r="G675" s="4"/>
      <c r="H675" s="3"/>
      <c r="I675" s="4"/>
      <c r="J675" s="4"/>
      <c r="K675" s="3"/>
      <c r="L675" s="3"/>
      <c r="M675" s="4"/>
      <c r="N675" s="4"/>
      <c r="O675" s="4"/>
      <c r="P675" s="4"/>
      <c r="Q675" s="3"/>
      <c r="R675" s="4"/>
      <c r="S675" s="4"/>
      <c r="T675" s="4"/>
      <c r="U675" s="3"/>
      <c r="V675" s="4"/>
      <c r="W675" s="3"/>
      <c r="X675" s="3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57"/>
      <c r="D676" s="4"/>
      <c r="E676" s="4"/>
      <c r="F676" s="4"/>
      <c r="G676" s="4"/>
      <c r="H676" s="3"/>
      <c r="I676" s="4"/>
      <c r="J676" s="4"/>
      <c r="K676" s="3"/>
      <c r="L676" s="3"/>
      <c r="M676" s="4"/>
      <c r="N676" s="4"/>
      <c r="O676" s="4"/>
      <c r="P676" s="4"/>
      <c r="Q676" s="3"/>
      <c r="R676" s="4"/>
      <c r="S676" s="4"/>
      <c r="T676" s="4"/>
      <c r="U676" s="3"/>
      <c r="V676" s="4"/>
      <c r="W676" s="3"/>
      <c r="X676" s="3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57"/>
      <c r="D677" s="4"/>
      <c r="E677" s="4"/>
      <c r="F677" s="4"/>
      <c r="G677" s="4"/>
      <c r="H677" s="3"/>
      <c r="I677" s="4"/>
      <c r="J677" s="4"/>
      <c r="K677" s="3"/>
      <c r="L677" s="3"/>
      <c r="M677" s="4"/>
      <c r="N677" s="4"/>
      <c r="O677" s="4"/>
      <c r="P677" s="4"/>
      <c r="Q677" s="3"/>
      <c r="R677" s="4"/>
      <c r="S677" s="4"/>
      <c r="T677" s="4"/>
      <c r="U677" s="3"/>
      <c r="V677" s="4"/>
      <c r="W677" s="3"/>
      <c r="X677" s="3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57"/>
      <c r="D678" s="4"/>
      <c r="E678" s="4"/>
      <c r="F678" s="4"/>
      <c r="G678" s="4"/>
      <c r="H678" s="3"/>
      <c r="I678" s="4"/>
      <c r="J678" s="4"/>
      <c r="K678" s="3"/>
      <c r="L678" s="3"/>
      <c r="M678" s="4"/>
      <c r="N678" s="4"/>
      <c r="O678" s="4"/>
      <c r="P678" s="4"/>
      <c r="Q678" s="3"/>
      <c r="R678" s="4"/>
      <c r="S678" s="4"/>
      <c r="T678" s="4"/>
      <c r="U678" s="3"/>
      <c r="V678" s="4"/>
      <c r="W678" s="3"/>
      <c r="X678" s="3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57"/>
      <c r="D679" s="4"/>
      <c r="E679" s="4"/>
      <c r="F679" s="4"/>
      <c r="G679" s="4"/>
      <c r="H679" s="3"/>
      <c r="I679" s="4"/>
      <c r="J679" s="4"/>
      <c r="K679" s="3"/>
      <c r="L679" s="3"/>
      <c r="M679" s="4"/>
      <c r="N679" s="4"/>
      <c r="O679" s="4"/>
      <c r="P679" s="4"/>
      <c r="Q679" s="3"/>
      <c r="R679" s="4"/>
      <c r="S679" s="4"/>
      <c r="T679" s="4"/>
      <c r="U679" s="3"/>
      <c r="V679" s="4"/>
      <c r="W679" s="3"/>
      <c r="X679" s="3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57"/>
      <c r="D680" s="4"/>
      <c r="E680" s="4"/>
      <c r="F680" s="4"/>
      <c r="G680" s="4"/>
      <c r="H680" s="3"/>
      <c r="I680" s="4"/>
      <c r="J680" s="4"/>
      <c r="K680" s="3"/>
      <c r="L680" s="3"/>
      <c r="M680" s="4"/>
      <c r="N680" s="4"/>
      <c r="O680" s="4"/>
      <c r="P680" s="4"/>
      <c r="Q680" s="3"/>
      <c r="R680" s="4"/>
      <c r="S680" s="4"/>
      <c r="T680" s="4"/>
      <c r="U680" s="3"/>
      <c r="V680" s="4"/>
      <c r="W680" s="3"/>
      <c r="X680" s="3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57"/>
      <c r="D681" s="4"/>
      <c r="E681" s="4"/>
      <c r="F681" s="4"/>
      <c r="G681" s="4"/>
      <c r="H681" s="3"/>
      <c r="I681" s="4"/>
      <c r="J681" s="4"/>
      <c r="K681" s="3"/>
      <c r="L681" s="3"/>
      <c r="M681" s="4"/>
      <c r="N681" s="4"/>
      <c r="O681" s="4"/>
      <c r="P681" s="4"/>
      <c r="Q681" s="3"/>
      <c r="R681" s="4"/>
      <c r="S681" s="4"/>
      <c r="T681" s="4"/>
      <c r="U681" s="3"/>
      <c r="V681" s="4"/>
      <c r="W681" s="3"/>
      <c r="X681" s="3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57"/>
      <c r="D682" s="4"/>
      <c r="E682" s="4"/>
      <c r="F682" s="4"/>
      <c r="G682" s="4"/>
      <c r="H682" s="3"/>
      <c r="I682" s="4"/>
      <c r="J682" s="4"/>
      <c r="K682" s="3"/>
      <c r="L682" s="3"/>
      <c r="M682" s="4"/>
      <c r="N682" s="4"/>
      <c r="O682" s="4"/>
      <c r="P682" s="4"/>
      <c r="Q682" s="3"/>
      <c r="R682" s="4"/>
      <c r="S682" s="4"/>
      <c r="T682" s="4"/>
      <c r="U682" s="3"/>
      <c r="V682" s="4"/>
      <c r="W682" s="3"/>
      <c r="X682" s="3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57"/>
      <c r="D683" s="4"/>
      <c r="E683" s="4"/>
      <c r="F683" s="4"/>
      <c r="G683" s="4"/>
      <c r="H683" s="3"/>
      <c r="I683" s="4"/>
      <c r="J683" s="4"/>
      <c r="K683" s="3"/>
      <c r="L683" s="3"/>
      <c r="M683" s="4"/>
      <c r="N683" s="4"/>
      <c r="O683" s="4"/>
      <c r="P683" s="4"/>
      <c r="Q683" s="3"/>
      <c r="R683" s="4"/>
      <c r="S683" s="4"/>
      <c r="T683" s="4"/>
      <c r="U683" s="3"/>
      <c r="V683" s="4"/>
      <c r="W683" s="3"/>
      <c r="X683" s="3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57"/>
      <c r="D684" s="4"/>
      <c r="E684" s="4"/>
      <c r="F684" s="4"/>
      <c r="G684" s="4"/>
      <c r="H684" s="3"/>
      <c r="I684" s="4"/>
      <c r="J684" s="4"/>
      <c r="K684" s="3"/>
      <c r="L684" s="3"/>
      <c r="M684" s="4"/>
      <c r="N684" s="4"/>
      <c r="O684" s="4"/>
      <c r="P684" s="4"/>
      <c r="Q684" s="3"/>
      <c r="R684" s="4"/>
      <c r="S684" s="4"/>
      <c r="T684" s="4"/>
      <c r="U684" s="3"/>
      <c r="V684" s="4"/>
      <c r="W684" s="3"/>
      <c r="X684" s="3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57"/>
      <c r="D685" s="4"/>
      <c r="E685" s="4"/>
      <c r="F685" s="4"/>
      <c r="G685" s="4"/>
      <c r="H685" s="3"/>
      <c r="I685" s="4"/>
      <c r="J685" s="4"/>
      <c r="K685" s="3"/>
      <c r="L685" s="3"/>
      <c r="M685" s="4"/>
      <c r="N685" s="4"/>
      <c r="O685" s="4"/>
      <c r="P685" s="4"/>
      <c r="Q685" s="3"/>
      <c r="R685" s="4"/>
      <c r="S685" s="4"/>
      <c r="T685" s="4"/>
      <c r="U685" s="3"/>
      <c r="V685" s="4"/>
      <c r="W685" s="3"/>
      <c r="X685" s="3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57"/>
      <c r="D686" s="4"/>
      <c r="E686" s="4"/>
      <c r="F686" s="4"/>
      <c r="G686" s="4"/>
      <c r="H686" s="3"/>
      <c r="I686" s="4"/>
      <c r="J686" s="4"/>
      <c r="K686" s="3"/>
      <c r="L686" s="3"/>
      <c r="M686" s="4"/>
      <c r="N686" s="4"/>
      <c r="O686" s="4"/>
      <c r="P686" s="4"/>
      <c r="Q686" s="3"/>
      <c r="R686" s="4"/>
      <c r="S686" s="4"/>
      <c r="T686" s="4"/>
      <c r="U686" s="3"/>
      <c r="V686" s="4"/>
      <c r="W686" s="3"/>
      <c r="X686" s="3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57"/>
      <c r="D687" s="4"/>
      <c r="E687" s="4"/>
      <c r="F687" s="4"/>
      <c r="G687" s="4"/>
      <c r="H687" s="3"/>
      <c r="I687" s="4"/>
      <c r="J687" s="4"/>
      <c r="K687" s="3"/>
      <c r="L687" s="3"/>
      <c r="M687" s="4"/>
      <c r="N687" s="4"/>
      <c r="O687" s="4"/>
      <c r="P687" s="4"/>
      <c r="Q687" s="3"/>
      <c r="R687" s="4"/>
      <c r="S687" s="4"/>
      <c r="T687" s="4"/>
      <c r="U687" s="3"/>
      <c r="V687" s="4"/>
      <c r="W687" s="3"/>
      <c r="X687" s="3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57"/>
      <c r="D688" s="4"/>
      <c r="E688" s="4"/>
      <c r="F688" s="4"/>
      <c r="G688" s="4"/>
      <c r="H688" s="3"/>
      <c r="I688" s="4"/>
      <c r="J688" s="4"/>
      <c r="K688" s="3"/>
      <c r="L688" s="3"/>
      <c r="M688" s="4"/>
      <c r="N688" s="4"/>
      <c r="O688" s="4"/>
      <c r="P688" s="4"/>
      <c r="Q688" s="3"/>
      <c r="R688" s="4"/>
      <c r="S688" s="4"/>
      <c r="T688" s="4"/>
      <c r="U688" s="3"/>
      <c r="V688" s="4"/>
      <c r="W688" s="3"/>
      <c r="X688" s="3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57"/>
      <c r="D689" s="4"/>
      <c r="E689" s="4"/>
      <c r="F689" s="4"/>
      <c r="G689" s="4"/>
      <c r="H689" s="3"/>
      <c r="I689" s="4"/>
      <c r="J689" s="4"/>
      <c r="K689" s="3"/>
      <c r="L689" s="3"/>
      <c r="M689" s="4"/>
      <c r="N689" s="4"/>
      <c r="O689" s="4"/>
      <c r="P689" s="4"/>
      <c r="Q689" s="3"/>
      <c r="R689" s="4"/>
      <c r="S689" s="4"/>
      <c r="T689" s="4"/>
      <c r="U689" s="3"/>
      <c r="V689" s="4"/>
      <c r="W689" s="3"/>
      <c r="X689" s="3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57"/>
      <c r="D690" s="4"/>
      <c r="E690" s="4"/>
      <c r="F690" s="4"/>
      <c r="G690" s="4"/>
      <c r="H690" s="3"/>
      <c r="I690" s="4"/>
      <c r="J690" s="4"/>
      <c r="K690" s="3"/>
      <c r="L690" s="3"/>
      <c r="M690" s="4"/>
      <c r="N690" s="4"/>
      <c r="O690" s="4"/>
      <c r="P690" s="4"/>
      <c r="Q690" s="3"/>
      <c r="R690" s="4"/>
      <c r="S690" s="4"/>
      <c r="T690" s="4"/>
      <c r="U690" s="3"/>
      <c r="V690" s="4"/>
      <c r="W690" s="3"/>
      <c r="X690" s="3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57"/>
      <c r="D691" s="4"/>
      <c r="E691" s="4"/>
      <c r="F691" s="4"/>
      <c r="G691" s="4"/>
      <c r="H691" s="3"/>
      <c r="I691" s="4"/>
      <c r="J691" s="4"/>
      <c r="K691" s="3"/>
      <c r="L691" s="3"/>
      <c r="M691" s="4"/>
      <c r="N691" s="4"/>
      <c r="O691" s="4"/>
      <c r="P691" s="4"/>
      <c r="Q691" s="3"/>
      <c r="R691" s="4"/>
      <c r="S691" s="4"/>
      <c r="T691" s="4"/>
      <c r="U691" s="3"/>
      <c r="V691" s="4"/>
      <c r="W691" s="3"/>
      <c r="X691" s="3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57"/>
      <c r="D692" s="4"/>
      <c r="E692" s="4"/>
      <c r="F692" s="4"/>
      <c r="G692" s="4"/>
      <c r="H692" s="3"/>
      <c r="I692" s="4"/>
      <c r="J692" s="4"/>
      <c r="K692" s="3"/>
      <c r="L692" s="3"/>
      <c r="M692" s="4"/>
      <c r="N692" s="4"/>
      <c r="O692" s="4"/>
      <c r="P692" s="4"/>
      <c r="Q692" s="3"/>
      <c r="R692" s="4"/>
      <c r="S692" s="4"/>
      <c r="T692" s="4"/>
      <c r="U692" s="3"/>
      <c r="V692" s="4"/>
      <c r="W692" s="3"/>
      <c r="X692" s="3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57"/>
      <c r="D693" s="4"/>
      <c r="E693" s="4"/>
      <c r="F693" s="4"/>
      <c r="G693" s="4"/>
      <c r="H693" s="3"/>
      <c r="I693" s="4"/>
      <c r="J693" s="4"/>
      <c r="K693" s="3"/>
      <c r="L693" s="3"/>
      <c r="M693" s="4"/>
      <c r="N693" s="4"/>
      <c r="O693" s="4"/>
      <c r="P693" s="4"/>
      <c r="Q693" s="3"/>
      <c r="R693" s="4"/>
      <c r="S693" s="4"/>
      <c r="T693" s="4"/>
      <c r="U693" s="3"/>
      <c r="V693" s="4"/>
      <c r="W693" s="3"/>
      <c r="X693" s="3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57"/>
      <c r="D694" s="4"/>
      <c r="E694" s="4"/>
      <c r="F694" s="4"/>
      <c r="G694" s="4"/>
      <c r="H694" s="3"/>
      <c r="I694" s="4"/>
      <c r="J694" s="4"/>
      <c r="K694" s="3"/>
      <c r="L694" s="3"/>
      <c r="M694" s="4"/>
      <c r="N694" s="4"/>
      <c r="O694" s="4"/>
      <c r="P694" s="4"/>
      <c r="Q694" s="3"/>
      <c r="R694" s="4"/>
      <c r="S694" s="4"/>
      <c r="T694" s="4"/>
      <c r="U694" s="3"/>
      <c r="V694" s="4"/>
      <c r="W694" s="3"/>
      <c r="X694" s="3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57"/>
      <c r="D695" s="4"/>
      <c r="E695" s="4"/>
      <c r="F695" s="4"/>
      <c r="G695" s="4"/>
      <c r="H695" s="3"/>
      <c r="I695" s="4"/>
      <c r="J695" s="4"/>
      <c r="K695" s="3"/>
      <c r="L695" s="3"/>
      <c r="M695" s="4"/>
      <c r="N695" s="4"/>
      <c r="O695" s="4"/>
      <c r="P695" s="4"/>
      <c r="Q695" s="3"/>
      <c r="R695" s="4"/>
      <c r="S695" s="4"/>
      <c r="T695" s="4"/>
      <c r="U695" s="3"/>
      <c r="V695" s="4"/>
      <c r="W695" s="3"/>
      <c r="X695" s="3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57"/>
      <c r="D696" s="4"/>
      <c r="E696" s="4"/>
      <c r="F696" s="4"/>
      <c r="G696" s="4"/>
      <c r="H696" s="3"/>
      <c r="I696" s="4"/>
      <c r="J696" s="4"/>
      <c r="K696" s="3"/>
      <c r="L696" s="3"/>
      <c r="M696" s="4"/>
      <c r="N696" s="4"/>
      <c r="O696" s="4"/>
      <c r="P696" s="4"/>
      <c r="Q696" s="3"/>
      <c r="R696" s="4"/>
      <c r="S696" s="4"/>
      <c r="T696" s="4"/>
      <c r="U696" s="3"/>
      <c r="V696" s="4"/>
      <c r="W696" s="3"/>
      <c r="X696" s="3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57"/>
      <c r="D697" s="4"/>
      <c r="E697" s="4"/>
      <c r="F697" s="4"/>
      <c r="G697" s="4"/>
      <c r="H697" s="3"/>
      <c r="I697" s="4"/>
      <c r="J697" s="4"/>
      <c r="K697" s="3"/>
      <c r="L697" s="3"/>
      <c r="M697" s="4"/>
      <c r="N697" s="4"/>
      <c r="O697" s="4"/>
      <c r="P697" s="4"/>
      <c r="Q697" s="3"/>
      <c r="R697" s="4"/>
      <c r="S697" s="4"/>
      <c r="T697" s="4"/>
      <c r="U697" s="3"/>
      <c r="V697" s="4"/>
      <c r="W697" s="3"/>
      <c r="X697" s="3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57"/>
      <c r="D698" s="4"/>
      <c r="E698" s="4"/>
      <c r="F698" s="4"/>
      <c r="G698" s="4"/>
      <c r="H698" s="3"/>
      <c r="I698" s="4"/>
      <c r="J698" s="4"/>
      <c r="K698" s="3"/>
      <c r="L698" s="3"/>
      <c r="M698" s="4"/>
      <c r="N698" s="4"/>
      <c r="O698" s="4"/>
      <c r="P698" s="4"/>
      <c r="Q698" s="3"/>
      <c r="R698" s="4"/>
      <c r="S698" s="4"/>
      <c r="T698" s="4"/>
      <c r="U698" s="3"/>
      <c r="V698" s="4"/>
      <c r="W698" s="3"/>
      <c r="X698" s="3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57"/>
      <c r="D699" s="4"/>
      <c r="E699" s="4"/>
      <c r="F699" s="4"/>
      <c r="G699" s="4"/>
      <c r="H699" s="3"/>
      <c r="I699" s="4"/>
      <c r="J699" s="4"/>
      <c r="K699" s="3"/>
      <c r="L699" s="3"/>
      <c r="M699" s="4"/>
      <c r="N699" s="4"/>
      <c r="O699" s="4"/>
      <c r="P699" s="4"/>
      <c r="Q699" s="3"/>
      <c r="R699" s="4"/>
      <c r="S699" s="4"/>
      <c r="T699" s="4"/>
      <c r="U699" s="3"/>
      <c r="V699" s="4"/>
      <c r="W699" s="3"/>
      <c r="X699" s="3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57"/>
      <c r="D700" s="4"/>
      <c r="E700" s="4"/>
      <c r="F700" s="4"/>
      <c r="G700" s="4"/>
      <c r="H700" s="3"/>
      <c r="I700" s="4"/>
      <c r="J700" s="4"/>
      <c r="K700" s="3"/>
      <c r="L700" s="3"/>
      <c r="M700" s="4"/>
      <c r="N700" s="4"/>
      <c r="O700" s="4"/>
      <c r="P700" s="4"/>
      <c r="Q700" s="3"/>
      <c r="R700" s="4"/>
      <c r="S700" s="4"/>
      <c r="T700" s="4"/>
      <c r="U700" s="3"/>
      <c r="V700" s="4"/>
      <c r="W700" s="3"/>
      <c r="X700" s="3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57"/>
      <c r="D701" s="4"/>
      <c r="E701" s="4"/>
      <c r="F701" s="4"/>
      <c r="G701" s="4"/>
      <c r="H701" s="3"/>
      <c r="I701" s="4"/>
      <c r="J701" s="4"/>
      <c r="K701" s="3"/>
      <c r="L701" s="3"/>
      <c r="M701" s="4"/>
      <c r="N701" s="4"/>
      <c r="O701" s="4"/>
      <c r="P701" s="4"/>
      <c r="Q701" s="3"/>
      <c r="R701" s="4"/>
      <c r="S701" s="4"/>
      <c r="T701" s="4"/>
      <c r="U701" s="3"/>
      <c r="V701" s="4"/>
      <c r="W701" s="3"/>
      <c r="X701" s="3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57"/>
      <c r="D702" s="4"/>
      <c r="E702" s="4"/>
      <c r="F702" s="4"/>
      <c r="G702" s="4"/>
      <c r="H702" s="3"/>
      <c r="I702" s="4"/>
      <c r="J702" s="4"/>
      <c r="K702" s="3"/>
      <c r="L702" s="3"/>
      <c r="M702" s="4"/>
      <c r="N702" s="4"/>
      <c r="O702" s="4"/>
      <c r="P702" s="4"/>
      <c r="Q702" s="3"/>
      <c r="R702" s="4"/>
      <c r="S702" s="4"/>
      <c r="T702" s="4"/>
      <c r="U702" s="3"/>
      <c r="V702" s="4"/>
      <c r="W702" s="3"/>
      <c r="X702" s="3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57"/>
      <c r="D703" s="4"/>
      <c r="E703" s="4"/>
      <c r="F703" s="4"/>
      <c r="G703" s="4"/>
      <c r="H703" s="3"/>
      <c r="I703" s="4"/>
      <c r="J703" s="4"/>
      <c r="K703" s="3"/>
      <c r="L703" s="3"/>
      <c r="M703" s="4"/>
      <c r="N703" s="4"/>
      <c r="O703" s="4"/>
      <c r="P703" s="4"/>
      <c r="Q703" s="3"/>
      <c r="R703" s="4"/>
      <c r="S703" s="4"/>
      <c r="T703" s="4"/>
      <c r="U703" s="3"/>
      <c r="V703" s="4"/>
      <c r="W703" s="3"/>
      <c r="X703" s="3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57"/>
      <c r="D704" s="4"/>
      <c r="E704" s="4"/>
      <c r="F704" s="4"/>
      <c r="G704" s="4"/>
      <c r="H704" s="3"/>
      <c r="I704" s="4"/>
      <c r="J704" s="4"/>
      <c r="K704" s="3"/>
      <c r="L704" s="3"/>
      <c r="M704" s="4"/>
      <c r="N704" s="4"/>
      <c r="O704" s="4"/>
      <c r="P704" s="4"/>
      <c r="Q704" s="3"/>
      <c r="R704" s="4"/>
      <c r="S704" s="4"/>
      <c r="T704" s="4"/>
      <c r="U704" s="3"/>
      <c r="V704" s="4"/>
      <c r="W704" s="3"/>
      <c r="X704" s="3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57"/>
      <c r="D705" s="4"/>
      <c r="E705" s="4"/>
      <c r="F705" s="4"/>
      <c r="G705" s="4"/>
      <c r="H705" s="3"/>
      <c r="I705" s="4"/>
      <c r="J705" s="4"/>
      <c r="K705" s="3"/>
      <c r="L705" s="3"/>
      <c r="M705" s="4"/>
      <c r="N705" s="4"/>
      <c r="O705" s="4"/>
      <c r="P705" s="4"/>
      <c r="Q705" s="3"/>
      <c r="R705" s="4"/>
      <c r="S705" s="4"/>
      <c r="T705" s="4"/>
      <c r="U705" s="3"/>
      <c r="V705" s="4"/>
      <c r="W705" s="3"/>
      <c r="X705" s="3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57"/>
      <c r="D706" s="4"/>
      <c r="E706" s="4"/>
      <c r="F706" s="4"/>
      <c r="G706" s="4"/>
      <c r="H706" s="3"/>
      <c r="I706" s="4"/>
      <c r="J706" s="4"/>
      <c r="K706" s="3"/>
      <c r="L706" s="3"/>
      <c r="M706" s="4"/>
      <c r="N706" s="4"/>
      <c r="O706" s="4"/>
      <c r="P706" s="4"/>
      <c r="Q706" s="3"/>
      <c r="R706" s="4"/>
      <c r="S706" s="4"/>
      <c r="T706" s="4"/>
      <c r="U706" s="3"/>
      <c r="V706" s="4"/>
      <c r="W706" s="3"/>
      <c r="X706" s="3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57"/>
      <c r="D707" s="4"/>
      <c r="E707" s="4"/>
      <c r="F707" s="4"/>
      <c r="G707" s="4"/>
      <c r="H707" s="3"/>
      <c r="I707" s="4"/>
      <c r="J707" s="4"/>
      <c r="K707" s="3"/>
      <c r="L707" s="3"/>
      <c r="M707" s="4"/>
      <c r="N707" s="4"/>
      <c r="O707" s="4"/>
      <c r="P707" s="4"/>
      <c r="Q707" s="3"/>
      <c r="R707" s="4"/>
      <c r="S707" s="4"/>
      <c r="T707" s="4"/>
      <c r="U707" s="3"/>
      <c r="V707" s="4"/>
      <c r="W707" s="3"/>
      <c r="X707" s="3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57"/>
      <c r="D708" s="4"/>
      <c r="E708" s="4"/>
      <c r="F708" s="4"/>
      <c r="G708" s="4"/>
      <c r="H708" s="3"/>
      <c r="I708" s="4"/>
      <c r="J708" s="4"/>
      <c r="K708" s="3"/>
      <c r="L708" s="3"/>
      <c r="M708" s="4"/>
      <c r="N708" s="4"/>
      <c r="O708" s="4"/>
      <c r="P708" s="4"/>
      <c r="Q708" s="3"/>
      <c r="R708" s="4"/>
      <c r="S708" s="4"/>
      <c r="T708" s="4"/>
      <c r="U708" s="3"/>
      <c r="V708" s="4"/>
      <c r="W708" s="3"/>
      <c r="X708" s="3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57"/>
      <c r="D709" s="4"/>
      <c r="E709" s="4"/>
      <c r="F709" s="4"/>
      <c r="G709" s="4"/>
      <c r="H709" s="3"/>
      <c r="I709" s="4"/>
      <c r="J709" s="4"/>
      <c r="K709" s="3"/>
      <c r="L709" s="3"/>
      <c r="M709" s="4"/>
      <c r="N709" s="4"/>
      <c r="O709" s="4"/>
      <c r="P709" s="4"/>
      <c r="Q709" s="3"/>
      <c r="R709" s="4"/>
      <c r="S709" s="4"/>
      <c r="T709" s="4"/>
      <c r="U709" s="3"/>
      <c r="V709" s="4"/>
      <c r="W709" s="3"/>
      <c r="X709" s="3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57"/>
      <c r="D710" s="4"/>
      <c r="E710" s="4"/>
      <c r="F710" s="4"/>
      <c r="G710" s="4"/>
      <c r="H710" s="3"/>
      <c r="I710" s="4"/>
      <c r="J710" s="4"/>
      <c r="K710" s="3"/>
      <c r="L710" s="3"/>
      <c r="M710" s="4"/>
      <c r="N710" s="4"/>
      <c r="O710" s="4"/>
      <c r="P710" s="4"/>
      <c r="Q710" s="3"/>
      <c r="R710" s="4"/>
      <c r="S710" s="4"/>
      <c r="T710" s="4"/>
      <c r="U710" s="3"/>
      <c r="V710" s="4"/>
      <c r="W710" s="3"/>
      <c r="X710" s="3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57"/>
      <c r="D711" s="4"/>
      <c r="E711" s="4"/>
      <c r="F711" s="4"/>
      <c r="G711" s="4"/>
      <c r="H711" s="3"/>
      <c r="I711" s="4"/>
      <c r="J711" s="4"/>
      <c r="K711" s="3"/>
      <c r="L711" s="3"/>
      <c r="M711" s="4"/>
      <c r="N711" s="4"/>
      <c r="O711" s="4"/>
      <c r="P711" s="4"/>
      <c r="Q711" s="3"/>
      <c r="R711" s="4"/>
      <c r="S711" s="4"/>
      <c r="T711" s="4"/>
      <c r="U711" s="3"/>
      <c r="V711" s="4"/>
      <c r="W711" s="3"/>
      <c r="X711" s="3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57"/>
      <c r="D712" s="4"/>
      <c r="E712" s="4"/>
      <c r="F712" s="4"/>
      <c r="G712" s="4"/>
      <c r="H712" s="3"/>
      <c r="I712" s="4"/>
      <c r="J712" s="4"/>
      <c r="K712" s="3"/>
      <c r="L712" s="3"/>
      <c r="M712" s="4"/>
      <c r="N712" s="4"/>
      <c r="O712" s="4"/>
      <c r="P712" s="4"/>
      <c r="Q712" s="3"/>
      <c r="R712" s="4"/>
      <c r="S712" s="4"/>
      <c r="T712" s="4"/>
      <c r="U712" s="3"/>
      <c r="V712" s="4"/>
      <c r="W712" s="3"/>
      <c r="X712" s="3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57"/>
      <c r="D713" s="4"/>
      <c r="E713" s="4"/>
      <c r="F713" s="4"/>
      <c r="G713" s="4"/>
      <c r="H713" s="3"/>
      <c r="I713" s="4"/>
      <c r="J713" s="4"/>
      <c r="K713" s="3"/>
      <c r="L713" s="3"/>
      <c r="M713" s="4"/>
      <c r="N713" s="4"/>
      <c r="O713" s="4"/>
      <c r="P713" s="4"/>
      <c r="Q713" s="3"/>
      <c r="R713" s="4"/>
      <c r="S713" s="4"/>
      <c r="T713" s="4"/>
      <c r="U713" s="3"/>
      <c r="V713" s="4"/>
      <c r="W713" s="3"/>
      <c r="X713" s="3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57"/>
      <c r="D714" s="4"/>
      <c r="E714" s="4"/>
      <c r="F714" s="4"/>
      <c r="G714" s="4"/>
      <c r="H714" s="3"/>
      <c r="I714" s="4"/>
      <c r="J714" s="4"/>
      <c r="K714" s="3"/>
      <c r="L714" s="3"/>
      <c r="M714" s="4"/>
      <c r="N714" s="4"/>
      <c r="O714" s="4"/>
      <c r="P714" s="4"/>
      <c r="Q714" s="3"/>
      <c r="R714" s="4"/>
      <c r="S714" s="4"/>
      <c r="T714" s="4"/>
      <c r="U714" s="3"/>
      <c r="V714" s="4"/>
      <c r="W714" s="3"/>
      <c r="X714" s="3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57"/>
      <c r="D715" s="4"/>
      <c r="E715" s="4"/>
      <c r="F715" s="4"/>
      <c r="G715" s="4"/>
      <c r="H715" s="3"/>
      <c r="I715" s="4"/>
      <c r="J715" s="4"/>
      <c r="K715" s="3"/>
      <c r="L715" s="3"/>
      <c r="M715" s="4"/>
      <c r="N715" s="4"/>
      <c r="O715" s="4"/>
      <c r="P715" s="4"/>
      <c r="Q715" s="3"/>
      <c r="R715" s="4"/>
      <c r="S715" s="4"/>
      <c r="T715" s="4"/>
      <c r="U715" s="3"/>
      <c r="V715" s="4"/>
      <c r="W715" s="3"/>
      <c r="X715" s="3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57"/>
      <c r="D716" s="4"/>
      <c r="E716" s="4"/>
      <c r="F716" s="4"/>
      <c r="G716" s="4"/>
      <c r="H716" s="3"/>
      <c r="I716" s="4"/>
      <c r="J716" s="4"/>
      <c r="K716" s="3"/>
      <c r="L716" s="3"/>
      <c r="M716" s="4"/>
      <c r="N716" s="4"/>
      <c r="O716" s="4"/>
      <c r="P716" s="4"/>
      <c r="Q716" s="3"/>
      <c r="R716" s="4"/>
      <c r="S716" s="4"/>
      <c r="T716" s="4"/>
      <c r="U716" s="3"/>
      <c r="V716" s="4"/>
      <c r="W716" s="3"/>
      <c r="X716" s="3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57"/>
      <c r="D717" s="4"/>
      <c r="E717" s="4"/>
      <c r="F717" s="4"/>
      <c r="G717" s="4"/>
      <c r="H717" s="3"/>
      <c r="I717" s="4"/>
      <c r="J717" s="4"/>
      <c r="K717" s="3"/>
      <c r="L717" s="3"/>
      <c r="M717" s="4"/>
      <c r="N717" s="4"/>
      <c r="O717" s="4"/>
      <c r="P717" s="4"/>
      <c r="Q717" s="3"/>
      <c r="R717" s="4"/>
      <c r="S717" s="4"/>
      <c r="T717" s="4"/>
      <c r="U717" s="3"/>
      <c r="V717" s="4"/>
      <c r="W717" s="3"/>
      <c r="X717" s="3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57"/>
      <c r="D718" s="4"/>
      <c r="E718" s="4"/>
      <c r="F718" s="4"/>
      <c r="G718" s="4"/>
      <c r="H718" s="3"/>
      <c r="I718" s="4"/>
      <c r="J718" s="4"/>
      <c r="K718" s="3"/>
      <c r="L718" s="3"/>
      <c r="M718" s="4"/>
      <c r="N718" s="4"/>
      <c r="O718" s="4"/>
      <c r="P718" s="4"/>
      <c r="Q718" s="3"/>
      <c r="R718" s="4"/>
      <c r="S718" s="4"/>
      <c r="T718" s="4"/>
      <c r="U718" s="3"/>
      <c r="V718" s="4"/>
      <c r="W718" s="3"/>
      <c r="X718" s="3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57"/>
      <c r="D719" s="4"/>
      <c r="E719" s="4"/>
      <c r="F719" s="4"/>
      <c r="G719" s="4"/>
      <c r="H719" s="3"/>
      <c r="I719" s="4"/>
      <c r="J719" s="4"/>
      <c r="K719" s="3"/>
      <c r="L719" s="3"/>
      <c r="M719" s="4"/>
      <c r="N719" s="4"/>
      <c r="O719" s="4"/>
      <c r="P719" s="4"/>
      <c r="Q719" s="3"/>
      <c r="R719" s="4"/>
      <c r="S719" s="4"/>
      <c r="T719" s="4"/>
      <c r="U719" s="3"/>
      <c r="V719" s="4"/>
      <c r="W719" s="3"/>
      <c r="X719" s="3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57"/>
      <c r="D720" s="4"/>
      <c r="E720" s="4"/>
      <c r="F720" s="4"/>
      <c r="G720" s="4"/>
      <c r="H720" s="3"/>
      <c r="I720" s="4"/>
      <c r="J720" s="4"/>
      <c r="K720" s="3"/>
      <c r="L720" s="3"/>
      <c r="M720" s="4"/>
      <c r="N720" s="4"/>
      <c r="O720" s="4"/>
      <c r="P720" s="4"/>
      <c r="Q720" s="3"/>
      <c r="R720" s="4"/>
      <c r="S720" s="4"/>
      <c r="T720" s="4"/>
      <c r="U720" s="3"/>
      <c r="V720" s="4"/>
      <c r="W720" s="3"/>
      <c r="X720" s="3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57"/>
      <c r="D721" s="4"/>
      <c r="E721" s="4"/>
      <c r="F721" s="4"/>
      <c r="G721" s="4"/>
      <c r="H721" s="3"/>
      <c r="I721" s="4"/>
      <c r="J721" s="4"/>
      <c r="K721" s="3"/>
      <c r="L721" s="3"/>
      <c r="M721" s="4"/>
      <c r="N721" s="4"/>
      <c r="O721" s="4"/>
      <c r="P721" s="4"/>
      <c r="Q721" s="3"/>
      <c r="R721" s="4"/>
      <c r="S721" s="4"/>
      <c r="T721" s="4"/>
      <c r="U721" s="3"/>
      <c r="V721" s="4"/>
      <c r="W721" s="3"/>
      <c r="X721" s="3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57"/>
      <c r="D722" s="4"/>
      <c r="E722" s="4"/>
      <c r="F722" s="4"/>
      <c r="G722" s="4"/>
      <c r="H722" s="3"/>
      <c r="I722" s="4"/>
      <c r="J722" s="4"/>
      <c r="K722" s="3"/>
      <c r="L722" s="3"/>
      <c r="M722" s="4"/>
      <c r="N722" s="4"/>
      <c r="O722" s="4"/>
      <c r="P722" s="4"/>
      <c r="Q722" s="3"/>
      <c r="R722" s="4"/>
      <c r="S722" s="4"/>
      <c r="T722" s="4"/>
      <c r="U722" s="3"/>
      <c r="V722" s="4"/>
      <c r="W722" s="3"/>
      <c r="X722" s="3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57"/>
      <c r="D723" s="4"/>
      <c r="E723" s="4"/>
      <c r="F723" s="4"/>
      <c r="G723" s="4"/>
      <c r="H723" s="3"/>
      <c r="I723" s="4"/>
      <c r="J723" s="4"/>
      <c r="K723" s="3"/>
      <c r="L723" s="3"/>
      <c r="M723" s="4"/>
      <c r="N723" s="4"/>
      <c r="O723" s="4"/>
      <c r="P723" s="4"/>
      <c r="Q723" s="3"/>
      <c r="R723" s="4"/>
      <c r="S723" s="4"/>
      <c r="T723" s="4"/>
      <c r="U723" s="3"/>
      <c r="V723" s="4"/>
      <c r="W723" s="3"/>
      <c r="X723" s="3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57"/>
      <c r="D724" s="4"/>
      <c r="E724" s="4"/>
      <c r="F724" s="4"/>
      <c r="G724" s="4"/>
      <c r="H724" s="3"/>
      <c r="I724" s="4"/>
      <c r="J724" s="4"/>
      <c r="K724" s="3"/>
      <c r="L724" s="3"/>
      <c r="M724" s="4"/>
      <c r="N724" s="4"/>
      <c r="O724" s="4"/>
      <c r="P724" s="4"/>
      <c r="Q724" s="3"/>
      <c r="R724" s="4"/>
      <c r="S724" s="4"/>
      <c r="T724" s="4"/>
      <c r="U724" s="3"/>
      <c r="V724" s="4"/>
      <c r="W724" s="3"/>
      <c r="X724" s="3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57"/>
      <c r="D725" s="4"/>
      <c r="E725" s="4"/>
      <c r="F725" s="4"/>
      <c r="G725" s="4"/>
      <c r="H725" s="3"/>
      <c r="I725" s="4"/>
      <c r="J725" s="4"/>
      <c r="K725" s="3"/>
      <c r="L725" s="3"/>
      <c r="M725" s="4"/>
      <c r="N725" s="4"/>
      <c r="O725" s="4"/>
      <c r="P725" s="4"/>
      <c r="Q725" s="3"/>
      <c r="R725" s="4"/>
      <c r="S725" s="4"/>
      <c r="T725" s="4"/>
      <c r="U725" s="3"/>
      <c r="V725" s="4"/>
      <c r="W725" s="3"/>
      <c r="X725" s="3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57"/>
      <c r="D726" s="4"/>
      <c r="E726" s="4"/>
      <c r="F726" s="4"/>
      <c r="G726" s="4"/>
      <c r="H726" s="3"/>
      <c r="I726" s="4"/>
      <c r="J726" s="4"/>
      <c r="K726" s="3"/>
      <c r="L726" s="3"/>
      <c r="M726" s="4"/>
      <c r="N726" s="4"/>
      <c r="O726" s="4"/>
      <c r="P726" s="4"/>
      <c r="Q726" s="3"/>
      <c r="R726" s="4"/>
      <c r="S726" s="4"/>
      <c r="T726" s="4"/>
      <c r="U726" s="3"/>
      <c r="V726" s="4"/>
      <c r="W726" s="3"/>
      <c r="X726" s="3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57"/>
      <c r="D727" s="4"/>
      <c r="E727" s="4"/>
      <c r="F727" s="4"/>
      <c r="G727" s="4"/>
      <c r="H727" s="3"/>
      <c r="I727" s="4"/>
      <c r="J727" s="4"/>
      <c r="K727" s="3"/>
      <c r="L727" s="3"/>
      <c r="M727" s="4"/>
      <c r="N727" s="4"/>
      <c r="O727" s="4"/>
      <c r="P727" s="4"/>
      <c r="Q727" s="3"/>
      <c r="R727" s="4"/>
      <c r="S727" s="4"/>
      <c r="T727" s="4"/>
      <c r="U727" s="3"/>
      <c r="V727" s="4"/>
      <c r="W727" s="3"/>
      <c r="X727" s="3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57"/>
      <c r="D728" s="4"/>
      <c r="E728" s="4"/>
      <c r="F728" s="4"/>
      <c r="G728" s="4"/>
      <c r="H728" s="3"/>
      <c r="I728" s="4"/>
      <c r="J728" s="4"/>
      <c r="K728" s="3"/>
      <c r="L728" s="3"/>
      <c r="M728" s="4"/>
      <c r="N728" s="4"/>
      <c r="O728" s="4"/>
      <c r="P728" s="4"/>
      <c r="Q728" s="3"/>
      <c r="R728" s="4"/>
      <c r="S728" s="4"/>
      <c r="T728" s="4"/>
      <c r="U728" s="3"/>
      <c r="V728" s="4"/>
      <c r="W728" s="3"/>
      <c r="X728" s="3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57"/>
      <c r="D729" s="4"/>
      <c r="E729" s="4"/>
      <c r="F729" s="4"/>
      <c r="G729" s="4"/>
      <c r="H729" s="3"/>
      <c r="I729" s="4"/>
      <c r="J729" s="4"/>
      <c r="K729" s="3"/>
      <c r="L729" s="3"/>
      <c r="M729" s="4"/>
      <c r="N729" s="4"/>
      <c r="O729" s="4"/>
      <c r="P729" s="4"/>
      <c r="Q729" s="3"/>
      <c r="R729" s="4"/>
      <c r="S729" s="4"/>
      <c r="T729" s="4"/>
      <c r="U729" s="3"/>
      <c r="V729" s="4"/>
      <c r="W729" s="3"/>
      <c r="X729" s="3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57"/>
      <c r="D730" s="4"/>
      <c r="E730" s="4"/>
      <c r="F730" s="4"/>
      <c r="G730" s="4"/>
      <c r="H730" s="3"/>
      <c r="I730" s="4"/>
      <c r="J730" s="4"/>
      <c r="K730" s="3"/>
      <c r="L730" s="3"/>
      <c r="M730" s="4"/>
      <c r="N730" s="4"/>
      <c r="O730" s="4"/>
      <c r="P730" s="4"/>
      <c r="Q730" s="3"/>
      <c r="R730" s="4"/>
      <c r="S730" s="4"/>
      <c r="T730" s="4"/>
      <c r="U730" s="3"/>
      <c r="V730" s="4"/>
      <c r="W730" s="3"/>
      <c r="X730" s="3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57"/>
      <c r="D731" s="4"/>
      <c r="E731" s="4"/>
      <c r="F731" s="4"/>
      <c r="G731" s="4"/>
      <c r="H731" s="3"/>
      <c r="I731" s="4"/>
      <c r="J731" s="4"/>
      <c r="K731" s="3"/>
      <c r="L731" s="3"/>
      <c r="M731" s="4"/>
      <c r="N731" s="4"/>
      <c r="O731" s="4"/>
      <c r="P731" s="4"/>
      <c r="Q731" s="3"/>
      <c r="R731" s="4"/>
      <c r="S731" s="4"/>
      <c r="T731" s="4"/>
      <c r="U731" s="3"/>
      <c r="V731" s="4"/>
      <c r="W731" s="3"/>
      <c r="X731" s="3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57"/>
      <c r="D732" s="4"/>
      <c r="E732" s="4"/>
      <c r="F732" s="4"/>
      <c r="G732" s="4"/>
      <c r="H732" s="3"/>
      <c r="I732" s="4"/>
      <c r="J732" s="4"/>
      <c r="K732" s="3"/>
      <c r="L732" s="3"/>
      <c r="M732" s="4"/>
      <c r="N732" s="4"/>
      <c r="O732" s="4"/>
      <c r="P732" s="4"/>
      <c r="Q732" s="3"/>
      <c r="R732" s="4"/>
      <c r="S732" s="4"/>
      <c r="T732" s="4"/>
      <c r="U732" s="3"/>
      <c r="V732" s="4"/>
      <c r="W732" s="3"/>
      <c r="X732" s="3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57"/>
      <c r="D733" s="4"/>
      <c r="E733" s="4"/>
      <c r="F733" s="4"/>
      <c r="G733" s="4"/>
      <c r="H733" s="3"/>
      <c r="I733" s="4"/>
      <c r="J733" s="4"/>
      <c r="K733" s="3"/>
      <c r="L733" s="3"/>
      <c r="M733" s="4"/>
      <c r="N733" s="4"/>
      <c r="O733" s="4"/>
      <c r="P733" s="4"/>
      <c r="Q733" s="3"/>
      <c r="R733" s="4"/>
      <c r="S733" s="4"/>
      <c r="T733" s="4"/>
      <c r="U733" s="3"/>
      <c r="V733" s="4"/>
      <c r="W733" s="3"/>
      <c r="X733" s="3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57"/>
      <c r="D734" s="4"/>
      <c r="E734" s="4"/>
      <c r="F734" s="4"/>
      <c r="G734" s="4"/>
      <c r="H734" s="3"/>
      <c r="I734" s="4"/>
      <c r="J734" s="4"/>
      <c r="K734" s="3"/>
      <c r="L734" s="3"/>
      <c r="M734" s="4"/>
      <c r="N734" s="4"/>
      <c r="O734" s="4"/>
      <c r="P734" s="4"/>
      <c r="Q734" s="3"/>
      <c r="R734" s="4"/>
      <c r="S734" s="4"/>
      <c r="T734" s="4"/>
      <c r="U734" s="3"/>
      <c r="V734" s="4"/>
      <c r="W734" s="3"/>
      <c r="X734" s="3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57"/>
      <c r="D735" s="4"/>
      <c r="E735" s="4"/>
      <c r="F735" s="4"/>
      <c r="G735" s="4"/>
      <c r="H735" s="3"/>
      <c r="I735" s="4"/>
      <c r="J735" s="4"/>
      <c r="K735" s="3"/>
      <c r="L735" s="3"/>
      <c r="M735" s="4"/>
      <c r="N735" s="4"/>
      <c r="O735" s="4"/>
      <c r="P735" s="4"/>
      <c r="Q735" s="3"/>
      <c r="R735" s="4"/>
      <c r="S735" s="4"/>
      <c r="T735" s="4"/>
      <c r="U735" s="3"/>
      <c r="V735" s="4"/>
      <c r="W735" s="3"/>
      <c r="X735" s="3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57"/>
      <c r="D736" s="4"/>
      <c r="E736" s="4"/>
      <c r="F736" s="4"/>
      <c r="G736" s="4"/>
      <c r="H736" s="3"/>
      <c r="I736" s="4"/>
      <c r="J736" s="4"/>
      <c r="K736" s="3"/>
      <c r="L736" s="3"/>
      <c r="M736" s="4"/>
      <c r="N736" s="4"/>
      <c r="O736" s="4"/>
      <c r="P736" s="4"/>
      <c r="Q736" s="3"/>
      <c r="R736" s="4"/>
      <c r="S736" s="4"/>
      <c r="T736" s="4"/>
      <c r="U736" s="3"/>
      <c r="V736" s="4"/>
      <c r="W736" s="3"/>
      <c r="X736" s="3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57"/>
      <c r="D737" s="4"/>
      <c r="E737" s="4"/>
      <c r="F737" s="4"/>
      <c r="G737" s="4"/>
      <c r="H737" s="3"/>
      <c r="I737" s="4"/>
      <c r="J737" s="4"/>
      <c r="K737" s="3"/>
      <c r="L737" s="3"/>
      <c r="M737" s="4"/>
      <c r="N737" s="4"/>
      <c r="O737" s="4"/>
      <c r="P737" s="4"/>
      <c r="Q737" s="3"/>
      <c r="R737" s="4"/>
      <c r="S737" s="4"/>
      <c r="T737" s="4"/>
      <c r="U737" s="3"/>
      <c r="V737" s="4"/>
      <c r="W737" s="3"/>
      <c r="X737" s="3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57"/>
      <c r="D738" s="4"/>
      <c r="E738" s="4"/>
      <c r="F738" s="4"/>
      <c r="G738" s="4"/>
      <c r="H738" s="3"/>
      <c r="I738" s="4"/>
      <c r="J738" s="4"/>
      <c r="K738" s="3"/>
      <c r="L738" s="3"/>
      <c r="M738" s="4"/>
      <c r="N738" s="4"/>
      <c r="O738" s="4"/>
      <c r="P738" s="4"/>
      <c r="Q738" s="3"/>
      <c r="R738" s="4"/>
      <c r="S738" s="4"/>
      <c r="T738" s="4"/>
      <c r="U738" s="3"/>
      <c r="V738" s="4"/>
      <c r="W738" s="3"/>
      <c r="X738" s="3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57"/>
      <c r="D739" s="4"/>
      <c r="E739" s="4"/>
      <c r="F739" s="4"/>
      <c r="G739" s="4"/>
      <c r="H739" s="3"/>
      <c r="I739" s="4"/>
      <c r="J739" s="4"/>
      <c r="K739" s="3"/>
      <c r="L739" s="3"/>
      <c r="M739" s="4"/>
      <c r="N739" s="4"/>
      <c r="O739" s="4"/>
      <c r="P739" s="4"/>
      <c r="Q739" s="3"/>
      <c r="R739" s="4"/>
      <c r="S739" s="4"/>
      <c r="T739" s="4"/>
      <c r="U739" s="3"/>
      <c r="V739" s="4"/>
      <c r="W739" s="3"/>
      <c r="X739" s="3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57"/>
      <c r="D740" s="4"/>
      <c r="E740" s="4"/>
      <c r="F740" s="4"/>
      <c r="G740" s="4"/>
      <c r="H740" s="3"/>
      <c r="I740" s="4"/>
      <c r="J740" s="4"/>
      <c r="K740" s="3"/>
      <c r="L740" s="3"/>
      <c r="M740" s="4"/>
      <c r="N740" s="4"/>
      <c r="O740" s="4"/>
      <c r="P740" s="4"/>
      <c r="Q740" s="3"/>
      <c r="R740" s="4"/>
      <c r="S740" s="4"/>
      <c r="T740" s="4"/>
      <c r="U740" s="3"/>
      <c r="V740" s="4"/>
      <c r="W740" s="3"/>
      <c r="X740" s="3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57"/>
      <c r="D741" s="4"/>
      <c r="E741" s="4"/>
      <c r="F741" s="4"/>
      <c r="G741" s="4"/>
      <c r="H741" s="3"/>
      <c r="I741" s="4"/>
      <c r="J741" s="4"/>
      <c r="K741" s="3"/>
      <c r="L741" s="3"/>
      <c r="M741" s="4"/>
      <c r="N741" s="4"/>
      <c r="O741" s="4"/>
      <c r="P741" s="4"/>
      <c r="Q741" s="3"/>
      <c r="R741" s="4"/>
      <c r="S741" s="4"/>
      <c r="T741" s="4"/>
      <c r="U741" s="3"/>
      <c r="V741" s="4"/>
      <c r="W741" s="3"/>
      <c r="X741" s="3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57"/>
      <c r="D742" s="4"/>
      <c r="E742" s="4"/>
      <c r="F742" s="4"/>
      <c r="G742" s="4"/>
      <c r="H742" s="3"/>
      <c r="I742" s="4"/>
      <c r="J742" s="4"/>
      <c r="K742" s="3"/>
      <c r="L742" s="3"/>
      <c r="M742" s="4"/>
      <c r="N742" s="4"/>
      <c r="O742" s="4"/>
      <c r="P742" s="4"/>
      <c r="Q742" s="3"/>
      <c r="R742" s="4"/>
      <c r="S742" s="4"/>
      <c r="T742" s="4"/>
      <c r="U742" s="3"/>
      <c r="V742" s="4"/>
      <c r="W742" s="3"/>
      <c r="X742" s="3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57"/>
      <c r="D743" s="4"/>
      <c r="E743" s="4"/>
      <c r="F743" s="4"/>
      <c r="G743" s="4"/>
      <c r="H743" s="3"/>
      <c r="I743" s="4"/>
      <c r="J743" s="4"/>
      <c r="K743" s="3"/>
      <c r="L743" s="3"/>
      <c r="M743" s="4"/>
      <c r="N743" s="4"/>
      <c r="O743" s="4"/>
      <c r="P743" s="4"/>
      <c r="Q743" s="3"/>
      <c r="R743" s="4"/>
      <c r="S743" s="4"/>
      <c r="T743" s="4"/>
      <c r="U743" s="3"/>
      <c r="V743" s="4"/>
      <c r="W743" s="3"/>
      <c r="X743" s="3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57"/>
      <c r="D744" s="4"/>
      <c r="E744" s="4"/>
      <c r="F744" s="4"/>
      <c r="G744" s="4"/>
      <c r="H744" s="3"/>
      <c r="I744" s="4"/>
      <c r="J744" s="4"/>
      <c r="K744" s="3"/>
      <c r="L744" s="3"/>
      <c r="M744" s="4"/>
      <c r="N744" s="4"/>
      <c r="O744" s="4"/>
      <c r="P744" s="4"/>
      <c r="Q744" s="3"/>
      <c r="R744" s="4"/>
      <c r="S744" s="4"/>
      <c r="T744" s="4"/>
      <c r="U744" s="3"/>
      <c r="V744" s="4"/>
      <c r="W744" s="3"/>
      <c r="X744" s="3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57"/>
      <c r="D745" s="4"/>
      <c r="E745" s="4"/>
      <c r="F745" s="4"/>
      <c r="G745" s="4"/>
      <c r="H745" s="3"/>
      <c r="I745" s="4"/>
      <c r="J745" s="4"/>
      <c r="K745" s="3"/>
      <c r="L745" s="3"/>
      <c r="M745" s="4"/>
      <c r="N745" s="4"/>
      <c r="O745" s="4"/>
      <c r="P745" s="4"/>
      <c r="Q745" s="3"/>
      <c r="R745" s="4"/>
      <c r="S745" s="4"/>
      <c r="T745" s="4"/>
      <c r="U745" s="3"/>
      <c r="V745" s="4"/>
      <c r="W745" s="3"/>
      <c r="X745" s="3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57"/>
      <c r="D746" s="4"/>
      <c r="E746" s="4"/>
      <c r="F746" s="4"/>
      <c r="G746" s="4"/>
      <c r="H746" s="3"/>
      <c r="I746" s="4"/>
      <c r="J746" s="4"/>
      <c r="K746" s="3"/>
      <c r="L746" s="3"/>
      <c r="M746" s="4"/>
      <c r="N746" s="4"/>
      <c r="O746" s="4"/>
      <c r="P746" s="4"/>
      <c r="Q746" s="3"/>
      <c r="R746" s="4"/>
      <c r="S746" s="4"/>
      <c r="T746" s="4"/>
      <c r="U746" s="3"/>
      <c r="V746" s="4"/>
      <c r="W746" s="3"/>
      <c r="X746" s="3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57"/>
      <c r="D747" s="4"/>
      <c r="E747" s="4"/>
      <c r="F747" s="4"/>
      <c r="G747" s="4"/>
      <c r="H747" s="3"/>
      <c r="I747" s="4"/>
      <c r="J747" s="4"/>
      <c r="K747" s="3"/>
      <c r="L747" s="3"/>
      <c r="M747" s="4"/>
      <c r="N747" s="4"/>
      <c r="O747" s="4"/>
      <c r="P747" s="4"/>
      <c r="Q747" s="3"/>
      <c r="R747" s="4"/>
      <c r="S747" s="4"/>
      <c r="T747" s="4"/>
      <c r="U747" s="3"/>
      <c r="V747" s="4"/>
      <c r="W747" s="3"/>
      <c r="X747" s="3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57"/>
      <c r="D748" s="4"/>
      <c r="E748" s="4"/>
      <c r="F748" s="4"/>
      <c r="G748" s="4"/>
      <c r="H748" s="3"/>
      <c r="I748" s="4"/>
      <c r="J748" s="4"/>
      <c r="K748" s="3"/>
      <c r="L748" s="3"/>
      <c r="M748" s="4"/>
      <c r="N748" s="4"/>
      <c r="O748" s="4"/>
      <c r="P748" s="4"/>
      <c r="Q748" s="3"/>
      <c r="R748" s="4"/>
      <c r="S748" s="4"/>
      <c r="T748" s="4"/>
      <c r="U748" s="3"/>
      <c r="V748" s="4"/>
      <c r="W748" s="3"/>
      <c r="X748" s="3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57"/>
      <c r="D749" s="4"/>
      <c r="E749" s="4"/>
      <c r="F749" s="4"/>
      <c r="G749" s="4"/>
      <c r="H749" s="3"/>
      <c r="I749" s="4"/>
      <c r="J749" s="4"/>
      <c r="K749" s="3"/>
      <c r="L749" s="3"/>
      <c r="M749" s="4"/>
      <c r="N749" s="4"/>
      <c r="O749" s="4"/>
      <c r="P749" s="4"/>
      <c r="Q749" s="3"/>
      <c r="R749" s="4"/>
      <c r="S749" s="4"/>
      <c r="T749" s="4"/>
      <c r="U749" s="3"/>
      <c r="V749" s="4"/>
      <c r="W749" s="3"/>
      <c r="X749" s="3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57"/>
      <c r="D750" s="4"/>
      <c r="E750" s="4"/>
      <c r="F750" s="4"/>
      <c r="G750" s="4"/>
      <c r="H750" s="3"/>
      <c r="I750" s="4"/>
      <c r="J750" s="4"/>
      <c r="K750" s="3"/>
      <c r="L750" s="3"/>
      <c r="M750" s="4"/>
      <c r="N750" s="4"/>
      <c r="O750" s="4"/>
      <c r="P750" s="4"/>
      <c r="Q750" s="3"/>
      <c r="R750" s="4"/>
      <c r="S750" s="4"/>
      <c r="T750" s="4"/>
      <c r="U750" s="3"/>
      <c r="V750" s="4"/>
      <c r="W750" s="3"/>
      <c r="X750" s="3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57"/>
      <c r="D751" s="4"/>
      <c r="E751" s="4"/>
      <c r="F751" s="4"/>
      <c r="G751" s="4"/>
      <c r="H751" s="3"/>
      <c r="I751" s="4"/>
      <c r="J751" s="4"/>
      <c r="K751" s="3"/>
      <c r="L751" s="3"/>
      <c r="M751" s="4"/>
      <c r="N751" s="4"/>
      <c r="O751" s="4"/>
      <c r="P751" s="4"/>
      <c r="Q751" s="3"/>
      <c r="R751" s="4"/>
      <c r="S751" s="4"/>
      <c r="T751" s="4"/>
      <c r="U751" s="3"/>
      <c r="V751" s="4"/>
      <c r="W751" s="3"/>
      <c r="X751" s="3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57"/>
      <c r="D752" s="4"/>
      <c r="E752" s="4"/>
      <c r="F752" s="4"/>
      <c r="G752" s="4"/>
      <c r="H752" s="3"/>
      <c r="I752" s="4"/>
      <c r="J752" s="4"/>
      <c r="K752" s="3"/>
      <c r="L752" s="3"/>
      <c r="M752" s="4"/>
      <c r="N752" s="4"/>
      <c r="O752" s="4"/>
      <c r="P752" s="4"/>
      <c r="Q752" s="3"/>
      <c r="R752" s="4"/>
      <c r="S752" s="4"/>
      <c r="T752" s="4"/>
      <c r="U752" s="3"/>
      <c r="V752" s="4"/>
      <c r="W752" s="3"/>
      <c r="X752" s="3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57"/>
      <c r="D753" s="4"/>
      <c r="E753" s="4"/>
      <c r="F753" s="4"/>
      <c r="G753" s="4"/>
      <c r="H753" s="3"/>
      <c r="I753" s="4"/>
      <c r="J753" s="4"/>
      <c r="K753" s="3"/>
      <c r="L753" s="3"/>
      <c r="M753" s="4"/>
      <c r="N753" s="4"/>
      <c r="O753" s="4"/>
      <c r="P753" s="4"/>
      <c r="Q753" s="3"/>
      <c r="R753" s="4"/>
      <c r="S753" s="4"/>
      <c r="T753" s="4"/>
      <c r="U753" s="3"/>
      <c r="V753" s="4"/>
      <c r="W753" s="3"/>
      <c r="X753" s="3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57"/>
      <c r="D754" s="4"/>
      <c r="E754" s="4"/>
      <c r="F754" s="4"/>
      <c r="G754" s="4"/>
      <c r="H754" s="3"/>
      <c r="I754" s="4"/>
      <c r="J754" s="4"/>
      <c r="K754" s="3"/>
      <c r="L754" s="3"/>
      <c r="M754" s="4"/>
      <c r="N754" s="4"/>
      <c r="O754" s="4"/>
      <c r="P754" s="4"/>
      <c r="Q754" s="3"/>
      <c r="R754" s="4"/>
      <c r="S754" s="4"/>
      <c r="T754" s="4"/>
      <c r="U754" s="3"/>
      <c r="V754" s="4"/>
      <c r="W754" s="3"/>
      <c r="X754" s="3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57"/>
      <c r="D755" s="4"/>
      <c r="E755" s="4"/>
      <c r="F755" s="4"/>
      <c r="G755" s="4"/>
      <c r="H755" s="3"/>
      <c r="I755" s="4"/>
      <c r="J755" s="4"/>
      <c r="K755" s="3"/>
      <c r="L755" s="3"/>
      <c r="M755" s="4"/>
      <c r="N755" s="4"/>
      <c r="O755" s="4"/>
      <c r="P755" s="4"/>
      <c r="Q755" s="3"/>
      <c r="R755" s="4"/>
      <c r="S755" s="4"/>
      <c r="T755" s="4"/>
      <c r="U755" s="3"/>
      <c r="V755" s="4"/>
      <c r="W755" s="3"/>
      <c r="X755" s="3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57"/>
      <c r="D756" s="4"/>
      <c r="E756" s="4"/>
      <c r="F756" s="4"/>
      <c r="G756" s="4"/>
      <c r="H756" s="3"/>
      <c r="I756" s="4"/>
      <c r="J756" s="4"/>
      <c r="K756" s="3"/>
      <c r="L756" s="3"/>
      <c r="M756" s="4"/>
      <c r="N756" s="4"/>
      <c r="O756" s="4"/>
      <c r="P756" s="4"/>
      <c r="Q756" s="3"/>
      <c r="R756" s="4"/>
      <c r="S756" s="4"/>
      <c r="T756" s="4"/>
      <c r="U756" s="3"/>
      <c r="V756" s="4"/>
      <c r="W756" s="3"/>
      <c r="X756" s="3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57"/>
      <c r="D757" s="4"/>
      <c r="E757" s="4"/>
      <c r="F757" s="4"/>
      <c r="G757" s="4"/>
      <c r="H757" s="3"/>
      <c r="I757" s="4"/>
      <c r="J757" s="4"/>
      <c r="K757" s="3"/>
      <c r="L757" s="3"/>
      <c r="M757" s="4"/>
      <c r="N757" s="4"/>
      <c r="O757" s="4"/>
      <c r="P757" s="4"/>
      <c r="Q757" s="3"/>
      <c r="R757" s="4"/>
      <c r="S757" s="4"/>
      <c r="T757" s="4"/>
      <c r="U757" s="3"/>
      <c r="V757" s="4"/>
      <c r="W757" s="3"/>
      <c r="X757" s="3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57"/>
      <c r="D758" s="4"/>
      <c r="E758" s="4"/>
      <c r="F758" s="4"/>
      <c r="G758" s="4"/>
      <c r="H758" s="3"/>
      <c r="I758" s="4"/>
      <c r="J758" s="4"/>
      <c r="K758" s="3"/>
      <c r="L758" s="3"/>
      <c r="M758" s="4"/>
      <c r="N758" s="4"/>
      <c r="O758" s="4"/>
      <c r="P758" s="4"/>
      <c r="Q758" s="3"/>
      <c r="R758" s="4"/>
      <c r="S758" s="4"/>
      <c r="T758" s="4"/>
      <c r="U758" s="3"/>
      <c r="V758" s="4"/>
      <c r="W758" s="3"/>
      <c r="X758" s="3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57"/>
      <c r="D759" s="4"/>
      <c r="E759" s="4"/>
      <c r="F759" s="4"/>
      <c r="G759" s="4"/>
      <c r="H759" s="3"/>
      <c r="I759" s="4"/>
      <c r="J759" s="4"/>
      <c r="K759" s="3"/>
      <c r="L759" s="3"/>
      <c r="M759" s="4"/>
      <c r="N759" s="4"/>
      <c r="O759" s="4"/>
      <c r="P759" s="4"/>
      <c r="Q759" s="3"/>
      <c r="R759" s="4"/>
      <c r="S759" s="4"/>
      <c r="T759" s="4"/>
      <c r="U759" s="3"/>
      <c r="V759" s="4"/>
      <c r="W759" s="3"/>
      <c r="X759" s="3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57"/>
      <c r="D760" s="4"/>
      <c r="E760" s="4"/>
      <c r="F760" s="4"/>
      <c r="G760" s="4"/>
      <c r="H760" s="3"/>
      <c r="I760" s="4"/>
      <c r="J760" s="4"/>
      <c r="K760" s="3"/>
      <c r="L760" s="3"/>
      <c r="M760" s="4"/>
      <c r="N760" s="4"/>
      <c r="O760" s="4"/>
      <c r="P760" s="4"/>
      <c r="Q760" s="3"/>
      <c r="R760" s="4"/>
      <c r="S760" s="4"/>
      <c r="T760" s="4"/>
      <c r="U760" s="3"/>
      <c r="V760" s="4"/>
      <c r="W760" s="3"/>
      <c r="X760" s="3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57"/>
      <c r="D761" s="4"/>
      <c r="E761" s="4"/>
      <c r="F761" s="4"/>
      <c r="G761" s="4"/>
      <c r="H761" s="3"/>
      <c r="I761" s="4"/>
      <c r="J761" s="4"/>
      <c r="K761" s="3"/>
      <c r="L761" s="3"/>
      <c r="M761" s="4"/>
      <c r="N761" s="4"/>
      <c r="O761" s="4"/>
      <c r="P761" s="4"/>
      <c r="Q761" s="3"/>
      <c r="R761" s="4"/>
      <c r="S761" s="4"/>
      <c r="T761" s="4"/>
      <c r="U761" s="3"/>
      <c r="V761" s="4"/>
      <c r="W761" s="3"/>
      <c r="X761" s="3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57"/>
      <c r="D762" s="4"/>
      <c r="E762" s="4"/>
      <c r="F762" s="4"/>
      <c r="G762" s="4"/>
      <c r="H762" s="3"/>
      <c r="I762" s="4"/>
      <c r="J762" s="4"/>
      <c r="K762" s="3"/>
      <c r="L762" s="3"/>
      <c r="M762" s="4"/>
      <c r="N762" s="4"/>
      <c r="O762" s="4"/>
      <c r="P762" s="4"/>
      <c r="Q762" s="3"/>
      <c r="R762" s="4"/>
      <c r="S762" s="4"/>
      <c r="T762" s="4"/>
      <c r="U762" s="3"/>
      <c r="V762" s="4"/>
      <c r="W762" s="3"/>
      <c r="X762" s="3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57"/>
      <c r="D763" s="4"/>
      <c r="E763" s="4"/>
      <c r="F763" s="4"/>
      <c r="G763" s="4"/>
      <c r="H763" s="3"/>
      <c r="I763" s="4"/>
      <c r="J763" s="4"/>
      <c r="K763" s="3"/>
      <c r="L763" s="3"/>
      <c r="M763" s="4"/>
      <c r="N763" s="4"/>
      <c r="O763" s="4"/>
      <c r="P763" s="4"/>
      <c r="Q763" s="3"/>
      <c r="R763" s="4"/>
      <c r="S763" s="4"/>
      <c r="T763" s="4"/>
      <c r="U763" s="3"/>
      <c r="V763" s="4"/>
      <c r="W763" s="3"/>
      <c r="X763" s="3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57"/>
      <c r="D764" s="4"/>
      <c r="E764" s="4"/>
      <c r="F764" s="4"/>
      <c r="G764" s="4"/>
      <c r="H764" s="3"/>
      <c r="I764" s="4"/>
      <c r="J764" s="4"/>
      <c r="K764" s="3"/>
      <c r="L764" s="3"/>
      <c r="M764" s="4"/>
      <c r="N764" s="4"/>
      <c r="O764" s="4"/>
      <c r="P764" s="4"/>
      <c r="Q764" s="3"/>
      <c r="R764" s="4"/>
      <c r="S764" s="4"/>
      <c r="T764" s="4"/>
      <c r="U764" s="3"/>
      <c r="V764" s="4"/>
      <c r="W764" s="3"/>
      <c r="X764" s="3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57"/>
      <c r="D765" s="4"/>
      <c r="E765" s="4"/>
      <c r="F765" s="4"/>
      <c r="G765" s="4"/>
      <c r="H765" s="3"/>
      <c r="I765" s="4"/>
      <c r="J765" s="4"/>
      <c r="K765" s="3"/>
      <c r="L765" s="3"/>
      <c r="M765" s="4"/>
      <c r="N765" s="4"/>
      <c r="O765" s="4"/>
      <c r="P765" s="4"/>
      <c r="Q765" s="3"/>
      <c r="R765" s="4"/>
      <c r="S765" s="4"/>
      <c r="T765" s="4"/>
      <c r="U765" s="3"/>
      <c r="V765" s="4"/>
      <c r="W765" s="3"/>
      <c r="X765" s="3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57"/>
      <c r="D766" s="4"/>
      <c r="E766" s="4"/>
      <c r="F766" s="4"/>
      <c r="G766" s="4"/>
      <c r="H766" s="3"/>
      <c r="I766" s="4"/>
      <c r="J766" s="4"/>
      <c r="K766" s="3"/>
      <c r="L766" s="3"/>
      <c r="M766" s="4"/>
      <c r="N766" s="4"/>
      <c r="O766" s="4"/>
      <c r="P766" s="4"/>
      <c r="Q766" s="3"/>
      <c r="R766" s="4"/>
      <c r="S766" s="4"/>
      <c r="T766" s="4"/>
      <c r="U766" s="3"/>
      <c r="V766" s="4"/>
      <c r="W766" s="3"/>
      <c r="X766" s="3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57"/>
      <c r="D767" s="4"/>
      <c r="E767" s="4"/>
      <c r="F767" s="4"/>
      <c r="G767" s="4"/>
      <c r="H767" s="3"/>
      <c r="I767" s="4"/>
      <c r="J767" s="4"/>
      <c r="K767" s="3"/>
      <c r="L767" s="3"/>
      <c r="M767" s="4"/>
      <c r="N767" s="4"/>
      <c r="O767" s="4"/>
      <c r="P767" s="4"/>
      <c r="Q767" s="3"/>
      <c r="R767" s="4"/>
      <c r="S767" s="4"/>
      <c r="T767" s="4"/>
      <c r="U767" s="3"/>
      <c r="V767" s="4"/>
      <c r="W767" s="3"/>
      <c r="X767" s="3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57"/>
      <c r="D768" s="4"/>
      <c r="E768" s="4"/>
      <c r="F768" s="4"/>
      <c r="G768" s="4"/>
      <c r="H768" s="3"/>
      <c r="I768" s="4"/>
      <c r="J768" s="4"/>
      <c r="K768" s="3"/>
      <c r="L768" s="3"/>
      <c r="M768" s="4"/>
      <c r="N768" s="4"/>
      <c r="O768" s="4"/>
      <c r="P768" s="4"/>
      <c r="Q768" s="3"/>
      <c r="R768" s="4"/>
      <c r="S768" s="4"/>
      <c r="T768" s="4"/>
      <c r="U768" s="3"/>
      <c r="V768" s="4"/>
      <c r="W768" s="3"/>
      <c r="X768" s="3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57"/>
      <c r="D769" s="4"/>
      <c r="E769" s="4"/>
      <c r="F769" s="4"/>
      <c r="G769" s="4"/>
      <c r="H769" s="3"/>
      <c r="I769" s="4"/>
      <c r="J769" s="4"/>
      <c r="K769" s="3"/>
      <c r="L769" s="3"/>
      <c r="M769" s="4"/>
      <c r="N769" s="4"/>
      <c r="O769" s="4"/>
      <c r="P769" s="4"/>
      <c r="Q769" s="3"/>
      <c r="R769" s="4"/>
      <c r="S769" s="4"/>
      <c r="T769" s="4"/>
      <c r="U769" s="3"/>
      <c r="V769" s="4"/>
      <c r="W769" s="3"/>
      <c r="X769" s="3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57"/>
      <c r="D770" s="4"/>
      <c r="E770" s="4"/>
      <c r="F770" s="4"/>
      <c r="G770" s="4"/>
      <c r="H770" s="3"/>
      <c r="I770" s="4"/>
      <c r="J770" s="4"/>
      <c r="K770" s="3"/>
      <c r="L770" s="3"/>
      <c r="M770" s="4"/>
      <c r="N770" s="4"/>
      <c r="O770" s="4"/>
      <c r="P770" s="4"/>
      <c r="Q770" s="3"/>
      <c r="R770" s="4"/>
      <c r="S770" s="4"/>
      <c r="T770" s="4"/>
      <c r="U770" s="3"/>
      <c r="V770" s="4"/>
      <c r="W770" s="3"/>
      <c r="X770" s="3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57"/>
      <c r="D771" s="4"/>
      <c r="E771" s="4"/>
      <c r="F771" s="4"/>
      <c r="G771" s="4"/>
      <c r="H771" s="3"/>
      <c r="I771" s="4"/>
      <c r="J771" s="4"/>
      <c r="K771" s="3"/>
      <c r="L771" s="3"/>
      <c r="M771" s="4"/>
      <c r="N771" s="4"/>
      <c r="O771" s="4"/>
      <c r="P771" s="4"/>
      <c r="Q771" s="3"/>
      <c r="R771" s="4"/>
      <c r="S771" s="4"/>
      <c r="T771" s="4"/>
      <c r="U771" s="3"/>
      <c r="V771" s="4"/>
      <c r="W771" s="3"/>
      <c r="X771" s="3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57"/>
      <c r="D772" s="4"/>
      <c r="E772" s="4"/>
      <c r="F772" s="4"/>
      <c r="G772" s="4"/>
      <c r="H772" s="3"/>
      <c r="I772" s="4"/>
      <c r="J772" s="4"/>
      <c r="K772" s="3"/>
      <c r="L772" s="3"/>
      <c r="M772" s="4"/>
      <c r="N772" s="4"/>
      <c r="O772" s="4"/>
      <c r="P772" s="4"/>
      <c r="Q772" s="3"/>
      <c r="R772" s="4"/>
      <c r="S772" s="4"/>
      <c r="T772" s="4"/>
      <c r="U772" s="3"/>
      <c r="V772" s="4"/>
      <c r="W772" s="3"/>
      <c r="X772" s="3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57"/>
      <c r="D773" s="4"/>
      <c r="E773" s="4"/>
      <c r="F773" s="4"/>
      <c r="G773" s="4"/>
      <c r="H773" s="3"/>
      <c r="I773" s="4"/>
      <c r="J773" s="4"/>
      <c r="K773" s="3"/>
      <c r="L773" s="3"/>
      <c r="M773" s="4"/>
      <c r="N773" s="4"/>
      <c r="O773" s="4"/>
      <c r="P773" s="4"/>
      <c r="Q773" s="3"/>
      <c r="R773" s="4"/>
      <c r="S773" s="4"/>
      <c r="T773" s="4"/>
      <c r="U773" s="3"/>
      <c r="V773" s="4"/>
      <c r="W773" s="3"/>
      <c r="X773" s="3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57"/>
      <c r="D774" s="4"/>
      <c r="E774" s="4"/>
      <c r="F774" s="4"/>
      <c r="G774" s="4"/>
      <c r="H774" s="3"/>
      <c r="I774" s="4"/>
      <c r="J774" s="4"/>
      <c r="K774" s="3"/>
      <c r="L774" s="3"/>
      <c r="M774" s="4"/>
      <c r="N774" s="4"/>
      <c r="O774" s="4"/>
      <c r="P774" s="4"/>
      <c r="Q774" s="3"/>
      <c r="R774" s="4"/>
      <c r="S774" s="4"/>
      <c r="T774" s="4"/>
      <c r="U774" s="3"/>
      <c r="V774" s="4"/>
      <c r="W774" s="3"/>
      <c r="X774" s="3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57"/>
      <c r="D775" s="4"/>
      <c r="E775" s="4"/>
      <c r="F775" s="4"/>
      <c r="G775" s="4"/>
      <c r="H775" s="3"/>
      <c r="I775" s="4"/>
      <c r="J775" s="4"/>
      <c r="K775" s="3"/>
      <c r="L775" s="3"/>
      <c r="M775" s="4"/>
      <c r="N775" s="4"/>
      <c r="O775" s="4"/>
      <c r="P775" s="4"/>
      <c r="Q775" s="3"/>
      <c r="R775" s="4"/>
      <c r="S775" s="4"/>
      <c r="T775" s="4"/>
      <c r="U775" s="3"/>
      <c r="V775" s="4"/>
      <c r="W775" s="3"/>
      <c r="X775" s="3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57"/>
      <c r="D776" s="4"/>
      <c r="E776" s="4"/>
      <c r="F776" s="4"/>
      <c r="G776" s="4"/>
      <c r="H776" s="3"/>
      <c r="I776" s="4"/>
      <c r="J776" s="4"/>
      <c r="K776" s="3"/>
      <c r="L776" s="3"/>
      <c r="M776" s="4"/>
      <c r="N776" s="4"/>
      <c r="O776" s="4"/>
      <c r="P776" s="4"/>
      <c r="Q776" s="3"/>
      <c r="R776" s="4"/>
      <c r="S776" s="4"/>
      <c r="T776" s="4"/>
      <c r="U776" s="3"/>
      <c r="V776" s="4"/>
      <c r="W776" s="3"/>
      <c r="X776" s="3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57"/>
      <c r="D777" s="4"/>
      <c r="E777" s="4"/>
      <c r="F777" s="4"/>
      <c r="G777" s="4"/>
      <c r="H777" s="3"/>
      <c r="I777" s="4"/>
      <c r="J777" s="4"/>
      <c r="K777" s="3"/>
      <c r="L777" s="3"/>
      <c r="M777" s="4"/>
      <c r="N777" s="4"/>
      <c r="O777" s="4"/>
      <c r="P777" s="4"/>
      <c r="Q777" s="3"/>
      <c r="R777" s="4"/>
      <c r="S777" s="4"/>
      <c r="T777" s="4"/>
      <c r="U777" s="3"/>
      <c r="V777" s="4"/>
      <c r="W777" s="3"/>
      <c r="X777" s="3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57"/>
      <c r="D778" s="4"/>
      <c r="E778" s="4"/>
      <c r="F778" s="4"/>
      <c r="G778" s="4"/>
      <c r="H778" s="3"/>
      <c r="I778" s="4"/>
      <c r="J778" s="4"/>
      <c r="K778" s="3"/>
      <c r="L778" s="3"/>
      <c r="M778" s="4"/>
      <c r="N778" s="4"/>
      <c r="O778" s="4"/>
      <c r="P778" s="4"/>
      <c r="Q778" s="3"/>
      <c r="R778" s="4"/>
      <c r="S778" s="4"/>
      <c r="T778" s="4"/>
      <c r="U778" s="3"/>
      <c r="V778" s="4"/>
      <c r="W778" s="3"/>
      <c r="X778" s="3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57"/>
      <c r="D779" s="4"/>
      <c r="E779" s="4"/>
      <c r="F779" s="4"/>
      <c r="G779" s="4"/>
      <c r="H779" s="3"/>
      <c r="I779" s="4"/>
      <c r="J779" s="4"/>
      <c r="K779" s="3"/>
      <c r="L779" s="3"/>
      <c r="M779" s="4"/>
      <c r="N779" s="4"/>
      <c r="O779" s="4"/>
      <c r="P779" s="4"/>
      <c r="Q779" s="3"/>
      <c r="R779" s="4"/>
      <c r="S779" s="4"/>
      <c r="T779" s="4"/>
      <c r="U779" s="3"/>
      <c r="V779" s="4"/>
      <c r="W779" s="3"/>
      <c r="X779" s="3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57"/>
      <c r="D780" s="4"/>
      <c r="E780" s="4"/>
      <c r="F780" s="4"/>
      <c r="G780" s="4"/>
      <c r="H780" s="3"/>
      <c r="I780" s="4"/>
      <c r="J780" s="4"/>
      <c r="K780" s="3"/>
      <c r="L780" s="3"/>
      <c r="M780" s="4"/>
      <c r="N780" s="4"/>
      <c r="O780" s="4"/>
      <c r="P780" s="4"/>
      <c r="Q780" s="3"/>
      <c r="R780" s="4"/>
      <c r="S780" s="4"/>
      <c r="T780" s="4"/>
      <c r="U780" s="3"/>
      <c r="V780" s="4"/>
      <c r="W780" s="3"/>
      <c r="X780" s="3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57"/>
      <c r="D781" s="4"/>
      <c r="E781" s="4"/>
      <c r="F781" s="4"/>
      <c r="G781" s="4"/>
      <c r="H781" s="3"/>
      <c r="I781" s="4"/>
      <c r="J781" s="4"/>
      <c r="K781" s="3"/>
      <c r="L781" s="3"/>
      <c r="M781" s="4"/>
      <c r="N781" s="4"/>
      <c r="O781" s="4"/>
      <c r="P781" s="4"/>
      <c r="Q781" s="3"/>
      <c r="R781" s="4"/>
      <c r="S781" s="4"/>
      <c r="T781" s="4"/>
      <c r="U781" s="3"/>
      <c r="V781" s="4"/>
      <c r="W781" s="3"/>
      <c r="X781" s="3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57"/>
      <c r="D782" s="4"/>
      <c r="E782" s="4"/>
      <c r="F782" s="4"/>
      <c r="G782" s="4"/>
      <c r="H782" s="3"/>
      <c r="I782" s="4"/>
      <c r="J782" s="4"/>
      <c r="K782" s="3"/>
      <c r="L782" s="3"/>
      <c r="M782" s="4"/>
      <c r="N782" s="4"/>
      <c r="O782" s="4"/>
      <c r="P782" s="4"/>
      <c r="Q782" s="3"/>
      <c r="R782" s="4"/>
      <c r="S782" s="4"/>
      <c r="T782" s="4"/>
      <c r="U782" s="3"/>
      <c r="V782" s="4"/>
      <c r="W782" s="3"/>
      <c r="X782" s="3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57"/>
      <c r="D783" s="4"/>
      <c r="E783" s="4"/>
      <c r="F783" s="4"/>
      <c r="G783" s="4"/>
      <c r="H783" s="3"/>
      <c r="I783" s="4"/>
      <c r="J783" s="4"/>
      <c r="K783" s="3"/>
      <c r="L783" s="3"/>
      <c r="M783" s="4"/>
      <c r="N783" s="4"/>
      <c r="O783" s="4"/>
      <c r="P783" s="4"/>
      <c r="Q783" s="3"/>
      <c r="R783" s="4"/>
      <c r="S783" s="4"/>
      <c r="T783" s="4"/>
      <c r="U783" s="3"/>
      <c r="V783" s="4"/>
      <c r="W783" s="3"/>
      <c r="X783" s="3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57"/>
      <c r="D784" s="4"/>
      <c r="E784" s="4"/>
      <c r="F784" s="4"/>
      <c r="G784" s="4"/>
      <c r="H784" s="3"/>
      <c r="I784" s="4"/>
      <c r="J784" s="4"/>
      <c r="K784" s="3"/>
      <c r="L784" s="3"/>
      <c r="M784" s="4"/>
      <c r="N784" s="4"/>
      <c r="O784" s="4"/>
      <c r="P784" s="4"/>
      <c r="Q784" s="3"/>
      <c r="R784" s="4"/>
      <c r="S784" s="4"/>
      <c r="T784" s="4"/>
      <c r="U784" s="3"/>
      <c r="V784" s="4"/>
      <c r="W784" s="3"/>
      <c r="X784" s="3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57"/>
      <c r="D785" s="4"/>
      <c r="E785" s="4"/>
      <c r="F785" s="4"/>
      <c r="G785" s="4"/>
      <c r="H785" s="3"/>
      <c r="I785" s="4"/>
      <c r="J785" s="4"/>
      <c r="K785" s="3"/>
      <c r="L785" s="3"/>
      <c r="M785" s="4"/>
      <c r="N785" s="4"/>
      <c r="O785" s="4"/>
      <c r="P785" s="4"/>
      <c r="Q785" s="3"/>
      <c r="R785" s="4"/>
      <c r="S785" s="4"/>
      <c r="T785" s="4"/>
      <c r="U785" s="3"/>
      <c r="V785" s="4"/>
      <c r="W785" s="3"/>
      <c r="X785" s="3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57"/>
      <c r="D786" s="4"/>
      <c r="E786" s="4"/>
      <c r="F786" s="4"/>
      <c r="G786" s="4"/>
      <c r="H786" s="3"/>
      <c r="I786" s="4"/>
      <c r="J786" s="4"/>
      <c r="K786" s="3"/>
      <c r="L786" s="3"/>
      <c r="M786" s="4"/>
      <c r="N786" s="4"/>
      <c r="O786" s="4"/>
      <c r="P786" s="4"/>
      <c r="Q786" s="3"/>
      <c r="R786" s="4"/>
      <c r="S786" s="4"/>
      <c r="T786" s="4"/>
      <c r="U786" s="3"/>
      <c r="V786" s="4"/>
      <c r="W786" s="3"/>
      <c r="X786" s="3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57"/>
      <c r="D787" s="4"/>
      <c r="E787" s="4"/>
      <c r="F787" s="4"/>
      <c r="G787" s="4"/>
      <c r="H787" s="3"/>
      <c r="I787" s="4"/>
      <c r="J787" s="4"/>
      <c r="K787" s="3"/>
      <c r="L787" s="3"/>
      <c r="M787" s="4"/>
      <c r="N787" s="4"/>
      <c r="O787" s="4"/>
      <c r="P787" s="4"/>
      <c r="Q787" s="3"/>
      <c r="R787" s="4"/>
      <c r="S787" s="4"/>
      <c r="T787" s="4"/>
      <c r="U787" s="3"/>
      <c r="V787" s="4"/>
      <c r="W787" s="3"/>
      <c r="X787" s="3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57"/>
      <c r="D788" s="4"/>
      <c r="E788" s="4"/>
      <c r="F788" s="4"/>
      <c r="G788" s="4"/>
      <c r="H788" s="3"/>
      <c r="I788" s="4"/>
      <c r="J788" s="4"/>
      <c r="K788" s="3"/>
      <c r="L788" s="3"/>
      <c r="M788" s="4"/>
      <c r="N788" s="4"/>
      <c r="O788" s="4"/>
      <c r="P788" s="4"/>
      <c r="Q788" s="3"/>
      <c r="R788" s="4"/>
      <c r="S788" s="4"/>
      <c r="T788" s="4"/>
      <c r="U788" s="3"/>
      <c r="V788" s="4"/>
      <c r="W788" s="3"/>
      <c r="X788" s="3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57"/>
      <c r="D789" s="4"/>
      <c r="E789" s="4"/>
      <c r="F789" s="4"/>
      <c r="G789" s="4"/>
      <c r="H789" s="3"/>
      <c r="I789" s="4"/>
      <c r="J789" s="4"/>
      <c r="K789" s="3"/>
      <c r="L789" s="3"/>
      <c r="M789" s="4"/>
      <c r="N789" s="4"/>
      <c r="O789" s="4"/>
      <c r="P789" s="4"/>
      <c r="Q789" s="3"/>
      <c r="R789" s="4"/>
      <c r="S789" s="4"/>
      <c r="T789" s="4"/>
      <c r="U789" s="3"/>
      <c r="V789" s="4"/>
      <c r="W789" s="3"/>
      <c r="X789" s="3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57"/>
      <c r="D790" s="4"/>
      <c r="E790" s="4"/>
      <c r="F790" s="4"/>
      <c r="G790" s="4"/>
      <c r="H790" s="3"/>
      <c r="I790" s="4"/>
      <c r="J790" s="4"/>
      <c r="K790" s="3"/>
      <c r="L790" s="3"/>
      <c r="M790" s="4"/>
      <c r="N790" s="4"/>
      <c r="O790" s="4"/>
      <c r="P790" s="4"/>
      <c r="Q790" s="3"/>
      <c r="R790" s="4"/>
      <c r="S790" s="4"/>
      <c r="T790" s="4"/>
      <c r="U790" s="3"/>
      <c r="V790" s="4"/>
      <c r="W790" s="3"/>
      <c r="X790" s="3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57"/>
      <c r="D791" s="4"/>
      <c r="E791" s="4"/>
      <c r="F791" s="4"/>
      <c r="G791" s="4"/>
      <c r="H791" s="3"/>
      <c r="I791" s="4"/>
      <c r="J791" s="4"/>
      <c r="K791" s="3"/>
      <c r="L791" s="3"/>
      <c r="M791" s="4"/>
      <c r="N791" s="4"/>
      <c r="O791" s="4"/>
      <c r="P791" s="4"/>
      <c r="Q791" s="3"/>
      <c r="R791" s="4"/>
      <c r="S791" s="4"/>
      <c r="T791" s="4"/>
      <c r="U791" s="3"/>
      <c r="V791" s="4"/>
      <c r="W791" s="3"/>
      <c r="X791" s="3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57"/>
      <c r="D792" s="4"/>
      <c r="E792" s="4"/>
      <c r="F792" s="4"/>
      <c r="G792" s="4"/>
      <c r="H792" s="3"/>
      <c r="I792" s="4"/>
      <c r="J792" s="4"/>
      <c r="K792" s="3"/>
      <c r="L792" s="3"/>
      <c r="M792" s="4"/>
      <c r="N792" s="4"/>
      <c r="O792" s="4"/>
      <c r="P792" s="4"/>
      <c r="Q792" s="3"/>
      <c r="R792" s="4"/>
      <c r="S792" s="4"/>
      <c r="T792" s="4"/>
      <c r="U792" s="3"/>
      <c r="V792" s="4"/>
      <c r="W792" s="3"/>
      <c r="X792" s="3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57"/>
      <c r="D793" s="4"/>
      <c r="E793" s="4"/>
      <c r="F793" s="4"/>
      <c r="G793" s="4"/>
      <c r="H793" s="3"/>
      <c r="I793" s="4"/>
      <c r="J793" s="4"/>
      <c r="K793" s="3"/>
      <c r="L793" s="3"/>
      <c r="M793" s="4"/>
      <c r="N793" s="4"/>
      <c r="O793" s="4"/>
      <c r="P793" s="4"/>
      <c r="Q793" s="3"/>
      <c r="R793" s="4"/>
      <c r="S793" s="4"/>
      <c r="T793" s="4"/>
      <c r="U793" s="3"/>
      <c r="V793" s="4"/>
      <c r="W793" s="3"/>
      <c r="X793" s="3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57"/>
      <c r="D794" s="4"/>
      <c r="E794" s="4"/>
      <c r="F794" s="4"/>
      <c r="G794" s="4"/>
      <c r="H794" s="3"/>
      <c r="I794" s="4"/>
      <c r="J794" s="4"/>
      <c r="K794" s="3"/>
      <c r="L794" s="3"/>
      <c r="M794" s="4"/>
      <c r="N794" s="4"/>
      <c r="O794" s="4"/>
      <c r="P794" s="4"/>
      <c r="Q794" s="3"/>
      <c r="R794" s="4"/>
      <c r="S794" s="4"/>
      <c r="T794" s="4"/>
      <c r="U794" s="3"/>
      <c r="V794" s="4"/>
      <c r="W794" s="3"/>
      <c r="X794" s="3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57"/>
      <c r="D795" s="4"/>
      <c r="E795" s="4"/>
      <c r="F795" s="4"/>
      <c r="G795" s="4"/>
      <c r="H795" s="3"/>
      <c r="I795" s="4"/>
      <c r="J795" s="4"/>
      <c r="K795" s="3"/>
      <c r="L795" s="3"/>
      <c r="M795" s="4"/>
      <c r="N795" s="4"/>
      <c r="O795" s="4"/>
      <c r="P795" s="4"/>
      <c r="Q795" s="3"/>
      <c r="R795" s="4"/>
      <c r="S795" s="4"/>
      <c r="T795" s="4"/>
      <c r="U795" s="3"/>
      <c r="V795" s="4"/>
      <c r="W795" s="3"/>
      <c r="X795" s="3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57"/>
      <c r="D796" s="4"/>
      <c r="E796" s="4"/>
      <c r="F796" s="4"/>
      <c r="G796" s="4"/>
      <c r="H796" s="3"/>
      <c r="I796" s="4"/>
      <c r="J796" s="4"/>
      <c r="K796" s="3"/>
      <c r="L796" s="3"/>
      <c r="M796" s="4"/>
      <c r="N796" s="4"/>
      <c r="O796" s="4"/>
      <c r="P796" s="4"/>
      <c r="Q796" s="3"/>
      <c r="R796" s="4"/>
      <c r="S796" s="4"/>
      <c r="T796" s="4"/>
      <c r="U796" s="3"/>
      <c r="V796" s="4"/>
      <c r="W796" s="3"/>
      <c r="X796" s="3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57"/>
      <c r="D797" s="4"/>
      <c r="E797" s="4"/>
      <c r="F797" s="4"/>
      <c r="G797" s="4"/>
      <c r="H797" s="3"/>
      <c r="I797" s="4"/>
      <c r="J797" s="4"/>
      <c r="K797" s="3"/>
      <c r="L797" s="3"/>
      <c r="M797" s="4"/>
      <c r="N797" s="4"/>
      <c r="O797" s="4"/>
      <c r="P797" s="4"/>
      <c r="Q797" s="3"/>
      <c r="R797" s="4"/>
      <c r="S797" s="4"/>
      <c r="T797" s="4"/>
      <c r="U797" s="3"/>
      <c r="V797" s="4"/>
      <c r="W797" s="3"/>
      <c r="X797" s="3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57"/>
      <c r="D798" s="4"/>
      <c r="E798" s="4"/>
      <c r="F798" s="4"/>
      <c r="G798" s="4"/>
      <c r="H798" s="3"/>
      <c r="I798" s="4"/>
      <c r="J798" s="4"/>
      <c r="K798" s="3"/>
      <c r="L798" s="3"/>
      <c r="M798" s="4"/>
      <c r="N798" s="4"/>
      <c r="O798" s="4"/>
      <c r="P798" s="4"/>
      <c r="Q798" s="3"/>
      <c r="R798" s="4"/>
      <c r="S798" s="4"/>
      <c r="T798" s="4"/>
      <c r="U798" s="3"/>
      <c r="V798" s="4"/>
      <c r="W798" s="3"/>
      <c r="X798" s="3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57"/>
      <c r="D799" s="4"/>
      <c r="E799" s="4"/>
      <c r="F799" s="4"/>
      <c r="G799" s="4"/>
      <c r="H799" s="3"/>
      <c r="I799" s="4"/>
      <c r="J799" s="4"/>
      <c r="K799" s="3"/>
      <c r="L799" s="3"/>
      <c r="M799" s="4"/>
      <c r="N799" s="4"/>
      <c r="O799" s="4"/>
      <c r="P799" s="4"/>
      <c r="Q799" s="3"/>
      <c r="R799" s="4"/>
      <c r="S799" s="4"/>
      <c r="T799" s="4"/>
      <c r="U799" s="3"/>
      <c r="V799" s="4"/>
      <c r="W799" s="3"/>
      <c r="X799" s="3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57"/>
      <c r="D800" s="4"/>
      <c r="E800" s="4"/>
      <c r="F800" s="4"/>
      <c r="G800" s="4"/>
      <c r="H800" s="3"/>
      <c r="I800" s="4"/>
      <c r="J800" s="4"/>
      <c r="K800" s="3"/>
      <c r="L800" s="3"/>
      <c r="M800" s="4"/>
      <c r="N800" s="4"/>
      <c r="O800" s="4"/>
      <c r="P800" s="4"/>
      <c r="Q800" s="3"/>
      <c r="R800" s="4"/>
      <c r="S800" s="4"/>
      <c r="T800" s="4"/>
      <c r="U800" s="3"/>
      <c r="V800" s="4"/>
      <c r="W800" s="3"/>
      <c r="X800" s="3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57"/>
      <c r="D801" s="4"/>
      <c r="E801" s="4"/>
      <c r="F801" s="4"/>
      <c r="G801" s="4"/>
      <c r="H801" s="3"/>
      <c r="I801" s="4"/>
      <c r="J801" s="4"/>
      <c r="K801" s="3"/>
      <c r="L801" s="3"/>
      <c r="M801" s="4"/>
      <c r="N801" s="4"/>
      <c r="O801" s="4"/>
      <c r="P801" s="4"/>
      <c r="Q801" s="3"/>
      <c r="R801" s="4"/>
      <c r="S801" s="4"/>
      <c r="T801" s="4"/>
      <c r="U801" s="3"/>
      <c r="V801" s="4"/>
      <c r="W801" s="3"/>
      <c r="X801" s="3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57"/>
      <c r="D802" s="4"/>
      <c r="E802" s="4"/>
      <c r="F802" s="4"/>
      <c r="G802" s="4"/>
      <c r="H802" s="3"/>
      <c r="I802" s="4"/>
      <c r="J802" s="4"/>
      <c r="K802" s="3"/>
      <c r="L802" s="3"/>
      <c r="M802" s="4"/>
      <c r="N802" s="4"/>
      <c r="O802" s="4"/>
      <c r="P802" s="4"/>
      <c r="Q802" s="3"/>
      <c r="R802" s="4"/>
      <c r="S802" s="4"/>
      <c r="T802" s="4"/>
      <c r="U802" s="3"/>
      <c r="V802" s="4"/>
      <c r="W802" s="3"/>
      <c r="X802" s="3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57"/>
      <c r="D803" s="4"/>
      <c r="E803" s="4"/>
      <c r="F803" s="4"/>
      <c r="G803" s="4"/>
      <c r="H803" s="3"/>
      <c r="I803" s="4"/>
      <c r="J803" s="4"/>
      <c r="K803" s="3"/>
      <c r="L803" s="3"/>
      <c r="M803" s="4"/>
      <c r="N803" s="4"/>
      <c r="O803" s="4"/>
      <c r="P803" s="4"/>
      <c r="Q803" s="3"/>
      <c r="R803" s="4"/>
      <c r="S803" s="4"/>
      <c r="T803" s="4"/>
      <c r="U803" s="3"/>
      <c r="V803" s="4"/>
      <c r="W803" s="3"/>
      <c r="X803" s="3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57"/>
      <c r="D804" s="4"/>
      <c r="E804" s="4"/>
      <c r="F804" s="4"/>
      <c r="G804" s="4"/>
      <c r="H804" s="3"/>
      <c r="I804" s="4"/>
      <c r="J804" s="4"/>
      <c r="K804" s="3"/>
      <c r="L804" s="3"/>
      <c r="M804" s="4"/>
      <c r="N804" s="4"/>
      <c r="O804" s="4"/>
      <c r="P804" s="4"/>
      <c r="Q804" s="3"/>
      <c r="R804" s="4"/>
      <c r="S804" s="4"/>
      <c r="T804" s="4"/>
      <c r="U804" s="3"/>
      <c r="V804" s="4"/>
      <c r="W804" s="3"/>
      <c r="X804" s="3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57"/>
      <c r="D805" s="4"/>
      <c r="E805" s="4"/>
      <c r="F805" s="4"/>
      <c r="G805" s="4"/>
      <c r="H805" s="3"/>
      <c r="I805" s="4"/>
      <c r="J805" s="4"/>
      <c r="K805" s="3"/>
      <c r="L805" s="3"/>
      <c r="M805" s="4"/>
      <c r="N805" s="4"/>
      <c r="O805" s="4"/>
      <c r="P805" s="4"/>
      <c r="Q805" s="3"/>
      <c r="R805" s="4"/>
      <c r="S805" s="4"/>
      <c r="T805" s="4"/>
      <c r="U805" s="3"/>
      <c r="V805" s="4"/>
      <c r="W805" s="3"/>
      <c r="X805" s="3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57"/>
      <c r="D806" s="4"/>
      <c r="E806" s="4"/>
      <c r="F806" s="4"/>
      <c r="G806" s="4"/>
      <c r="H806" s="3"/>
      <c r="I806" s="4"/>
      <c r="J806" s="4"/>
      <c r="K806" s="3"/>
      <c r="L806" s="3"/>
      <c r="M806" s="4"/>
      <c r="N806" s="4"/>
      <c r="O806" s="4"/>
      <c r="P806" s="4"/>
      <c r="Q806" s="3"/>
      <c r="R806" s="4"/>
      <c r="S806" s="4"/>
      <c r="T806" s="4"/>
      <c r="U806" s="3"/>
      <c r="V806" s="4"/>
      <c r="W806" s="3"/>
      <c r="X806" s="3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57"/>
      <c r="D807" s="4"/>
      <c r="E807" s="4"/>
      <c r="F807" s="4"/>
      <c r="G807" s="4"/>
      <c r="H807" s="3"/>
      <c r="I807" s="4"/>
      <c r="J807" s="4"/>
      <c r="K807" s="3"/>
      <c r="L807" s="3"/>
      <c r="M807" s="4"/>
      <c r="N807" s="4"/>
      <c r="O807" s="4"/>
      <c r="P807" s="4"/>
      <c r="Q807" s="3"/>
      <c r="R807" s="4"/>
      <c r="S807" s="4"/>
      <c r="T807" s="4"/>
      <c r="U807" s="3"/>
      <c r="V807" s="4"/>
      <c r="W807" s="3"/>
      <c r="X807" s="3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57"/>
      <c r="D808" s="4"/>
      <c r="E808" s="4"/>
      <c r="F808" s="4"/>
      <c r="G808" s="4"/>
      <c r="H808" s="3"/>
      <c r="I808" s="4"/>
      <c r="J808" s="4"/>
      <c r="K808" s="3"/>
      <c r="L808" s="3"/>
      <c r="M808" s="4"/>
      <c r="N808" s="4"/>
      <c r="O808" s="4"/>
      <c r="P808" s="4"/>
      <c r="Q808" s="3"/>
      <c r="R808" s="4"/>
      <c r="S808" s="4"/>
      <c r="T808" s="4"/>
      <c r="U808" s="3"/>
      <c r="V808" s="4"/>
      <c r="W808" s="3"/>
      <c r="X808" s="3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57"/>
      <c r="D809" s="4"/>
      <c r="E809" s="4"/>
      <c r="F809" s="4"/>
      <c r="G809" s="4"/>
      <c r="H809" s="3"/>
      <c r="I809" s="4"/>
      <c r="J809" s="4"/>
      <c r="K809" s="3"/>
      <c r="L809" s="3"/>
      <c r="M809" s="4"/>
      <c r="N809" s="4"/>
      <c r="O809" s="4"/>
      <c r="P809" s="4"/>
      <c r="Q809" s="3"/>
      <c r="R809" s="4"/>
      <c r="S809" s="4"/>
      <c r="T809" s="4"/>
      <c r="U809" s="3"/>
      <c r="V809" s="4"/>
      <c r="W809" s="3"/>
      <c r="X809" s="3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57"/>
      <c r="D810" s="4"/>
      <c r="E810" s="4"/>
      <c r="F810" s="4"/>
      <c r="G810" s="4"/>
      <c r="H810" s="3"/>
      <c r="I810" s="4"/>
      <c r="J810" s="4"/>
      <c r="K810" s="3"/>
      <c r="L810" s="3"/>
      <c r="M810" s="4"/>
      <c r="N810" s="4"/>
      <c r="O810" s="4"/>
      <c r="P810" s="4"/>
      <c r="Q810" s="3"/>
      <c r="R810" s="4"/>
      <c r="S810" s="4"/>
      <c r="T810" s="4"/>
      <c r="U810" s="3"/>
      <c r="V810" s="4"/>
      <c r="W810" s="3"/>
      <c r="X810" s="3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57"/>
      <c r="D811" s="4"/>
      <c r="E811" s="4"/>
      <c r="F811" s="4"/>
      <c r="G811" s="4"/>
      <c r="H811" s="3"/>
      <c r="I811" s="4"/>
      <c r="J811" s="4"/>
      <c r="K811" s="3"/>
      <c r="L811" s="3"/>
      <c r="M811" s="4"/>
      <c r="N811" s="4"/>
      <c r="O811" s="4"/>
      <c r="P811" s="4"/>
      <c r="Q811" s="3"/>
      <c r="R811" s="4"/>
      <c r="S811" s="4"/>
      <c r="T811" s="4"/>
      <c r="U811" s="3"/>
      <c r="V811" s="4"/>
      <c r="W811" s="3"/>
      <c r="X811" s="3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57"/>
      <c r="D812" s="4"/>
      <c r="E812" s="4"/>
      <c r="F812" s="4"/>
      <c r="G812" s="4"/>
      <c r="H812" s="3"/>
      <c r="I812" s="4"/>
      <c r="J812" s="4"/>
      <c r="K812" s="3"/>
      <c r="L812" s="3"/>
      <c r="M812" s="4"/>
      <c r="N812" s="4"/>
      <c r="O812" s="4"/>
      <c r="P812" s="4"/>
      <c r="Q812" s="3"/>
      <c r="R812" s="4"/>
      <c r="S812" s="4"/>
      <c r="T812" s="4"/>
      <c r="U812" s="3"/>
      <c r="V812" s="4"/>
      <c r="W812" s="3"/>
      <c r="X812" s="3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57"/>
      <c r="D813" s="4"/>
      <c r="E813" s="4"/>
      <c r="F813" s="4"/>
      <c r="G813" s="4"/>
      <c r="H813" s="3"/>
      <c r="I813" s="4"/>
      <c r="J813" s="4"/>
      <c r="K813" s="3"/>
      <c r="L813" s="3"/>
      <c r="M813" s="4"/>
      <c r="N813" s="4"/>
      <c r="O813" s="4"/>
      <c r="P813" s="4"/>
      <c r="Q813" s="3"/>
      <c r="R813" s="4"/>
      <c r="S813" s="4"/>
      <c r="T813" s="4"/>
      <c r="U813" s="3"/>
      <c r="V813" s="4"/>
      <c r="W813" s="3"/>
      <c r="X813" s="3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57"/>
      <c r="D814" s="4"/>
      <c r="E814" s="4"/>
      <c r="F814" s="4"/>
      <c r="G814" s="4"/>
      <c r="H814" s="3"/>
      <c r="I814" s="4"/>
      <c r="J814" s="4"/>
      <c r="K814" s="3"/>
      <c r="L814" s="3"/>
      <c r="M814" s="4"/>
      <c r="N814" s="4"/>
      <c r="O814" s="4"/>
      <c r="P814" s="4"/>
      <c r="Q814" s="3"/>
      <c r="R814" s="4"/>
      <c r="S814" s="4"/>
      <c r="T814" s="4"/>
      <c r="U814" s="3"/>
      <c r="V814" s="4"/>
      <c r="W814" s="3"/>
      <c r="X814" s="3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57"/>
      <c r="D815" s="4"/>
      <c r="E815" s="4"/>
      <c r="F815" s="4"/>
      <c r="G815" s="4"/>
      <c r="H815" s="3"/>
      <c r="I815" s="4"/>
      <c r="J815" s="4"/>
      <c r="K815" s="3"/>
      <c r="L815" s="3"/>
      <c r="M815" s="4"/>
      <c r="N815" s="4"/>
      <c r="O815" s="4"/>
      <c r="P815" s="4"/>
      <c r="Q815" s="3"/>
      <c r="R815" s="4"/>
      <c r="S815" s="4"/>
      <c r="T815" s="4"/>
      <c r="U815" s="3"/>
      <c r="V815" s="4"/>
      <c r="W815" s="3"/>
      <c r="X815" s="3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57"/>
      <c r="D816" s="4"/>
      <c r="E816" s="4"/>
      <c r="F816" s="4"/>
      <c r="G816" s="4"/>
      <c r="H816" s="3"/>
      <c r="I816" s="4"/>
      <c r="J816" s="4"/>
      <c r="K816" s="3"/>
      <c r="L816" s="3"/>
      <c r="M816" s="4"/>
      <c r="N816" s="4"/>
      <c r="O816" s="4"/>
      <c r="P816" s="4"/>
      <c r="Q816" s="3"/>
      <c r="R816" s="4"/>
      <c r="S816" s="4"/>
      <c r="T816" s="4"/>
      <c r="U816" s="3"/>
      <c r="V816" s="4"/>
      <c r="W816" s="3"/>
      <c r="X816" s="3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57"/>
      <c r="D817" s="4"/>
      <c r="E817" s="4"/>
      <c r="F817" s="4"/>
      <c r="G817" s="4"/>
      <c r="H817" s="3"/>
      <c r="I817" s="4"/>
      <c r="J817" s="4"/>
      <c r="K817" s="3"/>
      <c r="L817" s="3"/>
      <c r="M817" s="4"/>
      <c r="N817" s="4"/>
      <c r="O817" s="4"/>
      <c r="P817" s="4"/>
      <c r="Q817" s="3"/>
      <c r="R817" s="4"/>
      <c r="S817" s="4"/>
      <c r="T817" s="4"/>
      <c r="U817" s="3"/>
      <c r="V817" s="4"/>
      <c r="W817" s="3"/>
      <c r="X817" s="3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57"/>
      <c r="D818" s="4"/>
      <c r="E818" s="4"/>
      <c r="F818" s="4"/>
      <c r="G818" s="4"/>
      <c r="H818" s="3"/>
      <c r="I818" s="4"/>
      <c r="J818" s="4"/>
      <c r="K818" s="3"/>
      <c r="L818" s="3"/>
      <c r="M818" s="4"/>
      <c r="N818" s="4"/>
      <c r="O818" s="4"/>
      <c r="P818" s="4"/>
      <c r="Q818" s="3"/>
      <c r="R818" s="4"/>
      <c r="S818" s="4"/>
      <c r="T818" s="4"/>
      <c r="U818" s="3"/>
      <c r="V818" s="4"/>
      <c r="W818" s="3"/>
      <c r="X818" s="3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57"/>
      <c r="D819" s="4"/>
      <c r="E819" s="4"/>
      <c r="F819" s="4"/>
      <c r="G819" s="4"/>
      <c r="H819" s="3"/>
      <c r="I819" s="4"/>
      <c r="J819" s="4"/>
      <c r="K819" s="3"/>
      <c r="L819" s="3"/>
      <c r="M819" s="4"/>
      <c r="N819" s="4"/>
      <c r="O819" s="4"/>
      <c r="P819" s="4"/>
      <c r="Q819" s="3"/>
      <c r="R819" s="4"/>
      <c r="S819" s="4"/>
      <c r="T819" s="4"/>
      <c r="U819" s="3"/>
      <c r="V819" s="4"/>
      <c r="W819" s="3"/>
      <c r="X819" s="3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57"/>
      <c r="D820" s="4"/>
      <c r="E820" s="4"/>
      <c r="F820" s="4"/>
      <c r="G820" s="4"/>
      <c r="H820" s="3"/>
      <c r="I820" s="4"/>
      <c r="J820" s="4"/>
      <c r="K820" s="3"/>
      <c r="L820" s="3"/>
      <c r="M820" s="4"/>
      <c r="N820" s="4"/>
      <c r="O820" s="4"/>
      <c r="P820" s="4"/>
      <c r="Q820" s="3"/>
      <c r="R820" s="4"/>
      <c r="S820" s="4"/>
      <c r="T820" s="4"/>
      <c r="U820" s="3"/>
      <c r="V820" s="4"/>
      <c r="W820" s="3"/>
      <c r="X820" s="3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57"/>
      <c r="D821" s="4"/>
      <c r="E821" s="4"/>
      <c r="F821" s="4"/>
      <c r="G821" s="4"/>
      <c r="H821" s="3"/>
      <c r="I821" s="4"/>
      <c r="J821" s="4"/>
      <c r="K821" s="3"/>
      <c r="L821" s="3"/>
      <c r="M821" s="4"/>
      <c r="N821" s="4"/>
      <c r="O821" s="4"/>
      <c r="P821" s="4"/>
      <c r="Q821" s="3"/>
      <c r="R821" s="4"/>
      <c r="S821" s="4"/>
      <c r="T821" s="4"/>
      <c r="U821" s="3"/>
      <c r="V821" s="4"/>
      <c r="W821" s="3"/>
      <c r="X821" s="3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57"/>
      <c r="D822" s="4"/>
      <c r="E822" s="4"/>
      <c r="F822" s="4"/>
      <c r="G822" s="4"/>
      <c r="H822" s="3"/>
      <c r="I822" s="4"/>
      <c r="J822" s="4"/>
      <c r="K822" s="3"/>
      <c r="L822" s="3"/>
      <c r="M822" s="4"/>
      <c r="N822" s="4"/>
      <c r="O822" s="4"/>
      <c r="P822" s="4"/>
      <c r="Q822" s="3"/>
      <c r="R822" s="4"/>
      <c r="S822" s="4"/>
      <c r="T822" s="4"/>
      <c r="U822" s="3"/>
      <c r="V822" s="4"/>
      <c r="W822" s="3"/>
      <c r="X822" s="3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57"/>
      <c r="D823" s="4"/>
      <c r="E823" s="4"/>
      <c r="F823" s="4"/>
      <c r="G823" s="4"/>
      <c r="H823" s="3"/>
      <c r="I823" s="4"/>
      <c r="J823" s="4"/>
      <c r="K823" s="3"/>
      <c r="L823" s="3"/>
      <c r="M823" s="4"/>
      <c r="N823" s="4"/>
      <c r="O823" s="4"/>
      <c r="P823" s="4"/>
      <c r="Q823" s="3"/>
      <c r="R823" s="4"/>
      <c r="S823" s="4"/>
      <c r="T823" s="4"/>
      <c r="U823" s="3"/>
      <c r="V823" s="4"/>
      <c r="W823" s="3"/>
      <c r="X823" s="3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57"/>
      <c r="D824" s="4"/>
      <c r="E824" s="4"/>
      <c r="F824" s="4"/>
      <c r="G824" s="4"/>
      <c r="H824" s="3"/>
      <c r="I824" s="4"/>
      <c r="J824" s="4"/>
      <c r="K824" s="3"/>
      <c r="L824" s="3"/>
      <c r="M824" s="4"/>
      <c r="N824" s="4"/>
      <c r="O824" s="4"/>
      <c r="P824" s="4"/>
      <c r="Q824" s="3"/>
      <c r="R824" s="4"/>
      <c r="S824" s="4"/>
      <c r="T824" s="4"/>
      <c r="U824" s="3"/>
      <c r="V824" s="4"/>
      <c r="W824" s="3"/>
      <c r="X824" s="3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57"/>
      <c r="D825" s="4"/>
      <c r="E825" s="4"/>
      <c r="F825" s="4"/>
      <c r="G825" s="4"/>
      <c r="H825" s="3"/>
      <c r="I825" s="4"/>
      <c r="J825" s="4"/>
      <c r="K825" s="3"/>
      <c r="L825" s="3"/>
      <c r="M825" s="4"/>
      <c r="N825" s="4"/>
      <c r="O825" s="4"/>
      <c r="P825" s="4"/>
      <c r="Q825" s="3"/>
      <c r="R825" s="4"/>
      <c r="S825" s="4"/>
      <c r="T825" s="4"/>
      <c r="U825" s="3"/>
      <c r="V825" s="4"/>
      <c r="W825" s="3"/>
      <c r="X825" s="3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57"/>
      <c r="D826" s="4"/>
      <c r="E826" s="4"/>
      <c r="F826" s="4"/>
      <c r="G826" s="4"/>
      <c r="H826" s="3"/>
      <c r="I826" s="4"/>
      <c r="J826" s="4"/>
      <c r="K826" s="3"/>
      <c r="L826" s="3"/>
      <c r="M826" s="4"/>
      <c r="N826" s="4"/>
      <c r="O826" s="4"/>
      <c r="P826" s="4"/>
      <c r="Q826" s="3"/>
      <c r="R826" s="4"/>
      <c r="S826" s="4"/>
      <c r="T826" s="4"/>
      <c r="U826" s="3"/>
      <c r="V826" s="4"/>
      <c r="W826" s="3"/>
      <c r="X826" s="3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57"/>
      <c r="D827" s="4"/>
      <c r="E827" s="4"/>
      <c r="F827" s="4"/>
      <c r="G827" s="4"/>
      <c r="H827" s="3"/>
      <c r="I827" s="4"/>
      <c r="J827" s="4"/>
      <c r="K827" s="3"/>
      <c r="L827" s="3"/>
      <c r="M827" s="4"/>
      <c r="N827" s="4"/>
      <c r="O827" s="4"/>
      <c r="P827" s="4"/>
      <c r="Q827" s="3"/>
      <c r="R827" s="4"/>
      <c r="S827" s="4"/>
      <c r="T827" s="4"/>
      <c r="U827" s="3"/>
      <c r="V827" s="4"/>
      <c r="W827" s="3"/>
      <c r="X827" s="3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57"/>
      <c r="D828" s="4"/>
      <c r="E828" s="4"/>
      <c r="F828" s="4"/>
      <c r="G828" s="4"/>
      <c r="H828" s="3"/>
      <c r="I828" s="4"/>
      <c r="J828" s="4"/>
      <c r="K828" s="3"/>
      <c r="L828" s="3"/>
      <c r="M828" s="4"/>
      <c r="N828" s="4"/>
      <c r="O828" s="4"/>
      <c r="P828" s="4"/>
      <c r="Q828" s="3"/>
      <c r="R828" s="4"/>
      <c r="S828" s="4"/>
      <c r="T828" s="4"/>
      <c r="U828" s="3"/>
      <c r="V828" s="4"/>
      <c r="W828" s="3"/>
      <c r="X828" s="3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57"/>
      <c r="D829" s="4"/>
      <c r="E829" s="4"/>
      <c r="F829" s="4"/>
      <c r="G829" s="4"/>
      <c r="H829" s="3"/>
      <c r="I829" s="4"/>
      <c r="J829" s="4"/>
      <c r="K829" s="3"/>
      <c r="L829" s="3"/>
      <c r="M829" s="4"/>
      <c r="N829" s="4"/>
      <c r="O829" s="4"/>
      <c r="P829" s="4"/>
      <c r="Q829" s="3"/>
      <c r="R829" s="4"/>
      <c r="S829" s="4"/>
      <c r="T829" s="4"/>
      <c r="U829" s="3"/>
      <c r="V829" s="4"/>
      <c r="W829" s="3"/>
      <c r="X829" s="3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57"/>
      <c r="D830" s="4"/>
      <c r="E830" s="4"/>
      <c r="F830" s="4"/>
      <c r="G830" s="4"/>
      <c r="H830" s="3"/>
      <c r="I830" s="4"/>
      <c r="J830" s="4"/>
      <c r="K830" s="3"/>
      <c r="L830" s="3"/>
      <c r="M830" s="4"/>
      <c r="N830" s="4"/>
      <c r="O830" s="4"/>
      <c r="P830" s="4"/>
      <c r="Q830" s="3"/>
      <c r="R830" s="4"/>
      <c r="S830" s="4"/>
      <c r="T830" s="4"/>
      <c r="U830" s="3"/>
      <c r="V830" s="4"/>
      <c r="W830" s="3"/>
      <c r="X830" s="3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57"/>
      <c r="D831" s="4"/>
      <c r="E831" s="4"/>
      <c r="F831" s="4"/>
      <c r="G831" s="4"/>
      <c r="H831" s="3"/>
      <c r="I831" s="4"/>
      <c r="J831" s="4"/>
      <c r="K831" s="3"/>
      <c r="L831" s="3"/>
      <c r="M831" s="4"/>
      <c r="N831" s="4"/>
      <c r="O831" s="4"/>
      <c r="P831" s="4"/>
      <c r="Q831" s="3"/>
      <c r="R831" s="4"/>
      <c r="S831" s="4"/>
      <c r="T831" s="4"/>
      <c r="U831" s="3"/>
      <c r="V831" s="4"/>
      <c r="W831" s="3"/>
      <c r="X831" s="3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57"/>
      <c r="D832" s="4"/>
      <c r="E832" s="4"/>
      <c r="F832" s="4"/>
      <c r="G832" s="4"/>
      <c r="H832" s="3"/>
      <c r="I832" s="4"/>
      <c r="J832" s="4"/>
      <c r="K832" s="3"/>
      <c r="L832" s="3"/>
      <c r="M832" s="4"/>
      <c r="N832" s="4"/>
      <c r="O832" s="4"/>
      <c r="P832" s="4"/>
      <c r="Q832" s="3"/>
      <c r="R832" s="4"/>
      <c r="S832" s="4"/>
      <c r="T832" s="4"/>
      <c r="U832" s="3"/>
      <c r="V832" s="4"/>
      <c r="W832" s="3"/>
      <c r="X832" s="3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57"/>
      <c r="D833" s="4"/>
      <c r="E833" s="4"/>
      <c r="F833" s="4"/>
      <c r="G833" s="4"/>
      <c r="H833" s="3"/>
      <c r="I833" s="4"/>
      <c r="J833" s="4"/>
      <c r="K833" s="3"/>
      <c r="L833" s="3"/>
      <c r="M833" s="4"/>
      <c r="N833" s="4"/>
      <c r="O833" s="4"/>
      <c r="P833" s="4"/>
      <c r="Q833" s="3"/>
      <c r="R833" s="4"/>
      <c r="S833" s="4"/>
      <c r="T833" s="4"/>
      <c r="U833" s="3"/>
      <c r="V833" s="4"/>
      <c r="W833" s="3"/>
      <c r="X833" s="3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57"/>
      <c r="D834" s="4"/>
      <c r="E834" s="4"/>
      <c r="F834" s="4"/>
      <c r="G834" s="4"/>
      <c r="H834" s="3"/>
      <c r="I834" s="4"/>
      <c r="J834" s="4"/>
      <c r="K834" s="3"/>
      <c r="L834" s="3"/>
      <c r="M834" s="4"/>
      <c r="N834" s="4"/>
      <c r="O834" s="4"/>
      <c r="P834" s="4"/>
      <c r="Q834" s="3"/>
      <c r="R834" s="4"/>
      <c r="S834" s="4"/>
      <c r="T834" s="4"/>
      <c r="U834" s="3"/>
      <c r="V834" s="4"/>
      <c r="W834" s="3"/>
      <c r="X834" s="3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57"/>
      <c r="D835" s="4"/>
      <c r="E835" s="4"/>
      <c r="F835" s="4"/>
      <c r="G835" s="4"/>
      <c r="H835" s="3"/>
      <c r="I835" s="4"/>
      <c r="J835" s="4"/>
      <c r="K835" s="3"/>
      <c r="L835" s="3"/>
      <c r="M835" s="4"/>
      <c r="N835" s="4"/>
      <c r="O835" s="4"/>
      <c r="P835" s="4"/>
      <c r="Q835" s="3"/>
      <c r="R835" s="4"/>
      <c r="S835" s="4"/>
      <c r="T835" s="4"/>
      <c r="U835" s="3"/>
      <c r="V835" s="4"/>
      <c r="W835" s="3"/>
      <c r="X835" s="3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57"/>
      <c r="D836" s="4"/>
      <c r="E836" s="4"/>
      <c r="F836" s="4"/>
      <c r="G836" s="4"/>
      <c r="H836" s="3"/>
      <c r="I836" s="4"/>
      <c r="J836" s="4"/>
      <c r="K836" s="3"/>
      <c r="L836" s="3"/>
      <c r="M836" s="4"/>
      <c r="N836" s="4"/>
      <c r="O836" s="4"/>
      <c r="P836" s="4"/>
      <c r="Q836" s="3"/>
      <c r="R836" s="4"/>
      <c r="S836" s="4"/>
      <c r="T836" s="4"/>
      <c r="U836" s="3"/>
      <c r="V836" s="4"/>
      <c r="W836" s="3"/>
      <c r="X836" s="3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57"/>
      <c r="D837" s="4"/>
      <c r="E837" s="4"/>
      <c r="F837" s="4"/>
      <c r="G837" s="4"/>
      <c r="H837" s="3"/>
      <c r="I837" s="4"/>
      <c r="J837" s="4"/>
      <c r="K837" s="3"/>
      <c r="L837" s="3"/>
      <c r="M837" s="4"/>
      <c r="N837" s="4"/>
      <c r="O837" s="4"/>
      <c r="P837" s="4"/>
      <c r="Q837" s="3"/>
      <c r="R837" s="4"/>
      <c r="S837" s="4"/>
      <c r="T837" s="4"/>
      <c r="U837" s="3"/>
      <c r="V837" s="4"/>
      <c r="W837" s="3"/>
      <c r="X837" s="3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57"/>
      <c r="D838" s="4"/>
      <c r="E838" s="4"/>
      <c r="F838" s="4"/>
      <c r="G838" s="4"/>
      <c r="H838" s="3"/>
      <c r="I838" s="4"/>
      <c r="J838" s="4"/>
      <c r="K838" s="3"/>
      <c r="L838" s="3"/>
      <c r="M838" s="4"/>
      <c r="N838" s="4"/>
      <c r="O838" s="4"/>
      <c r="P838" s="4"/>
      <c r="Q838" s="3"/>
      <c r="R838" s="4"/>
      <c r="S838" s="4"/>
      <c r="T838" s="4"/>
      <c r="U838" s="3"/>
      <c r="V838" s="4"/>
      <c r="W838" s="3"/>
      <c r="X838" s="3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57"/>
      <c r="D839" s="4"/>
      <c r="E839" s="4"/>
      <c r="F839" s="4"/>
      <c r="G839" s="4"/>
      <c r="H839" s="3"/>
      <c r="I839" s="4"/>
      <c r="J839" s="4"/>
      <c r="K839" s="3"/>
      <c r="L839" s="3"/>
      <c r="M839" s="4"/>
      <c r="N839" s="4"/>
      <c r="O839" s="4"/>
      <c r="P839" s="4"/>
      <c r="Q839" s="3"/>
      <c r="R839" s="4"/>
      <c r="S839" s="4"/>
      <c r="T839" s="4"/>
      <c r="U839" s="3"/>
      <c r="V839" s="4"/>
      <c r="W839" s="3"/>
      <c r="X839" s="3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57"/>
      <c r="D840" s="4"/>
      <c r="E840" s="4"/>
      <c r="F840" s="4"/>
      <c r="G840" s="4"/>
      <c r="H840" s="3"/>
      <c r="I840" s="4"/>
      <c r="J840" s="4"/>
      <c r="K840" s="3"/>
      <c r="L840" s="3"/>
      <c r="M840" s="4"/>
      <c r="N840" s="4"/>
      <c r="O840" s="4"/>
      <c r="P840" s="4"/>
      <c r="Q840" s="3"/>
      <c r="R840" s="4"/>
      <c r="S840" s="4"/>
      <c r="T840" s="4"/>
      <c r="U840" s="3"/>
      <c r="V840" s="4"/>
      <c r="W840" s="3"/>
      <c r="X840" s="3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57"/>
      <c r="D841" s="4"/>
      <c r="E841" s="4"/>
      <c r="F841" s="4"/>
      <c r="G841" s="4"/>
      <c r="H841" s="3"/>
      <c r="I841" s="4"/>
      <c r="J841" s="4"/>
      <c r="K841" s="3"/>
      <c r="L841" s="3"/>
      <c r="M841" s="4"/>
      <c r="N841" s="4"/>
      <c r="O841" s="4"/>
      <c r="P841" s="4"/>
      <c r="Q841" s="3"/>
      <c r="R841" s="4"/>
      <c r="S841" s="4"/>
      <c r="T841" s="4"/>
      <c r="U841" s="3"/>
      <c r="V841" s="4"/>
      <c r="W841" s="3"/>
      <c r="X841" s="3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57"/>
      <c r="D842" s="4"/>
      <c r="E842" s="4"/>
      <c r="F842" s="4"/>
      <c r="G842" s="4"/>
      <c r="H842" s="3"/>
      <c r="I842" s="4"/>
      <c r="J842" s="4"/>
      <c r="K842" s="3"/>
      <c r="L842" s="3"/>
      <c r="M842" s="4"/>
      <c r="N842" s="4"/>
      <c r="O842" s="4"/>
      <c r="P842" s="4"/>
      <c r="Q842" s="3"/>
      <c r="R842" s="4"/>
      <c r="S842" s="4"/>
      <c r="T842" s="4"/>
      <c r="U842" s="3"/>
      <c r="V842" s="4"/>
      <c r="W842" s="3"/>
      <c r="X842" s="3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57"/>
      <c r="D843" s="4"/>
      <c r="E843" s="4"/>
      <c r="F843" s="4"/>
      <c r="G843" s="4"/>
      <c r="H843" s="3"/>
      <c r="I843" s="4"/>
      <c r="J843" s="4"/>
      <c r="K843" s="3"/>
      <c r="L843" s="3"/>
      <c r="M843" s="4"/>
      <c r="N843" s="4"/>
      <c r="O843" s="4"/>
      <c r="P843" s="4"/>
      <c r="Q843" s="3"/>
      <c r="R843" s="4"/>
      <c r="S843" s="4"/>
      <c r="T843" s="4"/>
      <c r="U843" s="3"/>
      <c r="V843" s="4"/>
      <c r="W843" s="3"/>
      <c r="X843" s="3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57"/>
      <c r="D844" s="4"/>
      <c r="E844" s="4"/>
      <c r="F844" s="4"/>
      <c r="G844" s="4"/>
      <c r="H844" s="3"/>
      <c r="I844" s="4"/>
      <c r="J844" s="4"/>
      <c r="K844" s="3"/>
      <c r="L844" s="3"/>
      <c r="M844" s="4"/>
      <c r="N844" s="4"/>
      <c r="O844" s="4"/>
      <c r="P844" s="4"/>
      <c r="Q844" s="3"/>
      <c r="R844" s="4"/>
      <c r="S844" s="4"/>
      <c r="T844" s="4"/>
      <c r="U844" s="3"/>
      <c r="V844" s="4"/>
      <c r="W844" s="3"/>
      <c r="X844" s="3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57"/>
      <c r="D845" s="4"/>
      <c r="E845" s="4"/>
      <c r="F845" s="4"/>
      <c r="G845" s="4"/>
      <c r="H845" s="3"/>
      <c r="I845" s="4"/>
      <c r="J845" s="4"/>
      <c r="K845" s="3"/>
      <c r="L845" s="3"/>
      <c r="M845" s="4"/>
      <c r="N845" s="4"/>
      <c r="O845" s="4"/>
      <c r="P845" s="4"/>
      <c r="Q845" s="3"/>
      <c r="R845" s="4"/>
      <c r="S845" s="4"/>
      <c r="T845" s="4"/>
      <c r="U845" s="3"/>
      <c r="V845" s="4"/>
      <c r="W845" s="3"/>
      <c r="X845" s="3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57"/>
      <c r="D846" s="4"/>
      <c r="E846" s="4"/>
      <c r="F846" s="4"/>
      <c r="G846" s="4"/>
      <c r="H846" s="3"/>
      <c r="I846" s="4"/>
      <c r="J846" s="4"/>
      <c r="K846" s="3"/>
      <c r="L846" s="3"/>
      <c r="M846" s="4"/>
      <c r="N846" s="4"/>
      <c r="O846" s="4"/>
      <c r="P846" s="4"/>
      <c r="Q846" s="3"/>
      <c r="R846" s="4"/>
      <c r="S846" s="4"/>
      <c r="T846" s="4"/>
      <c r="U846" s="3"/>
      <c r="V846" s="4"/>
      <c r="W846" s="3"/>
      <c r="X846" s="3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57"/>
      <c r="D847" s="4"/>
      <c r="E847" s="4"/>
      <c r="F847" s="4"/>
      <c r="G847" s="4"/>
      <c r="H847" s="3"/>
      <c r="I847" s="4"/>
      <c r="J847" s="4"/>
      <c r="K847" s="3"/>
      <c r="L847" s="3"/>
      <c r="M847" s="4"/>
      <c r="N847" s="4"/>
      <c r="O847" s="4"/>
      <c r="P847" s="4"/>
      <c r="Q847" s="3"/>
      <c r="R847" s="4"/>
      <c r="S847" s="4"/>
      <c r="T847" s="4"/>
      <c r="U847" s="3"/>
      <c r="V847" s="4"/>
      <c r="W847" s="3"/>
      <c r="X847" s="3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57"/>
      <c r="D848" s="4"/>
      <c r="E848" s="4"/>
      <c r="F848" s="4"/>
      <c r="G848" s="4"/>
      <c r="H848" s="3"/>
      <c r="I848" s="4"/>
      <c r="J848" s="4"/>
      <c r="K848" s="3"/>
      <c r="L848" s="3"/>
      <c r="M848" s="4"/>
      <c r="N848" s="4"/>
      <c r="O848" s="4"/>
      <c r="P848" s="4"/>
      <c r="Q848" s="3"/>
      <c r="R848" s="4"/>
      <c r="S848" s="4"/>
      <c r="T848" s="4"/>
      <c r="U848" s="3"/>
      <c r="V848" s="4"/>
      <c r="W848" s="3"/>
      <c r="X848" s="3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57"/>
      <c r="D849" s="4"/>
      <c r="E849" s="4"/>
      <c r="F849" s="4"/>
      <c r="G849" s="4"/>
      <c r="H849" s="3"/>
      <c r="I849" s="4"/>
      <c r="J849" s="4"/>
      <c r="K849" s="3"/>
      <c r="L849" s="3"/>
      <c r="M849" s="4"/>
      <c r="N849" s="4"/>
      <c r="O849" s="4"/>
      <c r="P849" s="4"/>
      <c r="Q849" s="3"/>
      <c r="R849" s="4"/>
      <c r="S849" s="4"/>
      <c r="T849" s="4"/>
      <c r="U849" s="3"/>
      <c r="V849" s="4"/>
      <c r="W849" s="3"/>
      <c r="X849" s="3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57"/>
      <c r="D850" s="4"/>
      <c r="E850" s="4"/>
      <c r="F850" s="4"/>
      <c r="G850" s="4"/>
      <c r="H850" s="3"/>
      <c r="I850" s="4"/>
      <c r="J850" s="4"/>
      <c r="K850" s="3"/>
      <c r="L850" s="3"/>
      <c r="M850" s="4"/>
      <c r="N850" s="4"/>
      <c r="O850" s="4"/>
      <c r="P850" s="4"/>
      <c r="Q850" s="3"/>
      <c r="R850" s="4"/>
      <c r="S850" s="4"/>
      <c r="T850" s="4"/>
      <c r="U850" s="3"/>
      <c r="V850" s="4"/>
      <c r="W850" s="3"/>
      <c r="X850" s="3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57"/>
      <c r="D851" s="4"/>
      <c r="E851" s="4"/>
      <c r="F851" s="4"/>
      <c r="G851" s="4"/>
      <c r="H851" s="3"/>
      <c r="I851" s="4"/>
      <c r="J851" s="4"/>
      <c r="K851" s="3"/>
      <c r="L851" s="3"/>
      <c r="M851" s="4"/>
      <c r="N851" s="4"/>
      <c r="O851" s="4"/>
      <c r="P851" s="4"/>
      <c r="Q851" s="3"/>
      <c r="R851" s="4"/>
      <c r="S851" s="4"/>
      <c r="T851" s="4"/>
      <c r="U851" s="3"/>
      <c r="V851" s="4"/>
      <c r="W851" s="3"/>
      <c r="X851" s="3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57"/>
      <c r="D852" s="4"/>
      <c r="E852" s="4"/>
      <c r="F852" s="4"/>
      <c r="G852" s="4"/>
      <c r="H852" s="3"/>
      <c r="I852" s="4"/>
      <c r="J852" s="4"/>
      <c r="K852" s="3"/>
      <c r="L852" s="3"/>
      <c r="M852" s="4"/>
      <c r="N852" s="4"/>
      <c r="O852" s="4"/>
      <c r="P852" s="4"/>
      <c r="Q852" s="3"/>
      <c r="R852" s="4"/>
      <c r="S852" s="4"/>
      <c r="T852" s="4"/>
      <c r="U852" s="3"/>
      <c r="V852" s="4"/>
      <c r="W852" s="3"/>
      <c r="X852" s="3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57"/>
      <c r="D853" s="4"/>
      <c r="E853" s="4"/>
      <c r="F853" s="4"/>
      <c r="G853" s="4"/>
      <c r="H853" s="3"/>
      <c r="I853" s="4"/>
      <c r="J853" s="4"/>
      <c r="K853" s="3"/>
      <c r="L853" s="3"/>
      <c r="M853" s="4"/>
      <c r="N853" s="4"/>
      <c r="O853" s="4"/>
      <c r="P853" s="4"/>
      <c r="Q853" s="3"/>
      <c r="R853" s="4"/>
      <c r="S853" s="4"/>
      <c r="T853" s="4"/>
      <c r="U853" s="3"/>
      <c r="V853" s="4"/>
      <c r="W853" s="3"/>
      <c r="X853" s="3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57"/>
      <c r="D854" s="4"/>
      <c r="E854" s="4"/>
      <c r="F854" s="4"/>
      <c r="G854" s="4"/>
      <c r="H854" s="3"/>
      <c r="I854" s="4"/>
      <c r="J854" s="4"/>
      <c r="K854" s="3"/>
      <c r="L854" s="3"/>
      <c r="M854" s="4"/>
      <c r="N854" s="4"/>
      <c r="O854" s="4"/>
      <c r="P854" s="4"/>
      <c r="Q854" s="3"/>
      <c r="R854" s="4"/>
      <c r="S854" s="4"/>
      <c r="T854" s="4"/>
      <c r="U854" s="3"/>
      <c r="V854" s="4"/>
      <c r="W854" s="3"/>
      <c r="X854" s="3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57"/>
      <c r="D855" s="4"/>
      <c r="E855" s="4"/>
      <c r="F855" s="4"/>
      <c r="G855" s="4"/>
      <c r="H855" s="3"/>
      <c r="I855" s="4"/>
      <c r="J855" s="4"/>
      <c r="K855" s="3"/>
      <c r="L855" s="3"/>
      <c r="M855" s="4"/>
      <c r="N855" s="4"/>
      <c r="O855" s="4"/>
      <c r="P855" s="4"/>
      <c r="Q855" s="3"/>
      <c r="R855" s="4"/>
      <c r="S855" s="4"/>
      <c r="T855" s="4"/>
      <c r="U855" s="3"/>
      <c r="V855" s="4"/>
      <c r="W855" s="3"/>
      <c r="X855" s="3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57"/>
      <c r="D856" s="4"/>
      <c r="E856" s="4"/>
      <c r="F856" s="4"/>
      <c r="G856" s="4"/>
      <c r="H856" s="3"/>
      <c r="I856" s="4"/>
      <c r="J856" s="4"/>
      <c r="K856" s="3"/>
      <c r="L856" s="3"/>
      <c r="M856" s="4"/>
      <c r="N856" s="4"/>
      <c r="O856" s="4"/>
      <c r="P856" s="4"/>
      <c r="Q856" s="3"/>
      <c r="R856" s="4"/>
      <c r="S856" s="4"/>
      <c r="T856" s="4"/>
      <c r="U856" s="3"/>
      <c r="V856" s="4"/>
      <c r="W856" s="3"/>
      <c r="X856" s="3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57"/>
      <c r="D857" s="4"/>
      <c r="E857" s="4"/>
      <c r="F857" s="4"/>
      <c r="G857" s="4"/>
      <c r="H857" s="3"/>
      <c r="I857" s="4"/>
      <c r="J857" s="4"/>
      <c r="K857" s="3"/>
      <c r="L857" s="3"/>
      <c r="M857" s="4"/>
      <c r="N857" s="4"/>
      <c r="O857" s="4"/>
      <c r="P857" s="4"/>
      <c r="Q857" s="3"/>
      <c r="R857" s="4"/>
      <c r="S857" s="4"/>
      <c r="T857" s="4"/>
      <c r="U857" s="3"/>
      <c r="V857" s="4"/>
      <c r="W857" s="3"/>
      <c r="X857" s="3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57"/>
      <c r="D858" s="4"/>
      <c r="E858" s="4"/>
      <c r="F858" s="4"/>
      <c r="G858" s="4"/>
      <c r="H858" s="3"/>
      <c r="I858" s="4"/>
      <c r="J858" s="4"/>
      <c r="K858" s="3"/>
      <c r="L858" s="3"/>
      <c r="M858" s="4"/>
      <c r="N858" s="4"/>
      <c r="O858" s="4"/>
      <c r="P858" s="4"/>
      <c r="Q858" s="3"/>
      <c r="R858" s="4"/>
      <c r="S858" s="4"/>
      <c r="T858" s="4"/>
      <c r="U858" s="3"/>
      <c r="V858" s="4"/>
      <c r="W858" s="3"/>
      <c r="X858" s="3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57"/>
      <c r="D859" s="4"/>
      <c r="E859" s="4"/>
      <c r="F859" s="4"/>
      <c r="G859" s="4"/>
      <c r="H859" s="3"/>
      <c r="I859" s="4"/>
      <c r="J859" s="4"/>
      <c r="K859" s="3"/>
      <c r="L859" s="3"/>
      <c r="M859" s="4"/>
      <c r="N859" s="4"/>
      <c r="O859" s="4"/>
      <c r="P859" s="4"/>
      <c r="Q859" s="3"/>
      <c r="R859" s="4"/>
      <c r="S859" s="4"/>
      <c r="T859" s="4"/>
      <c r="U859" s="3"/>
      <c r="V859" s="4"/>
      <c r="W859" s="3"/>
      <c r="X859" s="3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57"/>
      <c r="D860" s="4"/>
      <c r="E860" s="4"/>
      <c r="F860" s="4"/>
      <c r="G860" s="4"/>
      <c r="H860" s="3"/>
      <c r="I860" s="4"/>
      <c r="J860" s="4"/>
      <c r="K860" s="3"/>
      <c r="L860" s="3"/>
      <c r="M860" s="4"/>
      <c r="N860" s="4"/>
      <c r="O860" s="4"/>
      <c r="P860" s="4"/>
      <c r="Q860" s="3"/>
      <c r="R860" s="4"/>
      <c r="S860" s="4"/>
      <c r="T860" s="4"/>
      <c r="U860" s="3"/>
      <c r="V860" s="4"/>
      <c r="W860" s="3"/>
      <c r="X860" s="3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57"/>
      <c r="D861" s="4"/>
      <c r="E861" s="4"/>
      <c r="F861" s="4"/>
      <c r="G861" s="4"/>
      <c r="H861" s="3"/>
      <c r="I861" s="4"/>
      <c r="J861" s="4"/>
      <c r="K861" s="3"/>
      <c r="L861" s="3"/>
      <c r="M861" s="4"/>
      <c r="N861" s="4"/>
      <c r="O861" s="4"/>
      <c r="P861" s="4"/>
      <c r="Q861" s="3"/>
      <c r="R861" s="4"/>
      <c r="S861" s="4"/>
      <c r="T861" s="4"/>
      <c r="U861" s="3"/>
      <c r="V861" s="4"/>
      <c r="W861" s="3"/>
      <c r="X861" s="3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57"/>
      <c r="D862" s="4"/>
      <c r="E862" s="4"/>
      <c r="F862" s="4"/>
      <c r="G862" s="4"/>
      <c r="H862" s="3"/>
      <c r="I862" s="4"/>
      <c r="J862" s="4"/>
      <c r="K862" s="3"/>
      <c r="L862" s="3"/>
      <c r="M862" s="4"/>
      <c r="N862" s="4"/>
      <c r="O862" s="4"/>
      <c r="P862" s="4"/>
      <c r="Q862" s="3"/>
      <c r="R862" s="4"/>
      <c r="S862" s="4"/>
      <c r="T862" s="4"/>
      <c r="U862" s="3"/>
      <c r="V862" s="4"/>
      <c r="W862" s="3"/>
      <c r="X862" s="3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57"/>
      <c r="D863" s="4"/>
      <c r="E863" s="4"/>
      <c r="F863" s="4"/>
      <c r="G863" s="4"/>
      <c r="H863" s="3"/>
      <c r="I863" s="4"/>
      <c r="J863" s="4"/>
      <c r="K863" s="3"/>
      <c r="L863" s="3"/>
      <c r="M863" s="4"/>
      <c r="N863" s="4"/>
      <c r="O863" s="4"/>
      <c r="P863" s="4"/>
      <c r="Q863" s="3"/>
      <c r="R863" s="4"/>
      <c r="S863" s="4"/>
      <c r="T863" s="4"/>
      <c r="U863" s="3"/>
      <c r="V863" s="4"/>
      <c r="W863" s="3"/>
      <c r="X863" s="3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57"/>
      <c r="D864" s="4"/>
      <c r="E864" s="4"/>
      <c r="F864" s="4"/>
      <c r="G864" s="4"/>
      <c r="H864" s="3"/>
      <c r="I864" s="4"/>
      <c r="J864" s="4"/>
      <c r="K864" s="3"/>
      <c r="L864" s="3"/>
      <c r="M864" s="4"/>
      <c r="N864" s="4"/>
      <c r="O864" s="4"/>
      <c r="P864" s="4"/>
      <c r="Q864" s="3"/>
      <c r="R864" s="4"/>
      <c r="S864" s="4"/>
      <c r="T864" s="4"/>
      <c r="U864" s="3"/>
      <c r="V864" s="4"/>
      <c r="W864" s="3"/>
      <c r="X864" s="3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57"/>
      <c r="D865" s="4"/>
      <c r="E865" s="4"/>
      <c r="F865" s="4"/>
      <c r="G865" s="4"/>
      <c r="H865" s="3"/>
      <c r="I865" s="4"/>
      <c r="J865" s="4"/>
      <c r="K865" s="3"/>
      <c r="L865" s="3"/>
      <c r="M865" s="4"/>
      <c r="N865" s="4"/>
      <c r="O865" s="4"/>
      <c r="P865" s="4"/>
      <c r="Q865" s="3"/>
      <c r="R865" s="4"/>
      <c r="S865" s="4"/>
      <c r="T865" s="4"/>
      <c r="U865" s="3"/>
      <c r="V865" s="4"/>
      <c r="W865" s="3"/>
      <c r="X865" s="3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57"/>
      <c r="D866" s="4"/>
      <c r="E866" s="4"/>
      <c r="F866" s="4"/>
      <c r="G866" s="4"/>
      <c r="H866" s="3"/>
      <c r="I866" s="4"/>
      <c r="J866" s="4"/>
      <c r="K866" s="3"/>
      <c r="L866" s="3"/>
      <c r="M866" s="4"/>
      <c r="N866" s="4"/>
      <c r="O866" s="4"/>
      <c r="P866" s="4"/>
      <c r="Q866" s="3"/>
      <c r="R866" s="4"/>
      <c r="S866" s="4"/>
      <c r="T866" s="4"/>
      <c r="U866" s="3"/>
      <c r="V866" s="4"/>
      <c r="W866" s="3"/>
      <c r="X866" s="3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57"/>
      <c r="D867" s="4"/>
      <c r="E867" s="4"/>
      <c r="F867" s="4"/>
      <c r="G867" s="4"/>
      <c r="H867" s="3"/>
      <c r="I867" s="4"/>
      <c r="J867" s="4"/>
      <c r="K867" s="3"/>
      <c r="L867" s="3"/>
      <c r="M867" s="4"/>
      <c r="N867" s="4"/>
      <c r="O867" s="4"/>
      <c r="P867" s="4"/>
      <c r="Q867" s="3"/>
      <c r="R867" s="4"/>
      <c r="S867" s="4"/>
      <c r="T867" s="4"/>
      <c r="U867" s="3"/>
      <c r="V867" s="4"/>
      <c r="W867" s="3"/>
      <c r="X867" s="3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57"/>
      <c r="D868" s="4"/>
      <c r="E868" s="4"/>
      <c r="F868" s="4"/>
      <c r="G868" s="4"/>
      <c r="H868" s="3"/>
      <c r="I868" s="4"/>
      <c r="J868" s="4"/>
      <c r="K868" s="3"/>
      <c r="L868" s="3"/>
      <c r="M868" s="4"/>
      <c r="N868" s="4"/>
      <c r="O868" s="4"/>
      <c r="P868" s="4"/>
      <c r="Q868" s="3"/>
      <c r="R868" s="4"/>
      <c r="S868" s="4"/>
      <c r="T868" s="4"/>
      <c r="U868" s="3"/>
      <c r="V868" s="4"/>
      <c r="W868" s="3"/>
      <c r="X868" s="3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57"/>
      <c r="D869" s="4"/>
      <c r="E869" s="4"/>
      <c r="F869" s="4"/>
      <c r="G869" s="4"/>
      <c r="H869" s="3"/>
      <c r="I869" s="4"/>
      <c r="J869" s="4"/>
      <c r="K869" s="3"/>
      <c r="L869" s="3"/>
      <c r="M869" s="4"/>
      <c r="N869" s="4"/>
      <c r="O869" s="4"/>
      <c r="P869" s="4"/>
      <c r="Q869" s="3"/>
      <c r="R869" s="4"/>
      <c r="S869" s="4"/>
      <c r="T869" s="4"/>
      <c r="U869" s="3"/>
      <c r="V869" s="4"/>
      <c r="W869" s="3"/>
      <c r="X869" s="3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57"/>
      <c r="D870" s="4"/>
      <c r="E870" s="4"/>
      <c r="F870" s="4"/>
      <c r="G870" s="4"/>
      <c r="H870" s="3"/>
      <c r="I870" s="4"/>
      <c r="J870" s="4"/>
      <c r="K870" s="3"/>
      <c r="L870" s="3"/>
      <c r="M870" s="4"/>
      <c r="N870" s="4"/>
      <c r="O870" s="4"/>
      <c r="P870" s="4"/>
      <c r="Q870" s="3"/>
      <c r="R870" s="4"/>
      <c r="S870" s="4"/>
      <c r="T870" s="4"/>
      <c r="U870" s="3"/>
      <c r="V870" s="4"/>
      <c r="W870" s="3"/>
      <c r="X870" s="3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57"/>
      <c r="D871" s="4"/>
      <c r="E871" s="4"/>
      <c r="F871" s="4"/>
      <c r="G871" s="4"/>
      <c r="H871" s="3"/>
      <c r="I871" s="4"/>
      <c r="J871" s="4"/>
      <c r="K871" s="3"/>
      <c r="L871" s="3"/>
      <c r="M871" s="4"/>
      <c r="N871" s="4"/>
      <c r="O871" s="4"/>
      <c r="P871" s="4"/>
      <c r="Q871" s="3"/>
      <c r="R871" s="4"/>
      <c r="S871" s="4"/>
      <c r="T871" s="4"/>
      <c r="U871" s="3"/>
      <c r="V871" s="4"/>
      <c r="W871" s="3"/>
      <c r="X871" s="3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57"/>
      <c r="D872" s="4"/>
      <c r="E872" s="4"/>
      <c r="F872" s="4"/>
      <c r="G872" s="4"/>
      <c r="H872" s="3"/>
      <c r="I872" s="4"/>
      <c r="J872" s="4"/>
      <c r="K872" s="3"/>
      <c r="L872" s="3"/>
      <c r="M872" s="4"/>
      <c r="N872" s="4"/>
      <c r="O872" s="4"/>
      <c r="P872" s="4"/>
      <c r="Q872" s="3"/>
      <c r="R872" s="4"/>
      <c r="S872" s="4"/>
      <c r="T872" s="4"/>
      <c r="U872" s="3"/>
      <c r="V872" s="4"/>
      <c r="W872" s="3"/>
      <c r="X872" s="3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57"/>
      <c r="D873" s="4"/>
      <c r="E873" s="4"/>
      <c r="F873" s="4"/>
      <c r="G873" s="4"/>
      <c r="H873" s="3"/>
      <c r="I873" s="4"/>
      <c r="J873" s="4"/>
      <c r="K873" s="3"/>
      <c r="L873" s="3"/>
      <c r="M873" s="4"/>
      <c r="N873" s="4"/>
      <c r="O873" s="4"/>
      <c r="P873" s="4"/>
      <c r="Q873" s="3"/>
      <c r="R873" s="4"/>
      <c r="S873" s="4"/>
      <c r="T873" s="4"/>
      <c r="U873" s="3"/>
      <c r="V873" s="4"/>
      <c r="W873" s="3"/>
      <c r="X873" s="3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57"/>
      <c r="D874" s="4"/>
      <c r="E874" s="4"/>
      <c r="F874" s="4"/>
      <c r="G874" s="4"/>
      <c r="H874" s="3"/>
      <c r="I874" s="4"/>
      <c r="J874" s="4"/>
      <c r="K874" s="3"/>
      <c r="L874" s="3"/>
      <c r="M874" s="4"/>
      <c r="N874" s="4"/>
      <c r="O874" s="4"/>
      <c r="P874" s="4"/>
      <c r="Q874" s="3"/>
      <c r="R874" s="4"/>
      <c r="S874" s="4"/>
      <c r="T874" s="4"/>
      <c r="U874" s="3"/>
      <c r="V874" s="4"/>
      <c r="W874" s="3"/>
      <c r="X874" s="3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57"/>
      <c r="D875" s="4"/>
      <c r="E875" s="4"/>
      <c r="F875" s="4"/>
      <c r="G875" s="4"/>
      <c r="H875" s="3"/>
      <c r="I875" s="4"/>
      <c r="J875" s="4"/>
      <c r="K875" s="3"/>
      <c r="L875" s="3"/>
      <c r="M875" s="4"/>
      <c r="N875" s="4"/>
      <c r="O875" s="4"/>
      <c r="P875" s="4"/>
      <c r="Q875" s="3"/>
      <c r="R875" s="4"/>
      <c r="S875" s="4"/>
      <c r="T875" s="4"/>
      <c r="U875" s="3"/>
      <c r="V875" s="4"/>
      <c r="W875" s="3"/>
      <c r="X875" s="3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57"/>
      <c r="D876" s="4"/>
      <c r="E876" s="4"/>
      <c r="F876" s="4"/>
      <c r="G876" s="4"/>
      <c r="H876" s="3"/>
      <c r="I876" s="4"/>
      <c r="J876" s="4"/>
      <c r="K876" s="3"/>
      <c r="L876" s="3"/>
      <c r="M876" s="4"/>
      <c r="N876" s="4"/>
      <c r="O876" s="4"/>
      <c r="P876" s="4"/>
      <c r="Q876" s="3"/>
      <c r="R876" s="4"/>
      <c r="S876" s="4"/>
      <c r="T876" s="4"/>
      <c r="U876" s="3"/>
      <c r="V876" s="4"/>
      <c r="W876" s="3"/>
      <c r="X876" s="3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57"/>
      <c r="D877" s="4"/>
      <c r="E877" s="4"/>
      <c r="F877" s="4"/>
      <c r="G877" s="4"/>
      <c r="H877" s="3"/>
      <c r="I877" s="4"/>
      <c r="J877" s="4"/>
      <c r="K877" s="3"/>
      <c r="L877" s="3"/>
      <c r="M877" s="4"/>
      <c r="N877" s="4"/>
      <c r="O877" s="4"/>
      <c r="P877" s="4"/>
      <c r="Q877" s="3"/>
      <c r="R877" s="4"/>
      <c r="S877" s="4"/>
      <c r="T877" s="4"/>
      <c r="U877" s="3"/>
      <c r="V877" s="4"/>
      <c r="W877" s="3"/>
      <c r="X877" s="3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57"/>
      <c r="D878" s="4"/>
      <c r="E878" s="4"/>
      <c r="F878" s="4"/>
      <c r="G878" s="4"/>
      <c r="H878" s="3"/>
      <c r="I878" s="4"/>
      <c r="J878" s="4"/>
      <c r="K878" s="3"/>
      <c r="L878" s="3"/>
      <c r="M878" s="4"/>
      <c r="N878" s="4"/>
      <c r="O878" s="4"/>
      <c r="P878" s="4"/>
      <c r="Q878" s="3"/>
      <c r="R878" s="4"/>
      <c r="S878" s="4"/>
      <c r="T878" s="4"/>
      <c r="U878" s="3"/>
      <c r="V878" s="4"/>
      <c r="W878" s="3"/>
      <c r="X878" s="3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57"/>
      <c r="D879" s="4"/>
      <c r="E879" s="4"/>
      <c r="F879" s="4"/>
      <c r="G879" s="4"/>
      <c r="H879" s="3"/>
      <c r="I879" s="4"/>
      <c r="J879" s="4"/>
      <c r="K879" s="3"/>
      <c r="L879" s="3"/>
      <c r="M879" s="4"/>
      <c r="N879" s="4"/>
      <c r="O879" s="4"/>
      <c r="P879" s="4"/>
      <c r="Q879" s="3"/>
      <c r="R879" s="4"/>
      <c r="S879" s="4"/>
      <c r="T879" s="4"/>
      <c r="U879" s="3"/>
      <c r="V879" s="4"/>
      <c r="W879" s="3"/>
      <c r="X879" s="3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57"/>
      <c r="D880" s="4"/>
      <c r="E880" s="4"/>
      <c r="F880" s="4"/>
      <c r="G880" s="4"/>
      <c r="H880" s="3"/>
      <c r="I880" s="4"/>
      <c r="J880" s="4"/>
      <c r="K880" s="3"/>
      <c r="L880" s="3"/>
      <c r="M880" s="4"/>
      <c r="N880" s="4"/>
      <c r="O880" s="4"/>
      <c r="P880" s="4"/>
      <c r="Q880" s="3"/>
      <c r="R880" s="4"/>
      <c r="S880" s="4"/>
      <c r="T880" s="4"/>
      <c r="U880" s="3"/>
      <c r="V880" s="4"/>
      <c r="W880" s="3"/>
      <c r="X880" s="3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57"/>
      <c r="D881" s="4"/>
      <c r="E881" s="4"/>
      <c r="F881" s="4"/>
      <c r="G881" s="4"/>
      <c r="H881" s="3"/>
      <c r="I881" s="4"/>
      <c r="J881" s="4"/>
      <c r="K881" s="3"/>
      <c r="L881" s="3"/>
      <c r="M881" s="4"/>
      <c r="N881" s="4"/>
      <c r="O881" s="4"/>
      <c r="P881" s="4"/>
      <c r="Q881" s="3"/>
      <c r="R881" s="4"/>
      <c r="S881" s="4"/>
      <c r="T881" s="4"/>
      <c r="U881" s="3"/>
      <c r="V881" s="4"/>
      <c r="W881" s="3"/>
      <c r="X881" s="3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57"/>
      <c r="D882" s="4"/>
      <c r="E882" s="4"/>
      <c r="F882" s="4"/>
      <c r="G882" s="4"/>
      <c r="H882" s="3"/>
      <c r="I882" s="4"/>
      <c r="J882" s="4"/>
      <c r="K882" s="3"/>
      <c r="L882" s="3"/>
      <c r="M882" s="4"/>
      <c r="N882" s="4"/>
      <c r="O882" s="4"/>
      <c r="P882" s="4"/>
      <c r="Q882" s="3"/>
      <c r="R882" s="4"/>
      <c r="S882" s="4"/>
      <c r="T882" s="4"/>
      <c r="U882" s="3"/>
      <c r="V882" s="4"/>
      <c r="W882" s="3"/>
      <c r="X882" s="3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57"/>
      <c r="D883" s="4"/>
      <c r="E883" s="4"/>
      <c r="F883" s="4"/>
      <c r="G883" s="4"/>
      <c r="H883" s="3"/>
      <c r="I883" s="4"/>
      <c r="J883" s="4"/>
      <c r="K883" s="3"/>
      <c r="L883" s="3"/>
      <c r="M883" s="4"/>
      <c r="N883" s="4"/>
      <c r="O883" s="4"/>
      <c r="P883" s="4"/>
      <c r="Q883" s="3"/>
      <c r="R883" s="4"/>
      <c r="S883" s="4"/>
      <c r="T883" s="4"/>
      <c r="U883" s="3"/>
      <c r="V883" s="4"/>
      <c r="W883" s="3"/>
      <c r="X883" s="3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57"/>
      <c r="D884" s="4"/>
      <c r="E884" s="4"/>
      <c r="F884" s="4"/>
      <c r="G884" s="4"/>
      <c r="H884" s="3"/>
      <c r="I884" s="4"/>
      <c r="J884" s="4"/>
      <c r="K884" s="3"/>
      <c r="L884" s="3"/>
      <c r="M884" s="4"/>
      <c r="N884" s="4"/>
      <c r="O884" s="4"/>
      <c r="P884" s="4"/>
      <c r="Q884" s="3"/>
      <c r="R884" s="4"/>
      <c r="S884" s="4"/>
      <c r="T884" s="4"/>
      <c r="U884" s="3"/>
      <c r="V884" s="4"/>
      <c r="W884" s="3"/>
      <c r="X884" s="3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57"/>
      <c r="D885" s="4"/>
      <c r="E885" s="4"/>
      <c r="F885" s="4"/>
      <c r="G885" s="4"/>
      <c r="H885" s="3"/>
      <c r="I885" s="4"/>
      <c r="J885" s="4"/>
      <c r="K885" s="3"/>
      <c r="L885" s="3"/>
      <c r="M885" s="4"/>
      <c r="N885" s="4"/>
      <c r="O885" s="4"/>
      <c r="P885" s="4"/>
      <c r="Q885" s="3"/>
      <c r="R885" s="4"/>
      <c r="S885" s="4"/>
      <c r="T885" s="4"/>
      <c r="U885" s="3"/>
      <c r="V885" s="4"/>
      <c r="W885" s="3"/>
      <c r="X885" s="3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57"/>
      <c r="D886" s="4"/>
      <c r="E886" s="4"/>
      <c r="F886" s="4"/>
      <c r="G886" s="4"/>
      <c r="H886" s="3"/>
      <c r="I886" s="4"/>
      <c r="J886" s="4"/>
      <c r="K886" s="3"/>
      <c r="L886" s="3"/>
      <c r="M886" s="4"/>
      <c r="N886" s="4"/>
      <c r="O886" s="4"/>
      <c r="P886" s="4"/>
      <c r="Q886" s="3"/>
      <c r="R886" s="4"/>
      <c r="S886" s="4"/>
      <c r="T886" s="4"/>
      <c r="U886" s="3"/>
      <c r="V886" s="4"/>
      <c r="W886" s="3"/>
      <c r="X886" s="3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57"/>
      <c r="D887" s="4"/>
      <c r="E887" s="4"/>
      <c r="F887" s="4"/>
      <c r="G887" s="4"/>
      <c r="H887" s="3"/>
      <c r="I887" s="4"/>
      <c r="J887" s="4"/>
      <c r="K887" s="3"/>
      <c r="L887" s="3"/>
      <c r="M887" s="4"/>
      <c r="N887" s="4"/>
      <c r="O887" s="4"/>
      <c r="P887" s="4"/>
      <c r="Q887" s="3"/>
      <c r="R887" s="4"/>
      <c r="S887" s="4"/>
      <c r="T887" s="4"/>
      <c r="U887" s="3"/>
      <c r="V887" s="4"/>
      <c r="W887" s="3"/>
      <c r="X887" s="3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57"/>
      <c r="D888" s="4"/>
      <c r="E888" s="4"/>
      <c r="F888" s="4"/>
      <c r="G888" s="4"/>
      <c r="H888" s="3"/>
      <c r="I888" s="4"/>
      <c r="J888" s="4"/>
      <c r="K888" s="3"/>
      <c r="L888" s="3"/>
      <c r="M888" s="4"/>
      <c r="N888" s="4"/>
      <c r="O888" s="4"/>
      <c r="P888" s="4"/>
      <c r="Q888" s="3"/>
      <c r="R888" s="4"/>
      <c r="S888" s="4"/>
      <c r="T888" s="4"/>
      <c r="U888" s="3"/>
      <c r="V888" s="4"/>
      <c r="W888" s="3"/>
      <c r="X888" s="3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57"/>
      <c r="D889" s="4"/>
      <c r="E889" s="4"/>
      <c r="F889" s="4"/>
      <c r="G889" s="4"/>
      <c r="H889" s="3"/>
      <c r="I889" s="4"/>
      <c r="J889" s="4"/>
      <c r="K889" s="3"/>
      <c r="L889" s="3"/>
      <c r="M889" s="4"/>
      <c r="N889" s="4"/>
      <c r="O889" s="4"/>
      <c r="P889" s="4"/>
      <c r="Q889" s="3"/>
      <c r="R889" s="4"/>
      <c r="S889" s="4"/>
      <c r="T889" s="4"/>
      <c r="U889" s="3"/>
      <c r="V889" s="4"/>
      <c r="W889" s="3"/>
      <c r="X889" s="3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57"/>
      <c r="D890" s="4"/>
      <c r="E890" s="4"/>
      <c r="F890" s="4"/>
      <c r="G890" s="4"/>
      <c r="H890" s="3"/>
      <c r="I890" s="4"/>
      <c r="J890" s="4"/>
      <c r="K890" s="3"/>
      <c r="L890" s="3"/>
      <c r="M890" s="4"/>
      <c r="N890" s="4"/>
      <c r="O890" s="4"/>
      <c r="P890" s="4"/>
      <c r="Q890" s="3"/>
      <c r="R890" s="4"/>
      <c r="S890" s="4"/>
      <c r="T890" s="4"/>
      <c r="U890" s="3"/>
      <c r="V890" s="4"/>
      <c r="W890" s="3"/>
      <c r="X890" s="3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57"/>
      <c r="D891" s="4"/>
      <c r="E891" s="4"/>
      <c r="F891" s="4"/>
      <c r="G891" s="4"/>
      <c r="H891" s="3"/>
      <c r="I891" s="4"/>
      <c r="J891" s="4"/>
      <c r="K891" s="3"/>
      <c r="L891" s="3"/>
      <c r="M891" s="4"/>
      <c r="N891" s="4"/>
      <c r="O891" s="4"/>
      <c r="P891" s="4"/>
      <c r="Q891" s="3"/>
      <c r="R891" s="4"/>
      <c r="S891" s="4"/>
      <c r="T891" s="4"/>
      <c r="U891" s="3"/>
      <c r="V891" s="4"/>
      <c r="W891" s="3"/>
      <c r="X891" s="3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57"/>
      <c r="D892" s="4"/>
      <c r="E892" s="4"/>
      <c r="F892" s="4"/>
      <c r="G892" s="4"/>
      <c r="H892" s="3"/>
      <c r="I892" s="4"/>
      <c r="J892" s="4"/>
      <c r="K892" s="3"/>
      <c r="L892" s="3"/>
      <c r="M892" s="4"/>
      <c r="N892" s="4"/>
      <c r="O892" s="4"/>
      <c r="P892" s="4"/>
      <c r="Q892" s="3"/>
      <c r="R892" s="4"/>
      <c r="S892" s="4"/>
      <c r="T892" s="4"/>
      <c r="U892" s="3"/>
      <c r="V892" s="4"/>
      <c r="W892" s="3"/>
      <c r="X892" s="3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57"/>
      <c r="D893" s="4"/>
      <c r="E893" s="4"/>
      <c r="F893" s="4"/>
      <c r="G893" s="4"/>
      <c r="H893" s="3"/>
      <c r="I893" s="4"/>
      <c r="J893" s="4"/>
      <c r="K893" s="3"/>
      <c r="L893" s="3"/>
      <c r="M893" s="4"/>
      <c r="N893" s="4"/>
      <c r="O893" s="4"/>
      <c r="P893" s="4"/>
      <c r="Q893" s="3"/>
      <c r="R893" s="4"/>
      <c r="S893" s="4"/>
      <c r="T893" s="4"/>
      <c r="U893" s="3"/>
      <c r="V893" s="4"/>
      <c r="W893" s="3"/>
      <c r="X893" s="3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57"/>
      <c r="D894" s="4"/>
      <c r="E894" s="4"/>
      <c r="F894" s="4"/>
      <c r="G894" s="4"/>
      <c r="H894" s="3"/>
      <c r="I894" s="4"/>
      <c r="J894" s="4"/>
      <c r="K894" s="3"/>
      <c r="L894" s="3"/>
      <c r="M894" s="4"/>
      <c r="N894" s="4"/>
      <c r="O894" s="4"/>
      <c r="P894" s="4"/>
      <c r="Q894" s="3"/>
      <c r="R894" s="4"/>
      <c r="S894" s="4"/>
      <c r="T894" s="4"/>
      <c r="U894" s="3"/>
      <c r="V894" s="4"/>
      <c r="W894" s="3"/>
      <c r="X894" s="3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57"/>
      <c r="D895" s="4"/>
      <c r="E895" s="4"/>
      <c r="F895" s="4"/>
      <c r="G895" s="4"/>
      <c r="H895" s="3"/>
      <c r="I895" s="4"/>
      <c r="J895" s="4"/>
      <c r="K895" s="3"/>
      <c r="L895" s="3"/>
      <c r="M895" s="4"/>
      <c r="N895" s="4"/>
      <c r="O895" s="4"/>
      <c r="P895" s="4"/>
      <c r="Q895" s="3"/>
      <c r="R895" s="4"/>
      <c r="S895" s="4"/>
      <c r="T895" s="4"/>
      <c r="U895" s="3"/>
      <c r="V895" s="4"/>
      <c r="W895" s="3"/>
      <c r="X895" s="3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57"/>
      <c r="D896" s="4"/>
      <c r="E896" s="4"/>
      <c r="F896" s="4"/>
      <c r="G896" s="4"/>
      <c r="H896" s="3"/>
      <c r="I896" s="4"/>
      <c r="J896" s="4"/>
      <c r="K896" s="3"/>
      <c r="L896" s="3"/>
      <c r="M896" s="4"/>
      <c r="N896" s="4"/>
      <c r="O896" s="4"/>
      <c r="P896" s="4"/>
      <c r="Q896" s="3"/>
      <c r="R896" s="4"/>
      <c r="S896" s="4"/>
      <c r="T896" s="4"/>
      <c r="U896" s="3"/>
      <c r="V896" s="4"/>
      <c r="W896" s="3"/>
      <c r="X896" s="3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57"/>
      <c r="D897" s="4"/>
      <c r="E897" s="4"/>
      <c r="F897" s="4"/>
      <c r="G897" s="4"/>
      <c r="H897" s="3"/>
      <c r="I897" s="4"/>
      <c r="J897" s="4"/>
      <c r="K897" s="3"/>
      <c r="L897" s="3"/>
      <c r="M897" s="4"/>
      <c r="N897" s="4"/>
      <c r="O897" s="4"/>
      <c r="P897" s="4"/>
      <c r="Q897" s="3"/>
      <c r="R897" s="4"/>
      <c r="S897" s="4"/>
      <c r="T897" s="4"/>
      <c r="U897" s="3"/>
      <c r="V897" s="4"/>
      <c r="W897" s="3"/>
      <c r="X897" s="3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57"/>
      <c r="D898" s="4"/>
      <c r="E898" s="4"/>
      <c r="F898" s="4"/>
      <c r="G898" s="4"/>
      <c r="H898" s="3"/>
      <c r="I898" s="4"/>
      <c r="J898" s="4"/>
      <c r="K898" s="3"/>
      <c r="L898" s="3"/>
      <c r="M898" s="4"/>
      <c r="N898" s="4"/>
      <c r="O898" s="4"/>
      <c r="P898" s="4"/>
      <c r="Q898" s="3"/>
      <c r="R898" s="4"/>
      <c r="S898" s="4"/>
      <c r="T898" s="4"/>
      <c r="U898" s="3"/>
      <c r="V898" s="4"/>
      <c r="W898" s="3"/>
      <c r="X898" s="3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57"/>
      <c r="D899" s="4"/>
      <c r="E899" s="4"/>
      <c r="F899" s="4"/>
      <c r="G899" s="4"/>
      <c r="H899" s="3"/>
      <c r="I899" s="4"/>
      <c r="J899" s="4"/>
      <c r="K899" s="3"/>
      <c r="L899" s="3"/>
      <c r="M899" s="4"/>
      <c r="N899" s="4"/>
      <c r="O899" s="4"/>
      <c r="P899" s="4"/>
      <c r="Q899" s="3"/>
      <c r="R899" s="4"/>
      <c r="S899" s="4"/>
      <c r="T899" s="4"/>
      <c r="U899" s="3"/>
      <c r="V899" s="4"/>
      <c r="W899" s="3"/>
      <c r="X899" s="3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57"/>
      <c r="D900" s="4"/>
      <c r="E900" s="4"/>
      <c r="F900" s="4"/>
      <c r="G900" s="4"/>
      <c r="H900" s="3"/>
      <c r="I900" s="4"/>
      <c r="J900" s="4"/>
      <c r="K900" s="3"/>
      <c r="L900" s="3"/>
      <c r="M900" s="4"/>
      <c r="N900" s="4"/>
      <c r="O900" s="4"/>
      <c r="P900" s="4"/>
      <c r="Q900" s="3"/>
      <c r="R900" s="4"/>
      <c r="S900" s="4"/>
      <c r="T900" s="4"/>
      <c r="U900" s="3"/>
      <c r="V900" s="4"/>
      <c r="W900" s="3"/>
      <c r="X900" s="3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57"/>
      <c r="D901" s="4"/>
      <c r="E901" s="4"/>
      <c r="F901" s="4"/>
      <c r="G901" s="4"/>
      <c r="H901" s="3"/>
      <c r="I901" s="4"/>
      <c r="J901" s="4"/>
      <c r="K901" s="3"/>
      <c r="L901" s="3"/>
      <c r="M901" s="4"/>
      <c r="N901" s="4"/>
      <c r="O901" s="4"/>
      <c r="P901" s="4"/>
      <c r="Q901" s="3"/>
      <c r="R901" s="4"/>
      <c r="S901" s="4"/>
      <c r="T901" s="4"/>
      <c r="U901" s="3"/>
      <c r="V901" s="4"/>
      <c r="W901" s="3"/>
      <c r="X901" s="3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57"/>
      <c r="D902" s="4"/>
      <c r="E902" s="4"/>
      <c r="F902" s="4"/>
      <c r="G902" s="4"/>
      <c r="H902" s="3"/>
      <c r="I902" s="4"/>
      <c r="J902" s="4"/>
      <c r="K902" s="3"/>
      <c r="L902" s="3"/>
      <c r="M902" s="4"/>
      <c r="N902" s="4"/>
      <c r="O902" s="4"/>
      <c r="P902" s="4"/>
      <c r="Q902" s="3"/>
      <c r="R902" s="4"/>
      <c r="S902" s="4"/>
      <c r="T902" s="4"/>
      <c r="U902" s="3"/>
      <c r="V902" s="4"/>
      <c r="W902" s="3"/>
      <c r="X902" s="3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57"/>
      <c r="D903" s="4"/>
      <c r="E903" s="4"/>
      <c r="F903" s="4"/>
      <c r="G903" s="4"/>
      <c r="H903" s="3"/>
      <c r="I903" s="4"/>
      <c r="J903" s="4"/>
      <c r="K903" s="3"/>
      <c r="L903" s="3"/>
      <c r="M903" s="4"/>
      <c r="N903" s="4"/>
      <c r="O903" s="4"/>
      <c r="P903" s="4"/>
      <c r="Q903" s="3"/>
      <c r="R903" s="4"/>
      <c r="S903" s="4"/>
      <c r="T903" s="4"/>
      <c r="U903" s="3"/>
      <c r="V903" s="4"/>
      <c r="W903" s="3"/>
      <c r="X903" s="3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57"/>
      <c r="D904" s="4"/>
      <c r="E904" s="4"/>
      <c r="F904" s="4"/>
      <c r="G904" s="4"/>
      <c r="H904" s="3"/>
      <c r="I904" s="4"/>
      <c r="J904" s="4"/>
      <c r="K904" s="3"/>
      <c r="L904" s="3"/>
      <c r="M904" s="4"/>
      <c r="N904" s="4"/>
      <c r="O904" s="4"/>
      <c r="P904" s="4"/>
      <c r="Q904" s="3"/>
      <c r="R904" s="4"/>
      <c r="S904" s="4"/>
      <c r="T904" s="4"/>
      <c r="U904" s="3"/>
      <c r="V904" s="4"/>
      <c r="W904" s="3"/>
      <c r="X904" s="3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57"/>
      <c r="D905" s="4"/>
      <c r="E905" s="4"/>
      <c r="F905" s="4"/>
      <c r="G905" s="4"/>
      <c r="H905" s="3"/>
      <c r="I905" s="4"/>
      <c r="J905" s="4"/>
      <c r="K905" s="3"/>
      <c r="L905" s="3"/>
      <c r="M905" s="4"/>
      <c r="N905" s="4"/>
      <c r="O905" s="4"/>
      <c r="P905" s="4"/>
      <c r="Q905" s="3"/>
      <c r="R905" s="4"/>
      <c r="S905" s="4"/>
      <c r="T905" s="4"/>
      <c r="U905" s="3"/>
      <c r="V905" s="4"/>
      <c r="W905" s="3"/>
      <c r="X905" s="3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57"/>
      <c r="D906" s="4"/>
      <c r="E906" s="4"/>
      <c r="F906" s="4"/>
      <c r="G906" s="4"/>
      <c r="H906" s="3"/>
      <c r="I906" s="4"/>
      <c r="J906" s="4"/>
      <c r="K906" s="3"/>
      <c r="L906" s="3"/>
      <c r="M906" s="4"/>
      <c r="N906" s="4"/>
      <c r="O906" s="4"/>
      <c r="P906" s="4"/>
      <c r="Q906" s="3"/>
      <c r="R906" s="4"/>
      <c r="S906" s="4"/>
      <c r="T906" s="4"/>
      <c r="U906" s="3"/>
      <c r="V906" s="4"/>
      <c r="W906" s="3"/>
      <c r="X906" s="3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57"/>
      <c r="D907" s="4"/>
      <c r="E907" s="4"/>
      <c r="F907" s="4"/>
      <c r="G907" s="4"/>
      <c r="H907" s="3"/>
      <c r="I907" s="4"/>
      <c r="J907" s="4"/>
      <c r="K907" s="3"/>
      <c r="L907" s="3"/>
      <c r="M907" s="4"/>
      <c r="N907" s="4"/>
      <c r="O907" s="4"/>
      <c r="P907" s="4"/>
      <c r="Q907" s="3"/>
      <c r="R907" s="4"/>
      <c r="S907" s="4"/>
      <c r="T907" s="4"/>
      <c r="U907" s="3"/>
      <c r="V907" s="4"/>
      <c r="W907" s="3"/>
      <c r="X907" s="3"/>
      <c r="Y907" s="4"/>
      <c r="Z907" s="4"/>
      <c r="AA907" s="4"/>
      <c r="AB907" s="4"/>
      <c r="AC907" s="4"/>
      <c r="AD907" s="4"/>
    </row>
    <row r="908" spans="1:30" ht="15.75" customHeight="1" x14ac:dyDescent="0.25">
      <c r="A908" s="4"/>
      <c r="B908" s="4"/>
      <c r="C908" s="57"/>
      <c r="D908" s="4"/>
      <c r="E908" s="4"/>
      <c r="F908" s="4"/>
      <c r="G908" s="4"/>
      <c r="H908" s="3"/>
      <c r="I908" s="4"/>
      <c r="J908" s="4"/>
      <c r="K908" s="3"/>
      <c r="L908" s="3"/>
      <c r="M908" s="4"/>
      <c r="N908" s="4"/>
      <c r="O908" s="4"/>
      <c r="P908" s="4"/>
      <c r="Q908" s="3"/>
      <c r="R908" s="4"/>
      <c r="S908" s="4"/>
      <c r="T908" s="4"/>
      <c r="U908" s="3"/>
      <c r="V908" s="4"/>
      <c r="W908" s="3"/>
      <c r="X908" s="3"/>
      <c r="Y908" s="4"/>
      <c r="Z908" s="4"/>
      <c r="AA908" s="4"/>
      <c r="AB908" s="4"/>
      <c r="AC908" s="4"/>
      <c r="AD908" s="4"/>
    </row>
    <row r="909" spans="1:30" ht="15.75" customHeight="1" x14ac:dyDescent="0.25">
      <c r="A909" s="4"/>
      <c r="B909" s="4"/>
      <c r="C909" s="57"/>
      <c r="D909" s="4"/>
      <c r="E909" s="4"/>
      <c r="F909" s="4"/>
      <c r="G909" s="4"/>
      <c r="H909" s="3"/>
      <c r="I909" s="4"/>
      <c r="J909" s="4"/>
      <c r="K909" s="3"/>
      <c r="L909" s="3"/>
      <c r="M909" s="4"/>
      <c r="N909" s="4"/>
      <c r="O909" s="4"/>
      <c r="P909" s="4"/>
      <c r="Q909" s="3"/>
      <c r="R909" s="4"/>
      <c r="S909" s="4"/>
      <c r="T909" s="4"/>
      <c r="U909" s="3"/>
      <c r="V909" s="4"/>
      <c r="W909" s="3"/>
      <c r="X909" s="3"/>
      <c r="Y909" s="4"/>
      <c r="Z909" s="4"/>
      <c r="AA909" s="4"/>
      <c r="AB909" s="4"/>
      <c r="AC909" s="4"/>
      <c r="AD909" s="4"/>
    </row>
    <row r="910" spans="1:30" ht="15.75" customHeight="1" x14ac:dyDescent="0.25">
      <c r="A910" s="4"/>
      <c r="B910" s="4"/>
      <c r="C910" s="57"/>
      <c r="D910" s="4"/>
      <c r="E910" s="4"/>
      <c r="F910" s="4"/>
      <c r="G910" s="4"/>
      <c r="H910" s="3"/>
      <c r="I910" s="4"/>
      <c r="J910" s="4"/>
      <c r="K910" s="3"/>
      <c r="L910" s="3"/>
      <c r="M910" s="4"/>
      <c r="N910" s="4"/>
      <c r="O910" s="4"/>
      <c r="P910" s="4"/>
      <c r="Q910" s="3"/>
      <c r="R910" s="4"/>
      <c r="S910" s="4"/>
      <c r="T910" s="4"/>
      <c r="U910" s="3"/>
      <c r="V910" s="4"/>
      <c r="W910" s="3"/>
      <c r="X910" s="3"/>
      <c r="Y910" s="4"/>
      <c r="Z910" s="4"/>
      <c r="AA910" s="4"/>
      <c r="AB910" s="4"/>
      <c r="AC910" s="4"/>
      <c r="AD910" s="4"/>
    </row>
    <row r="911" spans="1:30" ht="15.75" customHeight="1" x14ac:dyDescent="0.25">
      <c r="A911" s="4"/>
      <c r="B911" s="4"/>
      <c r="C911" s="57"/>
      <c r="D911" s="4"/>
      <c r="E911" s="4"/>
      <c r="F911" s="4"/>
      <c r="G911" s="4"/>
      <c r="H911" s="3"/>
      <c r="I911" s="4"/>
      <c r="J911" s="4"/>
      <c r="K911" s="3"/>
      <c r="L911" s="3"/>
      <c r="M911" s="4"/>
      <c r="N911" s="4"/>
      <c r="O911" s="4"/>
      <c r="P911" s="4"/>
      <c r="Q911" s="3"/>
      <c r="R911" s="4"/>
      <c r="S911" s="4"/>
      <c r="T911" s="4"/>
      <c r="U911" s="3"/>
      <c r="V911" s="4"/>
      <c r="W911" s="3"/>
      <c r="X911" s="3"/>
      <c r="Y911" s="4"/>
      <c r="Z911" s="4"/>
      <c r="AA911" s="4"/>
      <c r="AB911" s="4"/>
      <c r="AC911" s="4"/>
      <c r="AD911" s="4"/>
    </row>
    <row r="912" spans="1:30" ht="15.75" customHeight="1" x14ac:dyDescent="0.25">
      <c r="A912" s="4"/>
      <c r="B912" s="4"/>
      <c r="C912" s="57"/>
      <c r="D912" s="4"/>
      <c r="E912" s="4"/>
      <c r="F912" s="4"/>
      <c r="G912" s="4"/>
      <c r="H912" s="3"/>
      <c r="I912" s="4"/>
      <c r="J912" s="4"/>
      <c r="K912" s="3"/>
      <c r="L912" s="3"/>
      <c r="M912" s="4"/>
      <c r="N912" s="4"/>
      <c r="O912" s="4"/>
      <c r="P912" s="4"/>
      <c r="Q912" s="3"/>
      <c r="R912" s="4"/>
      <c r="S912" s="4"/>
      <c r="T912" s="4"/>
      <c r="U912" s="3"/>
      <c r="V912" s="4"/>
      <c r="W912" s="3"/>
      <c r="X912" s="3"/>
      <c r="Y912" s="4"/>
      <c r="Z912" s="4"/>
      <c r="AA912" s="4"/>
      <c r="AB912" s="4"/>
      <c r="AC912" s="4"/>
      <c r="AD912" s="4"/>
    </row>
    <row r="913" spans="1:30" ht="15.75" customHeight="1" x14ac:dyDescent="0.25">
      <c r="A913" s="4"/>
      <c r="B913" s="4"/>
      <c r="C913" s="57"/>
      <c r="D913" s="4"/>
      <c r="E913" s="4"/>
      <c r="F913" s="4"/>
      <c r="G913" s="4"/>
      <c r="H913" s="3"/>
      <c r="I913" s="4"/>
      <c r="J913" s="4"/>
      <c r="K913" s="3"/>
      <c r="L913" s="3"/>
      <c r="M913" s="4"/>
      <c r="N913" s="4"/>
      <c r="O913" s="4"/>
      <c r="P913" s="4"/>
      <c r="Q913" s="3"/>
      <c r="R913" s="4"/>
      <c r="S913" s="4"/>
      <c r="T913" s="4"/>
      <c r="U913" s="3"/>
      <c r="V913" s="4"/>
      <c r="W913" s="3"/>
      <c r="X913" s="3"/>
      <c r="Y913" s="4"/>
      <c r="Z913" s="4"/>
      <c r="AA913" s="4"/>
      <c r="AB913" s="4"/>
      <c r="AC913" s="4"/>
      <c r="AD913" s="4"/>
    </row>
    <row r="914" spans="1:30" ht="15.75" customHeight="1" x14ac:dyDescent="0.25">
      <c r="A914" s="4"/>
      <c r="B914" s="4"/>
      <c r="C914" s="57"/>
      <c r="D914" s="4"/>
      <c r="E914" s="4"/>
      <c r="F914" s="4"/>
      <c r="G914" s="4"/>
      <c r="H914" s="3"/>
      <c r="I914" s="4"/>
      <c r="J914" s="4"/>
      <c r="K914" s="3"/>
      <c r="L914" s="3"/>
      <c r="M914" s="4"/>
      <c r="N914" s="4"/>
      <c r="O914" s="4"/>
      <c r="P914" s="4"/>
      <c r="Q914" s="3"/>
      <c r="R914" s="4"/>
      <c r="S914" s="4"/>
      <c r="T914" s="4"/>
      <c r="U914" s="3"/>
      <c r="V914" s="4"/>
      <c r="W914" s="3"/>
      <c r="X914" s="3"/>
      <c r="Y914" s="4"/>
      <c r="Z914" s="4"/>
      <c r="AA914" s="4"/>
      <c r="AB914" s="4"/>
      <c r="AC914" s="4"/>
      <c r="AD914" s="4"/>
    </row>
    <row r="915" spans="1:30" ht="15.75" customHeight="1" x14ac:dyDescent="0.25">
      <c r="A915" s="4"/>
      <c r="B915" s="4"/>
      <c r="C915" s="57"/>
      <c r="D915" s="4"/>
      <c r="E915" s="4"/>
      <c r="F915" s="4"/>
      <c r="G915" s="4"/>
      <c r="H915" s="3"/>
      <c r="I915" s="4"/>
      <c r="J915" s="4"/>
      <c r="K915" s="3"/>
      <c r="L915" s="3"/>
      <c r="M915" s="4"/>
      <c r="N915" s="4"/>
      <c r="O915" s="4"/>
      <c r="P915" s="4"/>
      <c r="Q915" s="3"/>
      <c r="R915" s="4"/>
      <c r="S915" s="4"/>
      <c r="T915" s="4"/>
      <c r="U915" s="3"/>
      <c r="V915" s="4"/>
      <c r="W915" s="3"/>
      <c r="X915" s="3"/>
      <c r="Y915" s="4"/>
      <c r="Z915" s="4"/>
      <c r="AA915" s="4"/>
      <c r="AB915" s="4"/>
      <c r="AC915" s="4"/>
      <c r="AD915" s="4"/>
    </row>
    <row r="916" spans="1:30" ht="15.75" customHeight="1" x14ac:dyDescent="0.25">
      <c r="A916" s="4"/>
      <c r="B916" s="4"/>
      <c r="C916" s="57"/>
      <c r="D916" s="4"/>
      <c r="E916" s="4"/>
      <c r="F916" s="4"/>
      <c r="G916" s="4"/>
      <c r="H916" s="3"/>
      <c r="I916" s="4"/>
      <c r="J916" s="4"/>
      <c r="K916" s="3"/>
      <c r="L916" s="3"/>
      <c r="M916" s="4"/>
      <c r="N916" s="4"/>
      <c r="O916" s="4"/>
      <c r="P916" s="4"/>
      <c r="Q916" s="3"/>
      <c r="R916" s="4"/>
      <c r="S916" s="4"/>
      <c r="T916" s="4"/>
      <c r="U916" s="3"/>
      <c r="V916" s="4"/>
      <c r="W916" s="3"/>
      <c r="X916" s="3"/>
      <c r="Y916" s="4"/>
      <c r="Z916" s="4"/>
      <c r="AA916" s="4"/>
      <c r="AB916" s="4"/>
      <c r="AC916" s="4"/>
      <c r="AD916" s="4"/>
    </row>
    <row r="917" spans="1:30" ht="15.75" customHeight="1" x14ac:dyDescent="0.25">
      <c r="A917" s="4"/>
      <c r="B917" s="4"/>
      <c r="C917" s="57"/>
      <c r="D917" s="4"/>
      <c r="E917" s="4"/>
      <c r="F917" s="4"/>
      <c r="G917" s="4"/>
      <c r="H917" s="3"/>
      <c r="I917" s="4"/>
      <c r="J917" s="4"/>
      <c r="K917" s="3"/>
      <c r="L917" s="3"/>
      <c r="M917" s="4"/>
      <c r="N917" s="4"/>
      <c r="O917" s="4"/>
      <c r="P917" s="4"/>
      <c r="Q917" s="3"/>
      <c r="R917" s="4"/>
      <c r="S917" s="4"/>
      <c r="T917" s="4"/>
      <c r="U917" s="3"/>
      <c r="V917" s="4"/>
      <c r="W917" s="3"/>
      <c r="X917" s="3"/>
      <c r="Y917" s="4"/>
      <c r="Z917" s="4"/>
      <c r="AA917" s="4"/>
      <c r="AB917" s="4"/>
      <c r="AC917" s="4"/>
      <c r="AD917" s="4"/>
    </row>
    <row r="918" spans="1:30" ht="15.75" customHeight="1" x14ac:dyDescent="0.25">
      <c r="A918" s="4"/>
      <c r="B918" s="4"/>
      <c r="C918" s="57"/>
      <c r="D918" s="4"/>
      <c r="E918" s="4"/>
      <c r="F918" s="4"/>
      <c r="G918" s="4"/>
      <c r="H918" s="3"/>
      <c r="I918" s="4"/>
      <c r="J918" s="4"/>
      <c r="K918" s="3"/>
      <c r="L918" s="3"/>
      <c r="M918" s="4"/>
      <c r="N918" s="4"/>
      <c r="O918" s="4"/>
      <c r="P918" s="4"/>
      <c r="Q918" s="3"/>
      <c r="R918" s="4"/>
      <c r="S918" s="4"/>
      <c r="T918" s="4"/>
      <c r="U918" s="3"/>
      <c r="V918" s="4"/>
      <c r="W918" s="3"/>
      <c r="X918" s="3"/>
      <c r="Y918" s="4"/>
      <c r="Z918" s="4"/>
      <c r="AA918" s="4"/>
      <c r="AB918" s="4"/>
      <c r="AC918" s="4"/>
      <c r="AD918" s="4"/>
    </row>
    <row r="919" spans="1:30" ht="15.75" customHeight="1" x14ac:dyDescent="0.25">
      <c r="A919" s="4"/>
      <c r="B919" s="4"/>
      <c r="C919" s="57"/>
      <c r="D919" s="4"/>
      <c r="E919" s="4"/>
      <c r="F919" s="4"/>
      <c r="G919" s="4"/>
      <c r="H919" s="3"/>
      <c r="I919" s="4"/>
      <c r="J919" s="4"/>
      <c r="K919" s="3"/>
      <c r="L919" s="3"/>
      <c r="M919" s="4"/>
      <c r="N919" s="4"/>
      <c r="O919" s="4"/>
      <c r="P919" s="4"/>
      <c r="Q919" s="3"/>
      <c r="R919" s="4"/>
      <c r="S919" s="4"/>
      <c r="T919" s="4"/>
      <c r="U919" s="3"/>
      <c r="V919" s="4"/>
      <c r="W919" s="3"/>
      <c r="X919" s="3"/>
      <c r="Y919" s="4"/>
      <c r="Z919" s="4"/>
      <c r="AA919" s="4"/>
      <c r="AB919" s="4"/>
      <c r="AC919" s="4"/>
      <c r="AD919" s="4"/>
    </row>
    <row r="920" spans="1:30" ht="15.75" customHeight="1" x14ac:dyDescent="0.25">
      <c r="A920" s="4"/>
      <c r="B920" s="4"/>
      <c r="C920" s="57"/>
      <c r="D920" s="4"/>
      <c r="E920" s="4"/>
      <c r="F920" s="4"/>
      <c r="G920" s="4"/>
      <c r="H920" s="3"/>
      <c r="I920" s="4"/>
      <c r="J920" s="4"/>
      <c r="K920" s="3"/>
      <c r="L920" s="3"/>
      <c r="M920" s="4"/>
      <c r="N920" s="4"/>
      <c r="O920" s="4"/>
      <c r="P920" s="4"/>
      <c r="Q920" s="3"/>
      <c r="R920" s="4"/>
      <c r="S920" s="4"/>
      <c r="T920" s="4"/>
      <c r="U920" s="3"/>
      <c r="V920" s="4"/>
      <c r="W920" s="3"/>
      <c r="X920" s="3"/>
      <c r="Y920" s="4"/>
      <c r="Z920" s="4"/>
      <c r="AA920" s="4"/>
      <c r="AB920" s="4"/>
      <c r="AC920" s="4"/>
      <c r="AD920" s="4"/>
    </row>
    <row r="921" spans="1:30" ht="15.75" customHeight="1" x14ac:dyDescent="0.25">
      <c r="A921" s="4"/>
      <c r="B921" s="4"/>
      <c r="C921" s="57"/>
      <c r="D921" s="4"/>
      <c r="E921" s="4"/>
      <c r="F921" s="4"/>
      <c r="G921" s="4"/>
      <c r="H921" s="3"/>
      <c r="I921" s="4"/>
      <c r="J921" s="4"/>
      <c r="K921" s="3"/>
      <c r="L921" s="3"/>
      <c r="M921" s="4"/>
      <c r="N921" s="4"/>
      <c r="O921" s="4"/>
      <c r="P921" s="4"/>
      <c r="Q921" s="3"/>
      <c r="R921" s="4"/>
      <c r="S921" s="4"/>
      <c r="T921" s="4"/>
      <c r="U921" s="3"/>
      <c r="V921" s="4"/>
      <c r="W921" s="3"/>
      <c r="X921" s="3"/>
      <c r="Y921" s="4"/>
      <c r="Z921" s="4"/>
      <c r="AA921" s="4"/>
      <c r="AB921" s="4"/>
      <c r="AC921" s="4"/>
      <c r="AD921" s="4"/>
    </row>
    <row r="922" spans="1:30" ht="15.75" customHeight="1" x14ac:dyDescent="0.25">
      <c r="A922" s="4"/>
      <c r="B922" s="4"/>
      <c r="C922" s="57"/>
      <c r="D922" s="4"/>
      <c r="E922" s="4"/>
      <c r="F922" s="4"/>
      <c r="G922" s="4"/>
      <c r="H922" s="3"/>
      <c r="I922" s="4"/>
      <c r="J922" s="4"/>
      <c r="K922" s="3"/>
      <c r="L922" s="3"/>
      <c r="M922" s="4"/>
      <c r="N922" s="4"/>
      <c r="O922" s="4"/>
      <c r="P922" s="4"/>
      <c r="Q922" s="3"/>
      <c r="R922" s="4"/>
      <c r="S922" s="4"/>
      <c r="T922" s="4"/>
      <c r="U922" s="3"/>
      <c r="V922" s="4"/>
      <c r="W922" s="3"/>
      <c r="X922" s="3"/>
      <c r="Y922" s="4"/>
      <c r="Z922" s="4"/>
      <c r="AA922" s="4"/>
      <c r="AB922" s="4"/>
      <c r="AC922" s="4"/>
      <c r="AD922" s="4"/>
    </row>
    <row r="923" spans="1:30" ht="15.75" customHeight="1" x14ac:dyDescent="0.25">
      <c r="A923" s="4"/>
      <c r="B923" s="4"/>
      <c r="C923" s="57"/>
      <c r="D923" s="4"/>
      <c r="E923" s="4"/>
      <c r="F923" s="4"/>
      <c r="G923" s="4"/>
      <c r="H923" s="3"/>
      <c r="I923" s="4"/>
      <c r="J923" s="4"/>
      <c r="K923" s="3"/>
      <c r="L923" s="3"/>
      <c r="M923" s="4"/>
      <c r="N923" s="4"/>
      <c r="O923" s="4"/>
      <c r="P923" s="4"/>
      <c r="Q923" s="3"/>
      <c r="R923" s="4"/>
      <c r="S923" s="4"/>
      <c r="T923" s="4"/>
      <c r="U923" s="3"/>
      <c r="V923" s="4"/>
      <c r="W923" s="3"/>
      <c r="X923" s="3"/>
      <c r="Y923" s="4"/>
      <c r="Z923" s="4"/>
      <c r="AA923" s="4"/>
      <c r="AB923" s="4"/>
      <c r="AC923" s="4"/>
      <c r="AD923" s="4"/>
    </row>
    <row r="924" spans="1:30" ht="15.75" customHeight="1" x14ac:dyDescent="0.25">
      <c r="A924" s="4"/>
      <c r="B924" s="4"/>
      <c r="C924" s="57"/>
      <c r="D924" s="4"/>
      <c r="E924" s="4"/>
      <c r="F924" s="4"/>
      <c r="G924" s="4"/>
      <c r="H924" s="3"/>
      <c r="I924" s="4"/>
      <c r="J924" s="4"/>
      <c r="K924" s="3"/>
      <c r="L924" s="3"/>
      <c r="M924" s="4"/>
      <c r="N924" s="4"/>
      <c r="O924" s="4"/>
      <c r="P924" s="4"/>
      <c r="Q924" s="3"/>
      <c r="R924" s="4"/>
      <c r="S924" s="4"/>
      <c r="T924" s="4"/>
      <c r="U924" s="3"/>
      <c r="V924" s="4"/>
      <c r="W924" s="3"/>
      <c r="X924" s="3"/>
      <c r="Y924" s="4"/>
      <c r="Z924" s="4"/>
      <c r="AA924" s="4"/>
      <c r="AB924" s="4"/>
      <c r="AC924" s="4"/>
      <c r="AD924" s="4"/>
    </row>
    <row r="925" spans="1:30" ht="15.75" customHeight="1" x14ac:dyDescent="0.25">
      <c r="A925" s="4"/>
      <c r="B925" s="4"/>
      <c r="C925" s="57"/>
      <c r="D925" s="4"/>
      <c r="E925" s="4"/>
      <c r="F925" s="4"/>
      <c r="G925" s="4"/>
      <c r="H925" s="3"/>
      <c r="I925" s="4"/>
      <c r="J925" s="4"/>
      <c r="K925" s="3"/>
      <c r="L925" s="3"/>
      <c r="M925" s="4"/>
      <c r="N925" s="4"/>
      <c r="O925" s="4"/>
      <c r="P925" s="4"/>
      <c r="Q925" s="3"/>
      <c r="R925" s="4"/>
      <c r="S925" s="4"/>
      <c r="T925" s="4"/>
      <c r="U925" s="3"/>
      <c r="V925" s="4"/>
      <c r="W925" s="3"/>
      <c r="X925" s="3"/>
      <c r="Y925" s="4"/>
      <c r="Z925" s="4"/>
      <c r="AA925" s="4"/>
      <c r="AB925" s="4"/>
      <c r="AC925" s="4"/>
      <c r="AD925" s="4"/>
    </row>
    <row r="926" spans="1:30" ht="15.75" customHeight="1" x14ac:dyDescent="0.25">
      <c r="A926" s="4"/>
      <c r="B926" s="4"/>
      <c r="C926" s="57"/>
      <c r="D926" s="4"/>
      <c r="E926" s="4"/>
      <c r="F926" s="4"/>
      <c r="G926" s="4"/>
      <c r="H926" s="3"/>
      <c r="I926" s="4"/>
      <c r="J926" s="4"/>
      <c r="K926" s="3"/>
      <c r="L926" s="3"/>
      <c r="M926" s="4"/>
      <c r="N926" s="4"/>
      <c r="O926" s="4"/>
      <c r="P926" s="4"/>
      <c r="Q926" s="3"/>
      <c r="R926" s="4"/>
      <c r="S926" s="4"/>
      <c r="T926" s="4"/>
      <c r="U926" s="3"/>
      <c r="V926" s="4"/>
      <c r="W926" s="3"/>
      <c r="X926" s="3"/>
      <c r="Y926" s="4"/>
      <c r="Z926" s="4"/>
      <c r="AA926" s="4"/>
      <c r="AB926" s="4"/>
      <c r="AC926" s="4"/>
      <c r="AD926" s="4"/>
    </row>
    <row r="927" spans="1:30" ht="15.75" customHeight="1" x14ac:dyDescent="0.25">
      <c r="A927" s="4"/>
      <c r="B927" s="4"/>
      <c r="C927" s="57"/>
      <c r="D927" s="4"/>
      <c r="E927" s="4"/>
      <c r="F927" s="4"/>
      <c r="G927" s="4"/>
      <c r="H927" s="3"/>
      <c r="I927" s="4"/>
      <c r="J927" s="4"/>
      <c r="K927" s="3"/>
      <c r="L927" s="3"/>
      <c r="M927" s="4"/>
      <c r="N927" s="4"/>
      <c r="O927" s="4"/>
      <c r="P927" s="4"/>
      <c r="Q927" s="3"/>
      <c r="R927" s="4"/>
      <c r="S927" s="4"/>
      <c r="T927" s="4"/>
      <c r="U927" s="3"/>
      <c r="V927" s="4"/>
      <c r="W927" s="3"/>
      <c r="X927" s="3"/>
      <c r="Y927" s="4"/>
      <c r="Z927" s="4"/>
      <c r="AA927" s="4"/>
      <c r="AB927" s="4"/>
      <c r="AC927" s="4"/>
      <c r="AD927" s="4"/>
    </row>
    <row r="928" spans="1:30" ht="15.75" customHeight="1" x14ac:dyDescent="0.25">
      <c r="A928" s="4"/>
      <c r="B928" s="4"/>
      <c r="C928" s="57"/>
      <c r="D928" s="4"/>
      <c r="E928" s="4"/>
      <c r="F928" s="4"/>
      <c r="G928" s="4"/>
      <c r="H928" s="3"/>
      <c r="I928" s="4"/>
      <c r="J928" s="4"/>
      <c r="K928" s="3"/>
      <c r="L928" s="3"/>
      <c r="M928" s="4"/>
      <c r="N928" s="4"/>
      <c r="O928" s="4"/>
      <c r="P928" s="4"/>
      <c r="Q928" s="3"/>
      <c r="R928" s="4"/>
      <c r="S928" s="4"/>
      <c r="T928" s="4"/>
      <c r="U928" s="3"/>
      <c r="V928" s="4"/>
      <c r="W928" s="3"/>
      <c r="X928" s="3"/>
      <c r="Y928" s="4"/>
      <c r="Z928" s="4"/>
      <c r="AA928" s="4"/>
      <c r="AB928" s="4"/>
      <c r="AC928" s="4"/>
      <c r="AD928" s="4"/>
    </row>
    <row r="929" spans="1:30" ht="15.75" customHeight="1" x14ac:dyDescent="0.25">
      <c r="A929" s="4"/>
      <c r="B929" s="4"/>
      <c r="C929" s="57"/>
      <c r="D929" s="4"/>
      <c r="E929" s="4"/>
      <c r="F929" s="4"/>
      <c r="G929" s="4"/>
      <c r="H929" s="3"/>
      <c r="I929" s="4"/>
      <c r="J929" s="4"/>
      <c r="K929" s="3"/>
      <c r="L929" s="3"/>
      <c r="M929" s="4"/>
      <c r="N929" s="4"/>
      <c r="O929" s="4"/>
      <c r="P929" s="4"/>
      <c r="Q929" s="3"/>
      <c r="R929" s="4"/>
      <c r="S929" s="4"/>
      <c r="T929" s="4"/>
      <c r="U929" s="3"/>
      <c r="V929" s="4"/>
      <c r="W929" s="3"/>
      <c r="X929" s="3"/>
      <c r="Y929" s="4"/>
      <c r="Z929" s="4"/>
      <c r="AA929" s="4"/>
      <c r="AB929" s="4"/>
      <c r="AC929" s="4"/>
      <c r="AD929" s="4"/>
    </row>
    <row r="930" spans="1:30" ht="15.75" customHeight="1" x14ac:dyDescent="0.25">
      <c r="A930" s="4"/>
      <c r="B930" s="4"/>
      <c r="C930" s="57"/>
      <c r="D930" s="4"/>
      <c r="E930" s="4"/>
      <c r="F930" s="4"/>
      <c r="G930" s="4"/>
      <c r="H930" s="3"/>
      <c r="I930" s="4"/>
      <c r="J930" s="4"/>
      <c r="K930" s="3"/>
      <c r="L930" s="3"/>
      <c r="M930" s="4"/>
      <c r="N930" s="4"/>
      <c r="O930" s="4"/>
      <c r="P930" s="4"/>
      <c r="Q930" s="3"/>
      <c r="R930" s="4"/>
      <c r="S930" s="4"/>
      <c r="T930" s="4"/>
      <c r="U930" s="3"/>
      <c r="V930" s="4"/>
      <c r="W930" s="3"/>
      <c r="X930" s="3"/>
      <c r="Y930" s="4"/>
      <c r="Z930" s="4"/>
      <c r="AA930" s="4"/>
      <c r="AB930" s="4"/>
      <c r="AC930" s="4"/>
      <c r="AD930" s="4"/>
    </row>
    <row r="931" spans="1:30" ht="15.75" customHeight="1" x14ac:dyDescent="0.25">
      <c r="A931" s="4"/>
      <c r="B931" s="4"/>
      <c r="C931" s="57"/>
      <c r="D931" s="4"/>
      <c r="E931" s="4"/>
      <c r="F931" s="4"/>
      <c r="G931" s="4"/>
      <c r="H931" s="3"/>
      <c r="I931" s="4"/>
      <c r="J931" s="4"/>
      <c r="K931" s="3"/>
      <c r="L931" s="3"/>
      <c r="M931" s="4"/>
      <c r="N931" s="4"/>
      <c r="O931" s="4"/>
      <c r="P931" s="4"/>
      <c r="Q931" s="3"/>
      <c r="R931" s="4"/>
      <c r="S931" s="4"/>
      <c r="T931" s="4"/>
      <c r="U931" s="3"/>
      <c r="V931" s="4"/>
      <c r="W931" s="3"/>
      <c r="X931" s="3"/>
      <c r="Y931" s="4"/>
      <c r="Z931" s="4"/>
      <c r="AA931" s="4"/>
      <c r="AB931" s="4"/>
      <c r="AC931" s="4"/>
      <c r="AD931" s="4"/>
    </row>
    <row r="932" spans="1:30" ht="15.75" customHeight="1" x14ac:dyDescent="0.25">
      <c r="A932" s="4"/>
      <c r="B932" s="4"/>
      <c r="C932" s="57"/>
      <c r="D932" s="4"/>
      <c r="E932" s="4"/>
      <c r="F932" s="4"/>
      <c r="G932" s="4"/>
      <c r="H932" s="3"/>
      <c r="I932" s="4"/>
      <c r="J932" s="4"/>
      <c r="K932" s="3"/>
      <c r="L932" s="3"/>
      <c r="M932" s="4"/>
      <c r="N932" s="4"/>
      <c r="O932" s="4"/>
      <c r="P932" s="4"/>
      <c r="Q932" s="3"/>
      <c r="R932" s="4"/>
      <c r="S932" s="4"/>
      <c r="T932" s="4"/>
      <c r="U932" s="3"/>
      <c r="V932" s="4"/>
      <c r="W932" s="3"/>
      <c r="X932" s="3"/>
      <c r="Y932" s="4"/>
      <c r="Z932" s="4"/>
      <c r="AA932" s="4"/>
      <c r="AB932" s="4"/>
      <c r="AC932" s="4"/>
      <c r="AD932" s="4"/>
    </row>
    <row r="933" spans="1:30" ht="15.75" customHeight="1" x14ac:dyDescent="0.25">
      <c r="A933" s="4"/>
      <c r="B933" s="4"/>
      <c r="C933" s="57"/>
      <c r="D933" s="4"/>
      <c r="E933" s="4"/>
      <c r="F933" s="4"/>
      <c r="G933" s="4"/>
      <c r="H933" s="3"/>
      <c r="I933" s="4"/>
      <c r="J933" s="4"/>
      <c r="K933" s="3"/>
      <c r="L933" s="3"/>
      <c r="M933" s="4"/>
      <c r="N933" s="4"/>
      <c r="O933" s="4"/>
      <c r="P933" s="4"/>
      <c r="Q933" s="3"/>
      <c r="R933" s="4"/>
      <c r="S933" s="4"/>
      <c r="T933" s="4"/>
      <c r="U933" s="3"/>
      <c r="V933" s="4"/>
      <c r="W933" s="3"/>
      <c r="X933" s="3"/>
      <c r="Y933" s="4"/>
      <c r="Z933" s="4"/>
      <c r="AA933" s="4"/>
      <c r="AB933" s="4"/>
      <c r="AC933" s="4"/>
      <c r="AD933" s="4"/>
    </row>
    <row r="934" spans="1:30" ht="15.75" customHeight="1" x14ac:dyDescent="0.25">
      <c r="A934" s="4"/>
      <c r="B934" s="4"/>
      <c r="C934" s="57"/>
      <c r="D934" s="4"/>
      <c r="E934" s="4"/>
      <c r="F934" s="4"/>
      <c r="G934" s="4"/>
      <c r="H934" s="3"/>
      <c r="I934" s="4"/>
      <c r="J934" s="4"/>
      <c r="K934" s="3"/>
      <c r="L934" s="3"/>
      <c r="M934" s="4"/>
      <c r="N934" s="4"/>
      <c r="O934" s="4"/>
      <c r="P934" s="4"/>
      <c r="Q934" s="3"/>
      <c r="R934" s="4"/>
      <c r="S934" s="4"/>
      <c r="T934" s="4"/>
      <c r="U934" s="3"/>
      <c r="V934" s="4"/>
      <c r="W934" s="3"/>
      <c r="X934" s="3"/>
      <c r="Y934" s="4"/>
      <c r="Z934" s="4"/>
      <c r="AA934" s="4"/>
      <c r="AB934" s="4"/>
      <c r="AC934" s="4"/>
      <c r="AD934" s="4"/>
    </row>
    <row r="935" spans="1:30" ht="15.75" customHeight="1" x14ac:dyDescent="0.25">
      <c r="A935" s="4"/>
      <c r="B935" s="4"/>
      <c r="C935" s="57"/>
      <c r="D935" s="4"/>
      <c r="E935" s="4"/>
      <c r="F935" s="4"/>
      <c r="G935" s="4"/>
      <c r="H935" s="3"/>
      <c r="I935" s="4"/>
      <c r="J935" s="4"/>
      <c r="K935" s="3"/>
      <c r="L935" s="3"/>
      <c r="M935" s="4"/>
      <c r="N935" s="4"/>
      <c r="O935" s="4"/>
      <c r="P935" s="4"/>
      <c r="Q935" s="3"/>
      <c r="R935" s="4"/>
      <c r="S935" s="4"/>
      <c r="T935" s="4"/>
      <c r="U935" s="3"/>
      <c r="V935" s="4"/>
      <c r="W935" s="3"/>
      <c r="X935" s="3"/>
      <c r="Y935" s="4"/>
      <c r="Z935" s="4"/>
      <c r="AA935" s="4"/>
      <c r="AB935" s="4"/>
      <c r="AC935" s="4"/>
      <c r="AD935" s="4"/>
    </row>
    <row r="936" spans="1:30" ht="15.75" customHeight="1" x14ac:dyDescent="0.25">
      <c r="A936" s="4"/>
      <c r="B936" s="4"/>
      <c r="C936" s="57"/>
      <c r="D936" s="4"/>
      <c r="E936" s="4"/>
      <c r="F936" s="4"/>
      <c r="G936" s="4"/>
      <c r="H936" s="3"/>
      <c r="I936" s="4"/>
      <c r="J936" s="4"/>
      <c r="K936" s="3"/>
      <c r="L936" s="3"/>
      <c r="M936" s="4"/>
      <c r="N936" s="4"/>
      <c r="O936" s="4"/>
      <c r="P936" s="4"/>
      <c r="Q936" s="3"/>
      <c r="R936" s="4"/>
      <c r="S936" s="4"/>
      <c r="T936" s="4"/>
      <c r="U936" s="3"/>
      <c r="V936" s="4"/>
      <c r="W936" s="3"/>
      <c r="X936" s="3"/>
      <c r="Y936" s="4"/>
      <c r="Z936" s="4"/>
      <c r="AA936" s="4"/>
      <c r="AB936" s="4"/>
      <c r="AC936" s="4"/>
      <c r="AD936" s="4"/>
    </row>
    <row r="937" spans="1:30" ht="15.75" customHeight="1" x14ac:dyDescent="0.25">
      <c r="A937" s="4"/>
      <c r="B937" s="4"/>
      <c r="C937" s="57"/>
      <c r="D937" s="4"/>
      <c r="E937" s="4"/>
      <c r="F937" s="4"/>
      <c r="G937" s="4"/>
      <c r="H937" s="3"/>
      <c r="I937" s="4"/>
      <c r="J937" s="4"/>
      <c r="K937" s="3"/>
      <c r="L937" s="3"/>
      <c r="M937" s="4"/>
      <c r="N937" s="4"/>
      <c r="O937" s="4"/>
      <c r="P937" s="4"/>
      <c r="Q937" s="3"/>
      <c r="R937" s="4"/>
      <c r="S937" s="4"/>
      <c r="T937" s="4"/>
      <c r="U937" s="3"/>
      <c r="V937" s="4"/>
      <c r="W937" s="3"/>
      <c r="X937" s="3"/>
      <c r="Y937" s="4"/>
      <c r="Z937" s="4"/>
      <c r="AA937" s="4"/>
      <c r="AB937" s="4"/>
      <c r="AC937" s="4"/>
      <c r="AD937" s="4"/>
    </row>
    <row r="938" spans="1:30" ht="15.75" customHeight="1" x14ac:dyDescent="0.25">
      <c r="A938" s="4"/>
      <c r="B938" s="4"/>
      <c r="C938" s="57"/>
      <c r="D938" s="4"/>
      <c r="E938" s="4"/>
      <c r="F938" s="4"/>
      <c r="G938" s="4"/>
      <c r="H938" s="3"/>
      <c r="I938" s="4"/>
      <c r="J938" s="4"/>
      <c r="K938" s="3"/>
      <c r="L938" s="3"/>
      <c r="M938" s="4"/>
      <c r="N938" s="4"/>
      <c r="O938" s="4"/>
      <c r="P938" s="4"/>
      <c r="Q938" s="3"/>
      <c r="R938" s="4"/>
      <c r="S938" s="4"/>
      <c r="T938" s="4"/>
      <c r="U938" s="3"/>
      <c r="V938" s="4"/>
      <c r="W938" s="3"/>
      <c r="X938" s="3"/>
      <c r="Y938" s="4"/>
      <c r="Z938" s="4"/>
      <c r="AA938" s="4"/>
      <c r="AB938" s="4"/>
      <c r="AC938" s="4"/>
      <c r="AD938" s="4"/>
    </row>
    <row r="939" spans="1:30" ht="15.75" customHeight="1" x14ac:dyDescent="0.25">
      <c r="A939" s="4"/>
      <c r="B939" s="4"/>
      <c r="C939" s="57"/>
      <c r="D939" s="4"/>
      <c r="E939" s="4"/>
      <c r="F939" s="4"/>
      <c r="G939" s="4"/>
      <c r="H939" s="3"/>
      <c r="I939" s="4"/>
      <c r="J939" s="4"/>
      <c r="K939" s="3"/>
      <c r="L939" s="3"/>
      <c r="M939" s="4"/>
      <c r="N939" s="4"/>
      <c r="O939" s="4"/>
      <c r="P939" s="4"/>
      <c r="Q939" s="3"/>
      <c r="R939" s="4"/>
      <c r="S939" s="4"/>
      <c r="T939" s="4"/>
      <c r="U939" s="3"/>
      <c r="V939" s="4"/>
      <c r="W939" s="3"/>
      <c r="X939" s="3"/>
      <c r="Y939" s="4"/>
      <c r="Z939" s="4"/>
      <c r="AA939" s="4"/>
      <c r="AB939" s="4"/>
      <c r="AC939" s="4"/>
      <c r="AD939" s="4"/>
    </row>
    <row r="940" spans="1:30" ht="15.75" customHeight="1" x14ac:dyDescent="0.25">
      <c r="A940" s="4"/>
      <c r="B940" s="4"/>
      <c r="C940" s="57"/>
      <c r="D940" s="4"/>
      <c r="E940" s="4"/>
      <c r="F940" s="4"/>
      <c r="G940" s="4"/>
      <c r="H940" s="3"/>
      <c r="I940" s="4"/>
      <c r="J940" s="4"/>
      <c r="K940" s="3"/>
      <c r="L940" s="3"/>
      <c r="M940" s="4"/>
      <c r="N940" s="4"/>
      <c r="O940" s="4"/>
      <c r="P940" s="4"/>
      <c r="Q940" s="3"/>
      <c r="R940" s="4"/>
      <c r="S940" s="4"/>
      <c r="T940" s="4"/>
      <c r="U940" s="3"/>
      <c r="V940" s="4"/>
      <c r="W940" s="3"/>
      <c r="X940" s="3"/>
      <c r="Y940" s="4"/>
      <c r="Z940" s="4"/>
      <c r="AA940" s="4"/>
      <c r="AB940" s="4"/>
      <c r="AC940" s="4"/>
      <c r="AD940" s="4"/>
    </row>
    <row r="941" spans="1:30" ht="15.75" customHeight="1" x14ac:dyDescent="0.25">
      <c r="A941" s="4"/>
      <c r="B941" s="4"/>
      <c r="C941" s="57"/>
      <c r="D941" s="4"/>
      <c r="E941" s="4"/>
      <c r="F941" s="4"/>
      <c r="G941" s="4"/>
      <c r="H941" s="3"/>
      <c r="I941" s="4"/>
      <c r="J941" s="4"/>
      <c r="K941" s="3"/>
      <c r="L941" s="3"/>
      <c r="M941" s="4"/>
      <c r="N941" s="4"/>
      <c r="O941" s="4"/>
      <c r="P941" s="4"/>
      <c r="Q941" s="3"/>
      <c r="R941" s="4"/>
      <c r="S941" s="4"/>
      <c r="T941" s="4"/>
      <c r="U941" s="3"/>
      <c r="V941" s="4"/>
      <c r="W941" s="3"/>
      <c r="X941" s="3"/>
      <c r="Y941" s="4"/>
      <c r="Z941" s="4"/>
      <c r="AA941" s="4"/>
      <c r="AB941" s="4"/>
      <c r="AC941" s="4"/>
      <c r="AD941" s="4"/>
    </row>
    <row r="942" spans="1:30" ht="15.75" customHeight="1" x14ac:dyDescent="0.25">
      <c r="A942" s="4"/>
      <c r="B942" s="4"/>
      <c r="C942" s="57"/>
      <c r="D942" s="4"/>
      <c r="E942" s="4"/>
      <c r="F942" s="4"/>
      <c r="G942" s="4"/>
      <c r="H942" s="3"/>
      <c r="I942" s="4"/>
      <c r="J942" s="4"/>
      <c r="K942" s="3"/>
      <c r="L942" s="3"/>
      <c r="M942" s="4"/>
      <c r="N942" s="4"/>
      <c r="O942" s="4"/>
      <c r="P942" s="4"/>
      <c r="Q942" s="3"/>
      <c r="R942" s="4"/>
      <c r="S942" s="4"/>
      <c r="T942" s="4"/>
      <c r="U942" s="3"/>
      <c r="V942" s="4"/>
      <c r="W942" s="3"/>
      <c r="X942" s="3"/>
      <c r="Y942" s="4"/>
      <c r="Z942" s="4"/>
      <c r="AA942" s="4"/>
      <c r="AB942" s="4"/>
      <c r="AC942" s="4"/>
      <c r="AD942" s="4"/>
    </row>
    <row r="943" spans="1:30" ht="15.75" customHeight="1" x14ac:dyDescent="0.25">
      <c r="A943" s="4"/>
      <c r="B943" s="4"/>
      <c r="C943" s="57"/>
      <c r="D943" s="4"/>
      <c r="E943" s="4"/>
      <c r="F943" s="4"/>
      <c r="G943" s="4"/>
      <c r="H943" s="3"/>
      <c r="I943" s="4"/>
      <c r="J943" s="4"/>
      <c r="K943" s="3"/>
      <c r="L943" s="3"/>
      <c r="M943" s="4"/>
      <c r="N943" s="4"/>
      <c r="O943" s="4"/>
      <c r="P943" s="4"/>
      <c r="Q943" s="3"/>
      <c r="R943" s="4"/>
      <c r="S943" s="4"/>
      <c r="T943" s="4"/>
      <c r="U943" s="3"/>
      <c r="V943" s="4"/>
      <c r="W943" s="3"/>
      <c r="X943" s="3"/>
      <c r="Y943" s="4"/>
      <c r="Z943" s="4"/>
      <c r="AA943" s="4"/>
      <c r="AB943" s="4"/>
      <c r="AC943" s="4"/>
      <c r="AD943" s="4"/>
    </row>
    <row r="944" spans="1:30" ht="15.75" customHeight="1" x14ac:dyDescent="0.25">
      <c r="A944" s="4"/>
      <c r="B944" s="4"/>
      <c r="C944" s="57"/>
      <c r="D944" s="4"/>
      <c r="E944" s="4"/>
      <c r="F944" s="4"/>
      <c r="G944" s="4"/>
      <c r="H944" s="3"/>
      <c r="I944" s="4"/>
      <c r="J944" s="4"/>
      <c r="K944" s="3"/>
      <c r="L944" s="3"/>
      <c r="M944" s="4"/>
      <c r="N944" s="4"/>
      <c r="O944" s="4"/>
      <c r="P944" s="4"/>
      <c r="Q944" s="3"/>
      <c r="R944" s="4"/>
      <c r="S944" s="4"/>
      <c r="T944" s="4"/>
      <c r="U944" s="3"/>
      <c r="V944" s="4"/>
      <c r="W944" s="3"/>
      <c r="X944" s="3"/>
      <c r="Y944" s="4"/>
      <c r="Z944" s="4"/>
      <c r="AA944" s="4"/>
      <c r="AB944" s="4"/>
      <c r="AC944" s="4"/>
      <c r="AD944" s="4"/>
    </row>
    <row r="945" spans="1:30" ht="15.75" customHeight="1" x14ac:dyDescent="0.25">
      <c r="A945" s="4"/>
      <c r="B945" s="4"/>
      <c r="C945" s="57"/>
      <c r="D945" s="4"/>
      <c r="E945" s="4"/>
      <c r="F945" s="4"/>
      <c r="G945" s="4"/>
      <c r="H945" s="3"/>
      <c r="I945" s="4"/>
      <c r="J945" s="4"/>
      <c r="K945" s="3"/>
      <c r="L945" s="3"/>
      <c r="M945" s="4"/>
      <c r="N945" s="4"/>
      <c r="O945" s="4"/>
      <c r="P945" s="4"/>
      <c r="Q945" s="3"/>
      <c r="R945" s="4"/>
      <c r="S945" s="4"/>
      <c r="T945" s="4"/>
      <c r="U945" s="3"/>
      <c r="V945" s="4"/>
      <c r="W945" s="3"/>
      <c r="X945" s="3"/>
      <c r="Y945" s="4"/>
      <c r="Z945" s="4"/>
      <c r="AA945" s="4"/>
      <c r="AB945" s="4"/>
      <c r="AC945" s="4"/>
      <c r="AD945" s="4"/>
    </row>
    <row r="946" spans="1:30" ht="15.75" customHeight="1" x14ac:dyDescent="0.25">
      <c r="A946" s="4"/>
      <c r="B946" s="4"/>
      <c r="C946" s="57"/>
      <c r="D946" s="4"/>
      <c r="E946" s="4"/>
      <c r="F946" s="4"/>
      <c r="G946" s="4"/>
      <c r="H946" s="3"/>
      <c r="I946" s="4"/>
      <c r="J946" s="4"/>
      <c r="K946" s="3"/>
      <c r="L946" s="3"/>
      <c r="M946" s="4"/>
      <c r="N946" s="4"/>
      <c r="O946" s="4"/>
      <c r="P946" s="4"/>
      <c r="Q946" s="3"/>
      <c r="R946" s="4"/>
      <c r="S946" s="4"/>
      <c r="T946" s="4"/>
      <c r="U946" s="3"/>
      <c r="V946" s="4"/>
      <c r="W946" s="3"/>
      <c r="X946" s="3"/>
      <c r="Y946" s="4"/>
      <c r="Z946" s="4"/>
      <c r="AA946" s="4"/>
      <c r="AB946" s="4"/>
      <c r="AC946" s="4"/>
      <c r="AD946" s="4"/>
    </row>
    <row r="947" spans="1:30" ht="15.75" customHeight="1" x14ac:dyDescent="0.25">
      <c r="A947" s="4"/>
      <c r="B947" s="4"/>
      <c r="C947" s="57"/>
      <c r="D947" s="4"/>
      <c r="E947" s="4"/>
      <c r="F947" s="4"/>
      <c r="G947" s="4"/>
      <c r="H947" s="3"/>
      <c r="I947" s="4"/>
      <c r="J947" s="4"/>
      <c r="K947" s="3"/>
      <c r="L947" s="3"/>
      <c r="M947" s="4"/>
      <c r="N947" s="4"/>
      <c r="O947" s="4"/>
      <c r="P947" s="4"/>
      <c r="Q947" s="3"/>
      <c r="R947" s="4"/>
      <c r="S947" s="4"/>
      <c r="T947" s="4"/>
      <c r="U947" s="3"/>
      <c r="V947" s="4"/>
      <c r="W947" s="3"/>
      <c r="X947" s="3"/>
      <c r="Y947" s="4"/>
      <c r="Z947" s="4"/>
      <c r="AA947" s="4"/>
      <c r="AB947" s="4"/>
      <c r="AC947" s="4"/>
      <c r="AD947" s="4"/>
    </row>
    <row r="948" spans="1:30" ht="15.75" customHeight="1" x14ac:dyDescent="0.25">
      <c r="A948" s="4"/>
      <c r="B948" s="4"/>
      <c r="C948" s="57"/>
      <c r="D948" s="4"/>
      <c r="E948" s="4"/>
      <c r="F948" s="4"/>
      <c r="G948" s="4"/>
      <c r="H948" s="3"/>
      <c r="I948" s="4"/>
      <c r="J948" s="4"/>
      <c r="K948" s="3"/>
      <c r="L948" s="3"/>
      <c r="M948" s="4"/>
      <c r="N948" s="4"/>
      <c r="O948" s="4"/>
      <c r="P948" s="4"/>
      <c r="Q948" s="3"/>
      <c r="R948" s="4"/>
      <c r="S948" s="4"/>
      <c r="T948" s="4"/>
      <c r="U948" s="3"/>
      <c r="V948" s="4"/>
      <c r="W948" s="3"/>
      <c r="X948" s="3"/>
      <c r="Y948" s="4"/>
      <c r="Z948" s="4"/>
      <c r="AA948" s="4"/>
      <c r="AB948" s="4"/>
      <c r="AC948" s="4"/>
      <c r="AD948" s="4"/>
    </row>
    <row r="949" spans="1:30" ht="15.75" customHeight="1" x14ac:dyDescent="0.25">
      <c r="A949" s="4"/>
      <c r="B949" s="4"/>
      <c r="C949" s="57"/>
      <c r="D949" s="4"/>
      <c r="E949" s="4"/>
      <c r="F949" s="4"/>
      <c r="G949" s="4"/>
      <c r="H949" s="3"/>
      <c r="I949" s="4"/>
      <c r="J949" s="4"/>
      <c r="K949" s="3"/>
      <c r="L949" s="3"/>
      <c r="M949" s="4"/>
      <c r="N949" s="4"/>
      <c r="O949" s="4"/>
      <c r="P949" s="4"/>
      <c r="Q949" s="3"/>
      <c r="R949" s="4"/>
      <c r="S949" s="4"/>
      <c r="T949" s="4"/>
      <c r="U949" s="3"/>
      <c r="V949" s="4"/>
      <c r="W949" s="3"/>
      <c r="X949" s="3"/>
      <c r="Y949" s="4"/>
      <c r="Z949" s="4"/>
      <c r="AA949" s="4"/>
      <c r="AB949" s="4"/>
      <c r="AC949" s="4"/>
      <c r="AD949" s="4"/>
    </row>
    <row r="950" spans="1:30" ht="15.75" customHeight="1" x14ac:dyDescent="0.25">
      <c r="A950" s="4"/>
      <c r="B950" s="4"/>
      <c r="C950" s="57"/>
      <c r="D950" s="4"/>
      <c r="E950" s="4"/>
      <c r="F950" s="4"/>
      <c r="G950" s="4"/>
      <c r="H950" s="3"/>
      <c r="I950" s="4"/>
      <c r="J950" s="4"/>
      <c r="K950" s="3"/>
      <c r="L950" s="3"/>
      <c r="M950" s="4"/>
      <c r="N950" s="4"/>
      <c r="O950" s="4"/>
      <c r="P950" s="4"/>
      <c r="Q950" s="3"/>
      <c r="R950" s="4"/>
      <c r="S950" s="4"/>
      <c r="T950" s="4"/>
      <c r="U950" s="3"/>
      <c r="V950" s="4"/>
      <c r="W950" s="3"/>
      <c r="X950" s="3"/>
      <c r="Y950" s="4"/>
      <c r="Z950" s="4"/>
      <c r="AA950" s="4"/>
      <c r="AB950" s="4"/>
      <c r="AC950" s="4"/>
      <c r="AD950" s="4"/>
    </row>
    <row r="951" spans="1:30" ht="15.75" customHeight="1" x14ac:dyDescent="0.25">
      <c r="A951" s="4"/>
      <c r="B951" s="4"/>
      <c r="C951" s="57"/>
      <c r="D951" s="4"/>
      <c r="E951" s="4"/>
      <c r="F951" s="4"/>
      <c r="G951" s="4"/>
      <c r="H951" s="3"/>
      <c r="I951" s="4"/>
      <c r="J951" s="4"/>
      <c r="K951" s="3"/>
      <c r="L951" s="3"/>
      <c r="M951" s="4"/>
      <c r="N951" s="4"/>
      <c r="O951" s="4"/>
      <c r="P951" s="4"/>
      <c r="Q951" s="3"/>
      <c r="R951" s="4"/>
      <c r="S951" s="4"/>
      <c r="T951" s="4"/>
      <c r="U951" s="3"/>
      <c r="V951" s="4"/>
      <c r="W951" s="3"/>
      <c r="X951" s="3"/>
      <c r="Y951" s="4"/>
      <c r="Z951" s="4"/>
      <c r="AA951" s="4"/>
      <c r="AB951" s="4"/>
      <c r="AC951" s="4"/>
      <c r="AD951" s="4"/>
    </row>
    <row r="952" spans="1:30" ht="15.75" customHeight="1" x14ac:dyDescent="0.25">
      <c r="A952" s="4"/>
      <c r="B952" s="4"/>
      <c r="C952" s="57"/>
      <c r="D952" s="4"/>
      <c r="E952" s="4"/>
      <c r="F952" s="4"/>
      <c r="G952" s="4"/>
      <c r="H952" s="3"/>
      <c r="I952" s="4"/>
      <c r="J952" s="4"/>
      <c r="K952" s="3"/>
      <c r="L952" s="3"/>
      <c r="M952" s="4"/>
      <c r="N952" s="4"/>
      <c r="O952" s="4"/>
      <c r="P952" s="4"/>
      <c r="Q952" s="3"/>
      <c r="R952" s="4"/>
      <c r="S952" s="4"/>
      <c r="T952" s="4"/>
      <c r="U952" s="3"/>
      <c r="V952" s="4"/>
      <c r="W952" s="3"/>
      <c r="X952" s="3"/>
      <c r="Y952" s="4"/>
      <c r="Z952" s="4"/>
      <c r="AA952" s="4"/>
      <c r="AB952" s="4"/>
      <c r="AC952" s="4"/>
      <c r="AD952" s="4"/>
    </row>
    <row r="953" spans="1:30" ht="15.75" customHeight="1" x14ac:dyDescent="0.25">
      <c r="A953" s="4"/>
      <c r="B953" s="4"/>
      <c r="C953" s="57"/>
      <c r="D953" s="4"/>
      <c r="E953" s="4"/>
      <c r="F953" s="4"/>
      <c r="G953" s="4"/>
      <c r="H953" s="3"/>
      <c r="I953" s="4"/>
      <c r="J953" s="4"/>
      <c r="K953" s="3"/>
      <c r="L953" s="3"/>
      <c r="M953" s="4"/>
      <c r="N953" s="4"/>
      <c r="O953" s="4"/>
      <c r="P953" s="4"/>
      <c r="Q953" s="3"/>
      <c r="R953" s="4"/>
      <c r="S953" s="4"/>
      <c r="T953" s="4"/>
      <c r="U953" s="3"/>
      <c r="V953" s="4"/>
      <c r="W953" s="3"/>
      <c r="X953" s="3"/>
      <c r="Y953" s="4"/>
      <c r="Z953" s="4"/>
      <c r="AA953" s="4"/>
      <c r="AB953" s="4"/>
      <c r="AC953" s="4"/>
      <c r="AD953" s="4"/>
    </row>
    <row r="954" spans="1:30" ht="15.75" customHeight="1" x14ac:dyDescent="0.25">
      <c r="A954" s="4"/>
      <c r="B954" s="4"/>
      <c r="C954" s="57"/>
      <c r="D954" s="4"/>
      <c r="E954" s="4"/>
      <c r="F954" s="4"/>
      <c r="G954" s="4"/>
      <c r="H954" s="3"/>
      <c r="I954" s="4"/>
      <c r="J954" s="4"/>
      <c r="K954" s="3"/>
      <c r="L954" s="3"/>
      <c r="M954" s="4"/>
      <c r="N954" s="4"/>
      <c r="O954" s="4"/>
      <c r="P954" s="4"/>
      <c r="Q954" s="3"/>
      <c r="R954" s="4"/>
      <c r="S954" s="4"/>
      <c r="T954" s="4"/>
      <c r="U954" s="3"/>
      <c r="V954" s="4"/>
      <c r="W954" s="3"/>
      <c r="X954" s="3"/>
      <c r="Y954" s="4"/>
      <c r="Z954" s="4"/>
      <c r="AA954" s="4"/>
      <c r="AB954" s="4"/>
      <c r="AC954" s="4"/>
      <c r="AD954" s="4"/>
    </row>
    <row r="955" spans="1:30" ht="15.75" customHeight="1" x14ac:dyDescent="0.25">
      <c r="A955" s="4"/>
      <c r="B955" s="4"/>
      <c r="C955" s="57"/>
      <c r="D955" s="4"/>
      <c r="E955" s="4"/>
      <c r="F955" s="4"/>
      <c r="G955" s="4"/>
      <c r="H955" s="3"/>
      <c r="I955" s="4"/>
      <c r="J955" s="4"/>
      <c r="K955" s="3"/>
      <c r="L955" s="3"/>
      <c r="M955" s="4"/>
      <c r="N955" s="4"/>
      <c r="O955" s="4"/>
      <c r="P955" s="4"/>
      <c r="Q955" s="3"/>
      <c r="R955" s="4"/>
      <c r="S955" s="4"/>
      <c r="T955" s="4"/>
      <c r="U955" s="3"/>
      <c r="V955" s="4"/>
      <c r="W955" s="3"/>
      <c r="X955" s="3"/>
      <c r="Y955" s="4"/>
      <c r="Z955" s="4"/>
      <c r="AA955" s="4"/>
      <c r="AB955" s="4"/>
      <c r="AC955" s="4"/>
      <c r="AD955" s="4"/>
    </row>
    <row r="956" spans="1:30" ht="15.75" customHeight="1" x14ac:dyDescent="0.25">
      <c r="A956" s="4"/>
      <c r="B956" s="4"/>
      <c r="C956" s="57"/>
      <c r="D956" s="4"/>
      <c r="E956" s="4"/>
      <c r="F956" s="4"/>
      <c r="G956" s="4"/>
      <c r="H956" s="3"/>
      <c r="I956" s="4"/>
      <c r="J956" s="4"/>
      <c r="K956" s="3"/>
      <c r="L956" s="3"/>
      <c r="M956" s="4"/>
      <c r="N956" s="4"/>
      <c r="O956" s="4"/>
      <c r="P956" s="4"/>
      <c r="Q956" s="3"/>
      <c r="R956" s="4"/>
      <c r="S956" s="4"/>
      <c r="T956" s="4"/>
      <c r="U956" s="3"/>
      <c r="V956" s="4"/>
      <c r="W956" s="3"/>
      <c r="X956" s="3"/>
      <c r="Y956" s="4"/>
      <c r="Z956" s="4"/>
      <c r="AA956" s="4"/>
      <c r="AB956" s="4"/>
      <c r="AC956" s="4"/>
      <c r="AD956" s="4"/>
    </row>
    <row r="957" spans="1:30" ht="15.75" customHeight="1" x14ac:dyDescent="0.25">
      <c r="A957" s="4"/>
      <c r="B957" s="4"/>
      <c r="C957" s="57"/>
      <c r="D957" s="4"/>
      <c r="E957" s="4"/>
      <c r="F957" s="4"/>
      <c r="G957" s="4"/>
      <c r="H957" s="3"/>
      <c r="I957" s="4"/>
      <c r="J957" s="4"/>
      <c r="K957" s="3"/>
      <c r="L957" s="3"/>
      <c r="M957" s="4"/>
      <c r="N957" s="4"/>
      <c r="O957" s="4"/>
      <c r="P957" s="4"/>
      <c r="Q957" s="3"/>
      <c r="R957" s="4"/>
      <c r="S957" s="4"/>
      <c r="T957" s="4"/>
      <c r="U957" s="3"/>
      <c r="V957" s="4"/>
      <c r="W957" s="3"/>
      <c r="X957" s="3"/>
      <c r="Y957" s="4"/>
      <c r="Z957" s="4"/>
      <c r="AA957" s="4"/>
      <c r="AB957" s="4"/>
      <c r="AC957" s="4"/>
      <c r="AD957" s="4"/>
    </row>
    <row r="958" spans="1:30" ht="15.75" customHeight="1" x14ac:dyDescent="0.25">
      <c r="A958" s="4"/>
      <c r="B958" s="4"/>
      <c r="C958" s="57"/>
      <c r="D958" s="4"/>
      <c r="E958" s="4"/>
      <c r="F958" s="4"/>
      <c r="G958" s="4"/>
      <c r="H958" s="3"/>
      <c r="I958" s="4"/>
      <c r="J958" s="4"/>
      <c r="K958" s="3"/>
      <c r="L958" s="3"/>
      <c r="M958" s="4"/>
      <c r="N958" s="4"/>
      <c r="O958" s="4"/>
      <c r="P958" s="4"/>
      <c r="Q958" s="3"/>
      <c r="R958" s="4"/>
      <c r="S958" s="4"/>
      <c r="T958" s="4"/>
      <c r="U958" s="3"/>
      <c r="V958" s="4"/>
      <c r="W958" s="3"/>
      <c r="X958" s="3"/>
      <c r="Y958" s="4"/>
      <c r="Z958" s="4"/>
      <c r="AA958" s="4"/>
      <c r="AB958" s="4"/>
      <c r="AC958" s="4"/>
      <c r="AD958" s="4"/>
    </row>
    <row r="959" spans="1:30" ht="15.75" customHeight="1" x14ac:dyDescent="0.25">
      <c r="A959" s="4"/>
      <c r="B959" s="4"/>
      <c r="C959" s="57"/>
      <c r="D959" s="4"/>
      <c r="E959" s="4"/>
      <c r="F959" s="4"/>
      <c r="G959" s="4"/>
      <c r="H959" s="3"/>
      <c r="I959" s="4"/>
      <c r="J959" s="4"/>
      <c r="K959" s="3"/>
      <c r="L959" s="3"/>
      <c r="M959" s="4"/>
      <c r="N959" s="4"/>
      <c r="O959" s="4"/>
      <c r="P959" s="4"/>
      <c r="Q959" s="3"/>
      <c r="R959" s="4"/>
      <c r="S959" s="4"/>
      <c r="T959" s="4"/>
      <c r="U959" s="3"/>
      <c r="V959" s="4"/>
      <c r="W959" s="3"/>
      <c r="X959" s="3"/>
      <c r="Y959" s="4"/>
      <c r="Z959" s="4"/>
      <c r="AA959" s="4"/>
      <c r="AB959" s="4"/>
      <c r="AC959" s="4"/>
      <c r="AD959" s="4"/>
    </row>
    <row r="960" spans="1:30" ht="15.75" customHeight="1" x14ac:dyDescent="0.25">
      <c r="A960" s="4"/>
      <c r="B960" s="4"/>
      <c r="C960" s="57"/>
      <c r="D960" s="4"/>
      <c r="E960" s="4"/>
      <c r="F960" s="4"/>
      <c r="G960" s="4"/>
      <c r="H960" s="3"/>
      <c r="I960" s="4"/>
      <c r="J960" s="4"/>
      <c r="K960" s="3"/>
      <c r="L960" s="3"/>
      <c r="M960" s="4"/>
      <c r="N960" s="4"/>
      <c r="O960" s="4"/>
      <c r="P960" s="4"/>
      <c r="Q960" s="3"/>
      <c r="R960" s="4"/>
      <c r="S960" s="4"/>
      <c r="T960" s="4"/>
      <c r="U960" s="3"/>
      <c r="V960" s="4"/>
      <c r="W960" s="3"/>
      <c r="X960" s="3"/>
      <c r="Y960" s="4"/>
      <c r="Z960" s="4"/>
      <c r="AA960" s="4"/>
      <c r="AB960" s="4"/>
      <c r="AC960" s="4"/>
      <c r="AD960" s="4"/>
    </row>
    <row r="961" spans="1:30" ht="15.75" customHeight="1" x14ac:dyDescent="0.25">
      <c r="A961" s="4"/>
      <c r="B961" s="4"/>
      <c r="C961" s="57"/>
      <c r="D961" s="4"/>
      <c r="E961" s="4"/>
      <c r="F961" s="4"/>
      <c r="G961" s="4"/>
      <c r="H961" s="3"/>
      <c r="I961" s="4"/>
      <c r="J961" s="4"/>
      <c r="K961" s="3"/>
      <c r="L961" s="3"/>
      <c r="M961" s="4"/>
      <c r="N961" s="4"/>
      <c r="O961" s="4"/>
      <c r="P961" s="4"/>
      <c r="Q961" s="3"/>
      <c r="R961" s="4"/>
      <c r="S961" s="4"/>
      <c r="T961" s="4"/>
      <c r="U961" s="3"/>
      <c r="V961" s="4"/>
      <c r="W961" s="3"/>
      <c r="X961" s="3"/>
      <c r="Y961" s="4"/>
      <c r="Z961" s="4"/>
      <c r="AA961" s="4"/>
      <c r="AB961" s="4"/>
      <c r="AC961" s="4"/>
      <c r="AD961" s="4"/>
    </row>
    <row r="962" spans="1:30" ht="15.75" customHeight="1" x14ac:dyDescent="0.25">
      <c r="A962" s="4"/>
      <c r="B962" s="4"/>
      <c r="C962" s="57"/>
      <c r="D962" s="4"/>
      <c r="E962" s="4"/>
      <c r="F962" s="4"/>
      <c r="G962" s="4"/>
      <c r="H962" s="3"/>
      <c r="I962" s="4"/>
      <c r="J962" s="4"/>
      <c r="K962" s="3"/>
      <c r="L962" s="3"/>
      <c r="M962" s="4"/>
      <c r="N962" s="4"/>
      <c r="O962" s="4"/>
      <c r="P962" s="4"/>
      <c r="Q962" s="3"/>
      <c r="R962" s="4"/>
      <c r="S962" s="4"/>
      <c r="T962" s="4"/>
      <c r="U962" s="3"/>
      <c r="V962" s="4"/>
      <c r="W962" s="3"/>
      <c r="X962" s="3"/>
      <c r="Y962" s="4"/>
      <c r="Z962" s="4"/>
      <c r="AA962" s="4"/>
      <c r="AB962" s="4"/>
      <c r="AC962" s="4"/>
      <c r="AD962" s="4"/>
    </row>
    <row r="963" spans="1:30" ht="15.75" customHeight="1" x14ac:dyDescent="0.25">
      <c r="A963" s="4"/>
      <c r="B963" s="4"/>
      <c r="C963" s="57"/>
      <c r="D963" s="4"/>
      <c r="E963" s="4"/>
      <c r="F963" s="4"/>
      <c r="G963" s="4"/>
      <c r="H963" s="3"/>
      <c r="I963" s="4"/>
      <c r="J963" s="4"/>
      <c r="K963" s="3"/>
      <c r="L963" s="3"/>
      <c r="M963" s="4"/>
      <c r="N963" s="4"/>
      <c r="O963" s="4"/>
      <c r="P963" s="4"/>
      <c r="Q963" s="3"/>
      <c r="R963" s="4"/>
      <c r="S963" s="4"/>
      <c r="T963" s="4"/>
      <c r="U963" s="3"/>
      <c r="V963" s="4"/>
      <c r="W963" s="3"/>
      <c r="X963" s="3"/>
      <c r="Y963" s="4"/>
      <c r="Z963" s="4"/>
      <c r="AA963" s="4"/>
      <c r="AB963" s="4"/>
      <c r="AC963" s="4"/>
      <c r="AD963" s="4"/>
    </row>
    <row r="964" spans="1:30" ht="15.75" customHeight="1" x14ac:dyDescent="0.25">
      <c r="A964" s="4"/>
      <c r="B964" s="4"/>
      <c r="C964" s="57"/>
      <c r="D964" s="4"/>
      <c r="E964" s="4"/>
      <c r="F964" s="4"/>
      <c r="G964" s="4"/>
      <c r="H964" s="3"/>
      <c r="I964" s="4"/>
      <c r="J964" s="4"/>
      <c r="K964" s="3"/>
      <c r="L964" s="3"/>
      <c r="M964" s="4"/>
      <c r="N964" s="4"/>
      <c r="O964" s="4"/>
      <c r="P964" s="4"/>
      <c r="Q964" s="3"/>
      <c r="R964" s="4"/>
      <c r="S964" s="4"/>
      <c r="T964" s="4"/>
      <c r="U964" s="3"/>
      <c r="V964" s="4"/>
      <c r="W964" s="3"/>
      <c r="X964" s="3"/>
      <c r="Y964" s="4"/>
      <c r="Z964" s="4"/>
      <c r="AA964" s="4"/>
      <c r="AB964" s="4"/>
      <c r="AC964" s="4"/>
      <c r="AD964" s="4"/>
    </row>
    <row r="965" spans="1:30" ht="15.75" customHeight="1" x14ac:dyDescent="0.25">
      <c r="A965" s="4"/>
      <c r="B965" s="4"/>
      <c r="C965" s="57"/>
      <c r="D965" s="4"/>
      <c r="E965" s="4"/>
      <c r="F965" s="4"/>
      <c r="G965" s="4"/>
      <c r="H965" s="3"/>
      <c r="I965" s="4"/>
      <c r="J965" s="4"/>
      <c r="K965" s="3"/>
      <c r="L965" s="3"/>
      <c r="M965" s="4"/>
      <c r="N965" s="4"/>
      <c r="O965" s="4"/>
      <c r="P965" s="4"/>
      <c r="Q965" s="3"/>
      <c r="R965" s="4"/>
      <c r="S965" s="4"/>
      <c r="T965" s="4"/>
      <c r="U965" s="3"/>
      <c r="V965" s="4"/>
      <c r="W965" s="3"/>
      <c r="X965" s="3"/>
      <c r="Y965" s="4"/>
      <c r="Z965" s="4"/>
      <c r="AA965" s="4"/>
      <c r="AB965" s="4"/>
      <c r="AC965" s="4"/>
      <c r="AD965" s="4"/>
    </row>
    <row r="966" spans="1:30" ht="15.75" customHeight="1" x14ac:dyDescent="0.25">
      <c r="A966" s="4"/>
      <c r="B966" s="4"/>
      <c r="C966" s="57"/>
      <c r="D966" s="4"/>
      <c r="E966" s="4"/>
      <c r="F966" s="4"/>
      <c r="G966" s="4"/>
      <c r="H966" s="3"/>
      <c r="I966" s="4"/>
      <c r="J966" s="4"/>
      <c r="K966" s="3"/>
      <c r="L966" s="3"/>
      <c r="M966" s="4"/>
      <c r="N966" s="4"/>
      <c r="O966" s="4"/>
      <c r="P966" s="4"/>
      <c r="Q966" s="3"/>
      <c r="R966" s="4"/>
      <c r="S966" s="4"/>
      <c r="T966" s="4"/>
      <c r="U966" s="3"/>
      <c r="V966" s="4"/>
      <c r="W966" s="3"/>
      <c r="X966" s="3"/>
      <c r="Y966" s="4"/>
      <c r="Z966" s="4"/>
      <c r="AA966" s="4"/>
      <c r="AB966" s="4"/>
      <c r="AC966" s="4"/>
      <c r="AD966" s="4"/>
    </row>
    <row r="967" spans="1:30" ht="15.75" customHeight="1" x14ac:dyDescent="0.25">
      <c r="A967" s="4"/>
      <c r="B967" s="4"/>
      <c r="C967" s="57"/>
      <c r="D967" s="4"/>
      <c r="E967" s="4"/>
      <c r="F967" s="4"/>
      <c r="G967" s="4"/>
      <c r="H967" s="3"/>
      <c r="I967" s="4"/>
      <c r="J967" s="4"/>
      <c r="K967" s="3"/>
      <c r="L967" s="3"/>
      <c r="M967" s="4"/>
      <c r="N967" s="4"/>
      <c r="O967" s="4"/>
      <c r="P967" s="4"/>
      <c r="Q967" s="3"/>
      <c r="R967" s="4"/>
      <c r="S967" s="4"/>
      <c r="T967" s="4"/>
      <c r="U967" s="3"/>
      <c r="V967" s="4"/>
      <c r="W967" s="3"/>
      <c r="X967" s="3"/>
      <c r="Y967" s="4"/>
      <c r="Z967" s="4"/>
      <c r="AA967" s="4"/>
      <c r="AB967" s="4"/>
      <c r="AC967" s="4"/>
      <c r="AD967" s="4"/>
    </row>
    <row r="968" spans="1:30" ht="15.75" customHeight="1" x14ac:dyDescent="0.25">
      <c r="A968" s="4"/>
      <c r="B968" s="4"/>
      <c r="C968" s="57"/>
      <c r="D968" s="4"/>
      <c r="E968" s="4"/>
      <c r="F968" s="4"/>
      <c r="G968" s="4"/>
      <c r="H968" s="3"/>
      <c r="I968" s="4"/>
      <c r="J968" s="4"/>
      <c r="K968" s="3"/>
      <c r="L968" s="3"/>
      <c r="M968" s="4"/>
      <c r="N968" s="4"/>
      <c r="O968" s="4"/>
      <c r="P968" s="4"/>
      <c r="Q968" s="3"/>
      <c r="R968" s="4"/>
      <c r="S968" s="4"/>
      <c r="T968" s="4"/>
      <c r="U968" s="3"/>
      <c r="V968" s="4"/>
      <c r="W968" s="3"/>
      <c r="X968" s="3"/>
      <c r="Y968" s="4"/>
      <c r="Z968" s="4"/>
      <c r="AA968" s="4"/>
      <c r="AB968" s="4"/>
      <c r="AC968" s="4"/>
      <c r="AD968" s="4"/>
    </row>
    <row r="969" spans="1:30" ht="15.75" customHeight="1" x14ac:dyDescent="0.25">
      <c r="A969" s="4"/>
      <c r="B969" s="4"/>
      <c r="C969" s="57"/>
      <c r="D969" s="4"/>
      <c r="E969" s="4"/>
      <c r="F969" s="4"/>
      <c r="G969" s="4"/>
      <c r="H969" s="3"/>
      <c r="I969" s="4"/>
      <c r="J969" s="4"/>
      <c r="K969" s="3"/>
      <c r="L969" s="3"/>
      <c r="M969" s="4"/>
      <c r="N969" s="4"/>
      <c r="O969" s="4"/>
      <c r="P969" s="4"/>
      <c r="Q969" s="3"/>
      <c r="R969" s="4"/>
      <c r="S969" s="4"/>
      <c r="T969" s="4"/>
      <c r="U969" s="3"/>
      <c r="V969" s="4"/>
      <c r="W969" s="3"/>
      <c r="X969" s="3"/>
      <c r="Y969" s="4"/>
      <c r="Z969" s="4"/>
      <c r="AA969" s="4"/>
      <c r="AB969" s="4"/>
      <c r="AC969" s="4"/>
      <c r="AD969" s="4"/>
    </row>
    <row r="970" spans="1:30" ht="15.75" customHeight="1" x14ac:dyDescent="0.25">
      <c r="A970" s="4"/>
      <c r="B970" s="4"/>
      <c r="C970" s="57"/>
      <c r="D970" s="4"/>
      <c r="E970" s="4"/>
      <c r="F970" s="4"/>
      <c r="G970" s="4"/>
      <c r="H970" s="3"/>
      <c r="I970" s="4"/>
      <c r="J970" s="4"/>
      <c r="K970" s="3"/>
      <c r="L970" s="3"/>
      <c r="M970" s="4"/>
      <c r="N970" s="4"/>
      <c r="O970" s="4"/>
      <c r="P970" s="4"/>
      <c r="Q970" s="3"/>
      <c r="R970" s="4"/>
      <c r="S970" s="4"/>
      <c r="T970" s="4"/>
      <c r="U970" s="3"/>
      <c r="V970" s="4"/>
      <c r="W970" s="3"/>
      <c r="X970" s="3"/>
      <c r="Y970" s="4"/>
      <c r="Z970" s="4"/>
      <c r="AA970" s="4"/>
      <c r="AB970" s="4"/>
      <c r="AC970" s="4"/>
      <c r="AD970" s="4"/>
    </row>
    <row r="971" spans="1:30" ht="15.75" customHeight="1" x14ac:dyDescent="0.25">
      <c r="A971" s="4"/>
      <c r="B971" s="4"/>
      <c r="C971" s="57"/>
      <c r="D971" s="4"/>
      <c r="E971" s="4"/>
      <c r="F971" s="4"/>
      <c r="G971" s="4"/>
      <c r="H971" s="3"/>
      <c r="I971" s="4"/>
      <c r="J971" s="4"/>
      <c r="K971" s="3"/>
      <c r="L971" s="3"/>
      <c r="M971" s="4"/>
      <c r="N971" s="4"/>
      <c r="O971" s="4"/>
      <c r="P971" s="4"/>
      <c r="Q971" s="3"/>
      <c r="R971" s="4"/>
      <c r="S971" s="4"/>
      <c r="T971" s="4"/>
      <c r="U971" s="3"/>
      <c r="V971" s="4"/>
      <c r="W971" s="3"/>
      <c r="X971" s="3"/>
      <c r="Y971" s="4"/>
      <c r="Z971" s="4"/>
      <c r="AA971" s="4"/>
      <c r="AB971" s="4"/>
      <c r="AC971" s="4"/>
      <c r="AD971" s="4"/>
    </row>
    <row r="972" spans="1:30" ht="15.75" customHeight="1" x14ac:dyDescent="0.25">
      <c r="A972" s="4"/>
      <c r="B972" s="4"/>
      <c r="C972" s="57"/>
      <c r="D972" s="4"/>
      <c r="E972" s="4"/>
      <c r="F972" s="4"/>
      <c r="G972" s="4"/>
      <c r="H972" s="3"/>
      <c r="I972" s="4"/>
      <c r="J972" s="4"/>
      <c r="K972" s="3"/>
      <c r="L972" s="3"/>
      <c r="M972" s="4"/>
      <c r="N972" s="4"/>
      <c r="O972" s="4"/>
      <c r="P972" s="4"/>
      <c r="Q972" s="3"/>
      <c r="R972" s="4"/>
      <c r="S972" s="4"/>
      <c r="T972" s="4"/>
      <c r="U972" s="3"/>
      <c r="V972" s="4"/>
      <c r="W972" s="3"/>
      <c r="X972" s="3"/>
      <c r="Y972" s="4"/>
      <c r="Z972" s="4"/>
      <c r="AA972" s="4"/>
      <c r="AB972" s="4"/>
      <c r="AC972" s="4"/>
      <c r="AD972" s="4"/>
    </row>
    <row r="973" spans="1:30" ht="15.75" customHeight="1" x14ac:dyDescent="0.25">
      <c r="A973" s="4"/>
      <c r="B973" s="4"/>
      <c r="C973" s="57"/>
      <c r="D973" s="4"/>
      <c r="E973" s="4"/>
      <c r="F973" s="4"/>
      <c r="G973" s="4"/>
      <c r="H973" s="3"/>
      <c r="I973" s="4"/>
      <c r="J973" s="4"/>
      <c r="K973" s="3"/>
      <c r="L973" s="3"/>
      <c r="M973" s="4"/>
      <c r="N973" s="4"/>
      <c r="O973" s="4"/>
      <c r="P973" s="4"/>
      <c r="Q973" s="3"/>
      <c r="R973" s="4"/>
      <c r="S973" s="4"/>
      <c r="T973" s="4"/>
      <c r="U973" s="3"/>
      <c r="V973" s="4"/>
      <c r="W973" s="3"/>
      <c r="X973" s="3"/>
      <c r="Y973" s="4"/>
      <c r="Z973" s="4"/>
      <c r="AA973" s="4"/>
      <c r="AB973" s="4"/>
      <c r="AC973" s="4"/>
      <c r="AD973" s="4"/>
    </row>
    <row r="974" spans="1:30" ht="15.75" customHeight="1" x14ac:dyDescent="0.25">
      <c r="A974" s="4"/>
      <c r="B974" s="4"/>
      <c r="C974" s="57"/>
      <c r="D974" s="4"/>
      <c r="E974" s="4"/>
      <c r="F974" s="4"/>
      <c r="G974" s="4"/>
      <c r="H974" s="3"/>
      <c r="I974" s="4"/>
      <c r="J974" s="4"/>
      <c r="K974" s="3"/>
      <c r="L974" s="3"/>
      <c r="M974" s="4"/>
      <c r="N974" s="4"/>
      <c r="O974" s="4"/>
      <c r="P974" s="4"/>
      <c r="Q974" s="3"/>
      <c r="R974" s="4"/>
      <c r="S974" s="4"/>
      <c r="T974" s="4"/>
      <c r="U974" s="3"/>
      <c r="V974" s="4"/>
      <c r="W974" s="3"/>
      <c r="X974" s="3"/>
      <c r="Y974" s="4"/>
      <c r="Z974" s="4"/>
      <c r="AA974" s="4"/>
      <c r="AB974" s="4"/>
      <c r="AC974" s="4"/>
      <c r="AD974" s="4"/>
    </row>
    <row r="975" spans="1:30" ht="15.75" customHeight="1" x14ac:dyDescent="0.25">
      <c r="A975" s="4"/>
      <c r="B975" s="4"/>
      <c r="C975" s="57"/>
      <c r="D975" s="4"/>
      <c r="E975" s="4"/>
      <c r="F975" s="4"/>
      <c r="G975" s="4"/>
      <c r="H975" s="3"/>
      <c r="I975" s="4"/>
      <c r="J975" s="4"/>
      <c r="K975" s="3"/>
      <c r="L975" s="3"/>
      <c r="M975" s="4"/>
      <c r="N975" s="4"/>
      <c r="O975" s="4"/>
      <c r="P975" s="4"/>
      <c r="Q975" s="3"/>
      <c r="R975" s="4"/>
      <c r="S975" s="4"/>
      <c r="T975" s="4"/>
      <c r="U975" s="3"/>
      <c r="V975" s="4"/>
      <c r="W975" s="3"/>
      <c r="X975" s="3"/>
      <c r="Y975" s="4"/>
      <c r="Z975" s="4"/>
      <c r="AA975" s="4"/>
      <c r="AB975" s="4"/>
      <c r="AC975" s="4"/>
      <c r="AD975" s="4"/>
    </row>
    <row r="976" spans="1:30" ht="15.75" customHeight="1" x14ac:dyDescent="0.25">
      <c r="A976" s="4"/>
      <c r="B976" s="4"/>
      <c r="C976" s="57"/>
      <c r="D976" s="4"/>
      <c r="E976" s="4"/>
      <c r="F976" s="4"/>
      <c r="G976" s="4"/>
      <c r="H976" s="3"/>
      <c r="I976" s="4"/>
      <c r="J976" s="4"/>
      <c r="K976" s="3"/>
      <c r="L976" s="3"/>
      <c r="M976" s="4"/>
      <c r="N976" s="4"/>
      <c r="O976" s="4"/>
      <c r="P976" s="4"/>
      <c r="Q976" s="3"/>
      <c r="R976" s="4"/>
      <c r="S976" s="4"/>
      <c r="T976" s="4"/>
      <c r="U976" s="3"/>
      <c r="V976" s="4"/>
      <c r="W976" s="3"/>
      <c r="X976" s="3"/>
      <c r="Y976" s="4"/>
      <c r="Z976" s="4"/>
      <c r="AA976" s="4"/>
      <c r="AB976" s="4"/>
      <c r="AC976" s="4"/>
      <c r="AD976" s="4"/>
    </row>
    <row r="977" spans="1:30" ht="15.75" customHeight="1" x14ac:dyDescent="0.25">
      <c r="A977" s="4"/>
      <c r="B977" s="4"/>
      <c r="C977" s="57"/>
      <c r="D977" s="4"/>
      <c r="E977" s="4"/>
      <c r="F977" s="4"/>
      <c r="G977" s="4"/>
      <c r="H977" s="3"/>
      <c r="I977" s="4"/>
      <c r="J977" s="4"/>
      <c r="K977" s="3"/>
      <c r="L977" s="3"/>
      <c r="M977" s="4"/>
      <c r="N977" s="4"/>
      <c r="O977" s="4"/>
      <c r="P977" s="4"/>
      <c r="Q977" s="3"/>
      <c r="R977" s="4"/>
      <c r="S977" s="4"/>
      <c r="T977" s="4"/>
      <c r="U977" s="3"/>
      <c r="V977" s="4"/>
      <c r="W977" s="3"/>
      <c r="X977" s="3"/>
      <c r="Y977" s="4"/>
      <c r="Z977" s="4"/>
      <c r="AA977" s="4"/>
      <c r="AB977" s="4"/>
      <c r="AC977" s="4"/>
      <c r="AD977" s="4"/>
    </row>
    <row r="978" spans="1:30" ht="15.75" customHeight="1" x14ac:dyDescent="0.25">
      <c r="A978" s="4"/>
      <c r="B978" s="4"/>
      <c r="C978" s="57"/>
      <c r="D978" s="4"/>
      <c r="E978" s="4"/>
      <c r="F978" s="4"/>
      <c r="G978" s="4"/>
      <c r="H978" s="3"/>
      <c r="I978" s="4"/>
      <c r="J978" s="4"/>
      <c r="K978" s="3"/>
      <c r="L978" s="3"/>
      <c r="M978" s="4"/>
      <c r="N978" s="4"/>
      <c r="O978" s="4"/>
      <c r="P978" s="4"/>
      <c r="Q978" s="3"/>
      <c r="R978" s="4"/>
      <c r="S978" s="4"/>
      <c r="T978" s="4"/>
      <c r="U978" s="3"/>
      <c r="V978" s="4"/>
      <c r="W978" s="3"/>
      <c r="X978" s="3"/>
      <c r="Y978" s="4"/>
      <c r="Z978" s="4"/>
      <c r="AA978" s="4"/>
      <c r="AB978" s="4"/>
      <c r="AC978" s="4"/>
      <c r="AD978" s="4"/>
    </row>
    <row r="979" spans="1:30" ht="15.75" customHeight="1" x14ac:dyDescent="0.25">
      <c r="A979" s="4"/>
      <c r="B979" s="4"/>
      <c r="C979" s="57"/>
      <c r="D979" s="4"/>
      <c r="E979" s="4"/>
      <c r="F979" s="4"/>
      <c r="G979" s="4"/>
      <c r="H979" s="3"/>
      <c r="I979" s="4"/>
      <c r="J979" s="4"/>
      <c r="K979" s="3"/>
      <c r="L979" s="3"/>
      <c r="M979" s="4"/>
      <c r="N979" s="4"/>
      <c r="O979" s="4"/>
      <c r="P979" s="4"/>
      <c r="Q979" s="3"/>
      <c r="R979" s="4"/>
      <c r="S979" s="4"/>
      <c r="T979" s="4"/>
      <c r="U979" s="3"/>
      <c r="V979" s="4"/>
      <c r="W979" s="3"/>
      <c r="X979" s="3"/>
      <c r="Y979" s="4"/>
      <c r="Z979" s="4"/>
      <c r="AA979" s="4"/>
      <c r="AB979" s="4"/>
      <c r="AC979" s="4"/>
      <c r="AD979" s="4"/>
    </row>
    <row r="980" spans="1:30" ht="15.75" customHeight="1" x14ac:dyDescent="0.25">
      <c r="A980" s="4"/>
      <c r="B980" s="4"/>
      <c r="C980" s="57"/>
      <c r="D980" s="4"/>
      <c r="E980" s="4"/>
      <c r="F980" s="4"/>
      <c r="G980" s="4"/>
      <c r="H980" s="3"/>
      <c r="I980" s="4"/>
      <c r="J980" s="4"/>
      <c r="K980" s="3"/>
      <c r="L980" s="3"/>
      <c r="M980" s="4"/>
      <c r="N980" s="4"/>
      <c r="O980" s="4"/>
      <c r="P980" s="4"/>
      <c r="Q980" s="3"/>
      <c r="R980" s="4"/>
      <c r="S980" s="4"/>
      <c r="T980" s="4"/>
      <c r="U980" s="3"/>
      <c r="V980" s="4"/>
      <c r="W980" s="3"/>
      <c r="X980" s="3"/>
      <c r="Y980" s="4"/>
      <c r="Z980" s="4"/>
      <c r="AA980" s="4"/>
      <c r="AB980" s="4"/>
      <c r="AC980" s="4"/>
      <c r="AD980" s="4"/>
    </row>
    <row r="981" spans="1:30" ht="15.75" customHeight="1" x14ac:dyDescent="0.25">
      <c r="A981" s="4"/>
      <c r="B981" s="4"/>
      <c r="C981" s="57"/>
      <c r="D981" s="4"/>
      <c r="E981" s="4"/>
      <c r="F981" s="4"/>
      <c r="G981" s="4"/>
      <c r="H981" s="3"/>
      <c r="I981" s="4"/>
      <c r="J981" s="4"/>
      <c r="K981" s="3"/>
      <c r="L981" s="3"/>
      <c r="M981" s="4"/>
      <c r="N981" s="4"/>
      <c r="O981" s="4"/>
      <c r="P981" s="4"/>
      <c r="Q981" s="3"/>
      <c r="R981" s="4"/>
      <c r="S981" s="4"/>
      <c r="T981" s="4"/>
      <c r="U981" s="3"/>
      <c r="V981" s="4"/>
      <c r="W981" s="3"/>
      <c r="X981" s="3"/>
      <c r="Y981" s="4"/>
      <c r="Z981" s="4"/>
      <c r="AA981" s="4"/>
      <c r="AB981" s="4"/>
      <c r="AC981" s="4"/>
      <c r="AD981" s="4"/>
    </row>
    <row r="982" spans="1:30" ht="15.75" customHeight="1" x14ac:dyDescent="0.25">
      <c r="A982" s="4"/>
      <c r="B982" s="4"/>
      <c r="C982" s="57"/>
      <c r="D982" s="4"/>
      <c r="E982" s="4"/>
      <c r="F982" s="4"/>
      <c r="G982" s="4"/>
      <c r="H982" s="3"/>
      <c r="I982" s="4"/>
      <c r="J982" s="4"/>
      <c r="K982" s="3"/>
      <c r="L982" s="3"/>
      <c r="M982" s="4"/>
      <c r="N982" s="4"/>
      <c r="O982" s="4"/>
      <c r="P982" s="4"/>
      <c r="Q982" s="3"/>
      <c r="R982" s="4"/>
      <c r="S982" s="4"/>
      <c r="T982" s="4"/>
      <c r="U982" s="3"/>
      <c r="V982" s="4"/>
      <c r="W982" s="3"/>
      <c r="X982" s="3"/>
      <c r="Y982" s="4"/>
      <c r="Z982" s="4"/>
      <c r="AA982" s="4"/>
      <c r="AB982" s="4"/>
      <c r="AC982" s="4"/>
      <c r="AD982" s="4"/>
    </row>
    <row r="983" spans="1:30" ht="15.75" customHeight="1" x14ac:dyDescent="0.25">
      <c r="A983" s="4"/>
      <c r="B983" s="4"/>
      <c r="C983" s="57"/>
      <c r="D983" s="4"/>
      <c r="E983" s="4"/>
      <c r="F983" s="4"/>
      <c r="G983" s="4"/>
      <c r="H983" s="3"/>
      <c r="I983" s="4"/>
      <c r="J983" s="4"/>
      <c r="K983" s="3"/>
      <c r="L983" s="3"/>
      <c r="M983" s="4"/>
      <c r="N983" s="4"/>
      <c r="O983" s="4"/>
      <c r="P983" s="4"/>
      <c r="Q983" s="3"/>
      <c r="R983" s="4"/>
      <c r="S983" s="4"/>
      <c r="T983" s="4"/>
      <c r="U983" s="3"/>
      <c r="V983" s="4"/>
      <c r="W983" s="3"/>
      <c r="X983" s="3"/>
      <c r="Y983" s="4"/>
      <c r="Z983" s="4"/>
      <c r="AA983" s="4"/>
      <c r="AB983" s="4"/>
      <c r="AC983" s="4"/>
      <c r="AD983" s="4"/>
    </row>
    <row r="984" spans="1:30" ht="15.75" customHeight="1" x14ac:dyDescent="0.25">
      <c r="A984" s="4"/>
      <c r="B984" s="4"/>
      <c r="C984" s="57"/>
      <c r="D984" s="4"/>
      <c r="E984" s="4"/>
      <c r="F984" s="4"/>
      <c r="G984" s="4"/>
      <c r="H984" s="3"/>
      <c r="I984" s="4"/>
      <c r="J984" s="4"/>
      <c r="K984" s="3"/>
      <c r="L984" s="3"/>
      <c r="M984" s="4"/>
      <c r="N984" s="4"/>
      <c r="O984" s="4"/>
      <c r="P984" s="4"/>
      <c r="Q984" s="3"/>
      <c r="R984" s="4"/>
      <c r="S984" s="4"/>
      <c r="T984" s="4"/>
      <c r="U984" s="3"/>
      <c r="V984" s="4"/>
      <c r="W984" s="3"/>
      <c r="X984" s="3"/>
      <c r="Y984" s="4"/>
      <c r="Z984" s="4"/>
      <c r="AA984" s="4"/>
      <c r="AB984" s="4"/>
      <c r="AC984" s="4"/>
      <c r="AD984" s="4"/>
    </row>
    <row r="985" spans="1:30" ht="15.75" customHeight="1" x14ac:dyDescent="0.25">
      <c r="A985" s="4"/>
      <c r="B985" s="4"/>
      <c r="C985" s="57"/>
      <c r="D985" s="4"/>
      <c r="E985" s="4"/>
      <c r="F985" s="4"/>
      <c r="G985" s="4"/>
      <c r="H985" s="3"/>
      <c r="I985" s="4"/>
      <c r="J985" s="4"/>
      <c r="K985" s="3"/>
      <c r="L985" s="3"/>
      <c r="M985" s="4"/>
      <c r="N985" s="4"/>
      <c r="O985" s="4"/>
      <c r="P985" s="4"/>
      <c r="Q985" s="3"/>
      <c r="R985" s="4"/>
      <c r="S985" s="4"/>
      <c r="T985" s="4"/>
      <c r="U985" s="3"/>
      <c r="V985" s="4"/>
      <c r="W985" s="3"/>
      <c r="X985" s="3"/>
      <c r="Y985" s="4"/>
      <c r="Z985" s="4"/>
      <c r="AA985" s="4"/>
      <c r="AB985" s="4"/>
      <c r="AC985" s="4"/>
      <c r="AD985" s="4"/>
    </row>
    <row r="986" spans="1:30" ht="15.75" customHeight="1" x14ac:dyDescent="0.25">
      <c r="A986" s="4"/>
      <c r="B986" s="4"/>
      <c r="C986" s="57"/>
      <c r="D986" s="4"/>
      <c r="E986" s="4"/>
      <c r="F986" s="4"/>
      <c r="G986" s="4"/>
      <c r="H986" s="3"/>
      <c r="I986" s="4"/>
      <c r="J986" s="4"/>
      <c r="K986" s="3"/>
      <c r="L986" s="3"/>
      <c r="M986" s="4"/>
      <c r="N986" s="4"/>
      <c r="O986" s="4"/>
      <c r="P986" s="4"/>
      <c r="Q986" s="3"/>
      <c r="R986" s="4"/>
      <c r="S986" s="4"/>
      <c r="T986" s="4"/>
      <c r="U986" s="3"/>
      <c r="V986" s="4"/>
      <c r="W986" s="3"/>
      <c r="X986" s="3"/>
      <c r="Y986" s="4"/>
      <c r="Z986" s="4"/>
      <c r="AA986" s="4"/>
      <c r="AB986" s="4"/>
      <c r="AC986" s="4"/>
      <c r="AD986" s="4"/>
    </row>
    <row r="987" spans="1:30" ht="15.75" customHeight="1" x14ac:dyDescent="0.25">
      <c r="A987" s="4"/>
      <c r="B987" s="4"/>
      <c r="C987" s="57"/>
      <c r="D987" s="4"/>
      <c r="E987" s="4"/>
      <c r="F987" s="4"/>
      <c r="G987" s="4"/>
      <c r="H987" s="3"/>
      <c r="I987" s="4"/>
      <c r="J987" s="4"/>
      <c r="K987" s="3"/>
      <c r="L987" s="3"/>
      <c r="M987" s="4"/>
      <c r="N987" s="4"/>
      <c r="O987" s="4"/>
      <c r="P987" s="4"/>
      <c r="Q987" s="3"/>
      <c r="R987" s="4"/>
      <c r="S987" s="4"/>
      <c r="T987" s="4"/>
      <c r="U987" s="3"/>
      <c r="V987" s="4"/>
      <c r="W987" s="3"/>
      <c r="X987" s="3"/>
      <c r="Y987" s="4"/>
      <c r="Z987" s="4"/>
      <c r="AA987" s="4"/>
      <c r="AB987" s="4"/>
      <c r="AC987" s="4"/>
      <c r="AD987" s="4"/>
    </row>
    <row r="988" spans="1:30" ht="15.75" customHeight="1" x14ac:dyDescent="0.25">
      <c r="A988" s="4"/>
      <c r="B988" s="4"/>
      <c r="C988" s="57"/>
      <c r="D988" s="4"/>
      <c r="E988" s="4"/>
      <c r="F988" s="4"/>
      <c r="G988" s="4"/>
      <c r="H988" s="3"/>
      <c r="I988" s="4"/>
      <c r="J988" s="4"/>
      <c r="K988" s="3"/>
      <c r="L988" s="3"/>
      <c r="M988" s="4"/>
      <c r="N988" s="4"/>
      <c r="O988" s="4"/>
      <c r="P988" s="4"/>
      <c r="Q988" s="3"/>
      <c r="R988" s="4"/>
      <c r="S988" s="4"/>
      <c r="T988" s="4"/>
      <c r="U988" s="3"/>
      <c r="V988" s="4"/>
      <c r="W988" s="3"/>
      <c r="X988" s="3"/>
      <c r="Y988" s="4"/>
      <c r="Z988" s="4"/>
      <c r="AA988" s="4"/>
      <c r="AB988" s="4"/>
      <c r="AC988" s="4"/>
      <c r="AD988" s="4"/>
    </row>
    <row r="989" spans="1:30" ht="15.75" customHeight="1" x14ac:dyDescent="0.25">
      <c r="A989" s="4"/>
      <c r="B989" s="4"/>
      <c r="C989" s="57"/>
      <c r="D989" s="4"/>
      <c r="E989" s="4"/>
      <c r="F989" s="4"/>
      <c r="G989" s="4"/>
      <c r="H989" s="3"/>
      <c r="I989" s="4"/>
      <c r="J989" s="4"/>
      <c r="K989" s="3"/>
      <c r="L989" s="3"/>
      <c r="M989" s="4"/>
      <c r="N989" s="4"/>
      <c r="O989" s="4"/>
      <c r="P989" s="4"/>
      <c r="Q989" s="3"/>
      <c r="R989" s="4"/>
      <c r="S989" s="4"/>
      <c r="T989" s="4"/>
      <c r="U989" s="3"/>
      <c r="V989" s="4"/>
      <c r="W989" s="3"/>
      <c r="X989" s="3"/>
      <c r="Y989" s="4"/>
      <c r="Z989" s="4"/>
      <c r="AA989" s="4"/>
      <c r="AB989" s="4"/>
      <c r="AC989" s="4"/>
      <c r="AD989" s="4"/>
    </row>
    <row r="990" spans="1:30" ht="15.75" customHeight="1" x14ac:dyDescent="0.25">
      <c r="A990" s="4"/>
      <c r="B990" s="4"/>
      <c r="C990" s="57"/>
      <c r="D990" s="4"/>
      <c r="E990" s="4"/>
      <c r="F990" s="4"/>
      <c r="G990" s="4"/>
      <c r="H990" s="3"/>
      <c r="I990" s="4"/>
      <c r="J990" s="4"/>
      <c r="K990" s="3"/>
      <c r="L990" s="3"/>
      <c r="M990" s="4"/>
      <c r="N990" s="4"/>
      <c r="O990" s="4"/>
      <c r="P990" s="4"/>
      <c r="Q990" s="3"/>
      <c r="R990" s="4"/>
      <c r="S990" s="4"/>
      <c r="T990" s="4"/>
      <c r="U990" s="3"/>
      <c r="V990" s="4"/>
      <c r="W990" s="3"/>
      <c r="X990" s="3"/>
      <c r="Y990" s="4"/>
      <c r="Z990" s="4"/>
      <c r="AA990" s="4"/>
      <c r="AB990" s="4"/>
      <c r="AC990" s="4"/>
      <c r="AD990" s="4"/>
    </row>
    <row r="991" spans="1:30" ht="15.75" customHeight="1" x14ac:dyDescent="0.25">
      <c r="A991" s="4"/>
      <c r="B991" s="4"/>
      <c r="C991" s="57"/>
      <c r="D991" s="4"/>
      <c r="E991" s="4"/>
      <c r="F991" s="4"/>
      <c r="G991" s="4"/>
      <c r="H991" s="3"/>
      <c r="I991" s="4"/>
      <c r="J991" s="4"/>
      <c r="K991" s="3"/>
      <c r="L991" s="3"/>
      <c r="M991" s="4"/>
      <c r="N991" s="4"/>
      <c r="O991" s="4"/>
      <c r="P991" s="4"/>
      <c r="Q991" s="3"/>
      <c r="R991" s="4"/>
      <c r="S991" s="4"/>
      <c r="T991" s="4"/>
      <c r="U991" s="3"/>
      <c r="V991" s="4"/>
      <c r="W991" s="3"/>
      <c r="X991" s="3"/>
      <c r="Y991" s="4"/>
      <c r="Z991" s="4"/>
      <c r="AA991" s="4"/>
      <c r="AB991" s="4"/>
      <c r="AC991" s="4"/>
      <c r="AD991" s="4"/>
    </row>
    <row r="992" spans="1:30" ht="15.75" customHeight="1" x14ac:dyDescent="0.25">
      <c r="A992" s="4"/>
      <c r="B992" s="4"/>
      <c r="C992" s="57"/>
      <c r="D992" s="4"/>
      <c r="E992" s="4"/>
      <c r="F992" s="4"/>
      <c r="G992" s="4"/>
      <c r="H992" s="3"/>
      <c r="I992" s="4"/>
      <c r="J992" s="4"/>
      <c r="K992" s="3"/>
      <c r="L992" s="3"/>
      <c r="M992" s="4"/>
      <c r="N992" s="4"/>
      <c r="O992" s="4"/>
      <c r="P992" s="4"/>
      <c r="Q992" s="3"/>
      <c r="R992" s="4"/>
      <c r="S992" s="4"/>
      <c r="T992" s="4"/>
      <c r="U992" s="3"/>
      <c r="V992" s="4"/>
      <c r="W992" s="3"/>
      <c r="X992" s="3"/>
      <c r="Y992" s="4"/>
      <c r="Z992" s="4"/>
      <c r="AA992" s="4"/>
      <c r="AB992" s="4"/>
      <c r="AC992" s="4"/>
      <c r="AD992" s="4"/>
    </row>
    <row r="993" spans="1:30" ht="15.75" customHeight="1" x14ac:dyDescent="0.25">
      <c r="A993" s="4"/>
      <c r="B993" s="4"/>
      <c r="C993" s="57"/>
      <c r="D993" s="4"/>
      <c r="E993" s="4"/>
      <c r="F993" s="4"/>
      <c r="G993" s="4"/>
      <c r="H993" s="3"/>
      <c r="I993" s="4"/>
      <c r="J993" s="4"/>
      <c r="K993" s="3"/>
      <c r="L993" s="3"/>
      <c r="M993" s="4"/>
      <c r="N993" s="4"/>
      <c r="O993" s="4"/>
      <c r="P993" s="4"/>
      <c r="Q993" s="3"/>
      <c r="R993" s="4"/>
      <c r="S993" s="4"/>
      <c r="T993" s="4"/>
      <c r="U993" s="3"/>
      <c r="V993" s="4"/>
      <c r="W993" s="3"/>
      <c r="X993" s="3"/>
      <c r="Y993" s="4"/>
      <c r="Z993" s="4"/>
      <c r="AA993" s="4"/>
      <c r="AB993" s="4"/>
      <c r="AC993" s="4"/>
      <c r="AD993" s="4"/>
    </row>
    <row r="994" spans="1:30" ht="15.75" customHeight="1" x14ac:dyDescent="0.25">
      <c r="A994" s="4"/>
      <c r="B994" s="4"/>
      <c r="C994" s="57"/>
      <c r="D994" s="4"/>
      <c r="E994" s="4"/>
      <c r="F994" s="4"/>
      <c r="G994" s="4"/>
      <c r="H994" s="3"/>
      <c r="I994" s="4"/>
      <c r="J994" s="4"/>
      <c r="K994" s="3"/>
      <c r="L994" s="3"/>
      <c r="M994" s="4"/>
      <c r="N994" s="4"/>
      <c r="O994" s="4"/>
      <c r="P994" s="4"/>
      <c r="Q994" s="3"/>
      <c r="R994" s="4"/>
      <c r="S994" s="4"/>
      <c r="T994" s="4"/>
      <c r="U994" s="3"/>
      <c r="V994" s="4"/>
      <c r="W994" s="3"/>
      <c r="X994" s="3"/>
      <c r="Y994" s="4"/>
      <c r="Z994" s="4"/>
      <c r="AA994" s="4"/>
      <c r="AB994" s="4"/>
      <c r="AC994" s="4"/>
      <c r="AD994" s="4"/>
    </row>
    <row r="995" spans="1:30" ht="15.75" customHeight="1" x14ac:dyDescent="0.25">
      <c r="A995" s="4"/>
      <c r="B995" s="4"/>
      <c r="C995" s="57"/>
      <c r="D995" s="4"/>
      <c r="E995" s="4"/>
      <c r="F995" s="4"/>
      <c r="G995" s="4"/>
      <c r="H995" s="3"/>
      <c r="I995" s="4"/>
      <c r="J995" s="4"/>
      <c r="K995" s="3"/>
      <c r="L995" s="3"/>
      <c r="M995" s="4"/>
      <c r="N995" s="4"/>
      <c r="O995" s="4"/>
      <c r="P995" s="4"/>
      <c r="Q995" s="3"/>
      <c r="R995" s="4"/>
      <c r="S995" s="4"/>
      <c r="T995" s="4"/>
      <c r="U995" s="3"/>
      <c r="V995" s="4"/>
      <c r="W995" s="3"/>
      <c r="X995" s="3"/>
      <c r="Y995" s="4"/>
      <c r="Z995" s="4"/>
      <c r="AA995" s="4"/>
      <c r="AB995" s="4"/>
      <c r="AC995" s="4"/>
      <c r="AD995" s="4"/>
    </row>
    <row r="996" spans="1:30" ht="15.75" customHeight="1" x14ac:dyDescent="0.25">
      <c r="A996" s="4"/>
      <c r="B996" s="4"/>
      <c r="C996" s="57"/>
      <c r="D996" s="4"/>
      <c r="E996" s="4"/>
      <c r="F996" s="4"/>
      <c r="G996" s="4"/>
      <c r="H996" s="3"/>
      <c r="I996" s="4"/>
      <c r="J996" s="4"/>
      <c r="K996" s="3"/>
      <c r="L996" s="3"/>
      <c r="M996" s="4"/>
      <c r="N996" s="4"/>
      <c r="O996" s="4"/>
      <c r="P996" s="4"/>
      <c r="Q996" s="3"/>
      <c r="R996" s="4"/>
      <c r="S996" s="4"/>
      <c r="T996" s="4"/>
      <c r="U996" s="3"/>
      <c r="V996" s="4"/>
      <c r="W996" s="3"/>
      <c r="X996" s="3"/>
      <c r="Y996" s="4"/>
      <c r="Z996" s="4"/>
      <c r="AA996" s="4"/>
      <c r="AB996" s="4"/>
      <c r="AC996" s="4"/>
      <c r="AD996" s="4"/>
    </row>
    <row r="997" spans="1:30" ht="15.75" customHeight="1" x14ac:dyDescent="0.25">
      <c r="A997" s="4"/>
      <c r="B997" s="4"/>
      <c r="C997" s="57"/>
      <c r="D997" s="4"/>
      <c r="E997" s="4"/>
      <c r="F997" s="4"/>
      <c r="G997" s="4"/>
      <c r="H997" s="3"/>
      <c r="I997" s="4"/>
      <c r="J997" s="4"/>
      <c r="K997" s="3"/>
      <c r="L997" s="3"/>
      <c r="M997" s="4"/>
      <c r="N997" s="4"/>
      <c r="O997" s="4"/>
      <c r="P997" s="4"/>
      <c r="Q997" s="3"/>
      <c r="R997" s="4"/>
      <c r="S997" s="4"/>
      <c r="T997" s="4"/>
      <c r="U997" s="3"/>
      <c r="V997" s="4"/>
      <c r="W997" s="3"/>
      <c r="X997" s="3"/>
      <c r="Y997" s="4"/>
      <c r="Z997" s="4"/>
      <c r="AA997" s="4"/>
      <c r="AB997" s="4"/>
      <c r="AC997" s="4"/>
      <c r="AD997" s="4"/>
    </row>
    <row r="998" spans="1:30" ht="15.75" customHeight="1" x14ac:dyDescent="0.25">
      <c r="A998" s="4"/>
      <c r="B998" s="4"/>
      <c r="C998" s="57"/>
      <c r="D998" s="4"/>
      <c r="E998" s="4"/>
      <c r="F998" s="4"/>
      <c r="G998" s="4"/>
      <c r="H998" s="3"/>
      <c r="I998" s="4"/>
      <c r="J998" s="4"/>
      <c r="K998" s="3"/>
      <c r="L998" s="3"/>
      <c r="M998" s="4"/>
      <c r="N998" s="4"/>
      <c r="O998" s="4"/>
      <c r="P998" s="4"/>
      <c r="Q998" s="3"/>
      <c r="R998" s="4"/>
      <c r="S998" s="4"/>
      <c r="T998" s="4"/>
      <c r="U998" s="3"/>
      <c r="V998" s="4"/>
      <c r="W998" s="3"/>
      <c r="X998" s="3"/>
      <c r="Y998" s="4"/>
      <c r="Z998" s="4"/>
      <c r="AA998" s="4"/>
      <c r="AB998" s="4"/>
      <c r="AC998" s="4"/>
      <c r="AD998" s="4"/>
    </row>
    <row r="999" spans="1:30" ht="15.75" customHeight="1" x14ac:dyDescent="0.25">
      <c r="A999" s="4"/>
      <c r="B999" s="4"/>
      <c r="C999" s="57"/>
      <c r="D999" s="4"/>
      <c r="E999" s="4"/>
      <c r="F999" s="4"/>
      <c r="G999" s="4"/>
      <c r="H999" s="3"/>
      <c r="I999" s="4"/>
      <c r="J999" s="4"/>
      <c r="K999" s="3"/>
      <c r="L999" s="3"/>
      <c r="M999" s="4"/>
      <c r="N999" s="4"/>
      <c r="O999" s="4"/>
      <c r="P999" s="4"/>
      <c r="Q999" s="3"/>
      <c r="R999" s="4"/>
      <c r="S999" s="4"/>
      <c r="T999" s="4"/>
      <c r="U999" s="3"/>
      <c r="V999" s="4"/>
      <c r="W999" s="3"/>
      <c r="X999" s="3"/>
      <c r="Y999" s="4"/>
      <c r="Z999" s="4"/>
      <c r="AA999" s="4"/>
      <c r="AB999" s="4"/>
      <c r="AC999" s="4"/>
      <c r="AD999" s="4"/>
    </row>
    <row r="1000" spans="1:30" ht="15.75" customHeight="1" x14ac:dyDescent="0.25">
      <c r="A1000" s="4"/>
      <c r="B1000" s="4"/>
      <c r="C1000" s="57"/>
      <c r="D1000" s="4"/>
      <c r="E1000" s="4"/>
      <c r="F1000" s="4"/>
      <c r="G1000" s="4"/>
      <c r="H1000" s="3"/>
      <c r="I1000" s="4"/>
      <c r="J1000" s="4"/>
      <c r="K1000" s="3"/>
      <c r="L1000" s="3"/>
      <c r="M1000" s="4"/>
      <c r="N1000" s="4"/>
      <c r="O1000" s="4"/>
      <c r="P1000" s="4"/>
      <c r="Q1000" s="3"/>
      <c r="R1000" s="4"/>
      <c r="S1000" s="4"/>
      <c r="T1000" s="4"/>
      <c r="U1000" s="3"/>
      <c r="V1000" s="4"/>
      <c r="W1000" s="3"/>
      <c r="X1000" s="3"/>
      <c r="Y1000" s="4"/>
      <c r="Z1000" s="4"/>
      <c r="AA1000" s="4"/>
      <c r="AB1000" s="4"/>
      <c r="AC1000" s="4"/>
      <c r="AD1000" s="4"/>
    </row>
  </sheetData>
  <mergeCells count="23">
    <mergeCell ref="AB2:AC5"/>
    <mergeCell ref="R2:U2"/>
    <mergeCell ref="L5:L6"/>
    <mergeCell ref="D6:H6"/>
    <mergeCell ref="M2:Q2"/>
    <mergeCell ref="D2:H2"/>
    <mergeCell ref="M6:Q6"/>
    <mergeCell ref="R3:U4"/>
    <mergeCell ref="W2:W5"/>
    <mergeCell ref="R6:U6"/>
    <mergeCell ref="I3:K4"/>
    <mergeCell ref="I6:K6"/>
    <mergeCell ref="I2:K2"/>
    <mergeCell ref="X2:X5"/>
    <mergeCell ref="A7:A35"/>
    <mergeCell ref="L3:L4"/>
    <mergeCell ref="M3:Q4"/>
    <mergeCell ref="C2:C4"/>
    <mergeCell ref="A2:A6"/>
    <mergeCell ref="D3:H4"/>
    <mergeCell ref="B7:B24"/>
    <mergeCell ref="B25:B35"/>
    <mergeCell ref="B2:B6"/>
  </mergeCells>
  <conditionalFormatting sqref="R7:R35">
    <cfRule type="cellIs" dxfId="5693" priority="143" operator="between">
      <formula>1.5</formula>
      <formula>2</formula>
    </cfRule>
    <cfRule type="cellIs" dxfId="5692" priority="144" operator="between">
      <formula>0.7</formula>
      <formula>1.49</formula>
    </cfRule>
    <cfRule type="cellIs" dxfId="5691" priority="145" operator="between">
      <formula>0</formula>
      <formula>0.69</formula>
    </cfRule>
  </conditionalFormatting>
  <conditionalFormatting sqref="S7:T35">
    <cfRule type="cellIs" dxfId="5690" priority="146" operator="between">
      <formula>1.5</formula>
      <formula>2</formula>
    </cfRule>
    <cfRule type="cellIs" dxfId="5689" priority="147" operator="between">
      <formula>0.7</formula>
      <formula>1.49</formula>
    </cfRule>
    <cfRule type="cellIs" dxfId="5688" priority="148" operator="between">
      <formula>0</formula>
      <formula>0.69</formula>
    </cfRule>
  </conditionalFormatting>
  <conditionalFormatting sqref="D7:G7 D30:G35">
    <cfRule type="cellIs" dxfId="5687" priority="133" operator="equal">
      <formula>0</formula>
    </cfRule>
    <cfRule type="cellIs" dxfId="5686" priority="134" operator="equal">
      <formula>1</formula>
    </cfRule>
    <cfRule type="cellIs" dxfId="5685" priority="135" operator="equal">
      <formula>2</formula>
    </cfRule>
  </conditionalFormatting>
  <conditionalFormatting sqref="D8:G8">
    <cfRule type="cellIs" dxfId="5684" priority="130" operator="equal">
      <formula>0</formula>
    </cfRule>
    <cfRule type="cellIs" dxfId="5683" priority="131" operator="equal">
      <formula>1</formula>
    </cfRule>
    <cfRule type="cellIs" dxfId="5682" priority="132" operator="equal">
      <formula>2</formula>
    </cfRule>
  </conditionalFormatting>
  <conditionalFormatting sqref="D9:G9">
    <cfRule type="cellIs" dxfId="5681" priority="127" operator="equal">
      <formula>0</formula>
    </cfRule>
    <cfRule type="cellIs" dxfId="5680" priority="128" operator="equal">
      <formula>1</formula>
    </cfRule>
    <cfRule type="cellIs" dxfId="5679" priority="129" operator="equal">
      <formula>2</formula>
    </cfRule>
  </conditionalFormatting>
  <conditionalFormatting sqref="D10:G10">
    <cfRule type="cellIs" dxfId="5678" priority="124" operator="equal">
      <formula>0</formula>
    </cfRule>
    <cfRule type="cellIs" dxfId="5677" priority="125" operator="equal">
      <formula>1</formula>
    </cfRule>
    <cfRule type="cellIs" dxfId="5676" priority="126" operator="equal">
      <formula>2</formula>
    </cfRule>
  </conditionalFormatting>
  <conditionalFormatting sqref="D11:G11">
    <cfRule type="cellIs" dxfId="5675" priority="121" operator="equal">
      <formula>0</formula>
    </cfRule>
    <cfRule type="cellIs" dxfId="5674" priority="122" operator="equal">
      <formula>1</formula>
    </cfRule>
    <cfRule type="cellIs" dxfId="5673" priority="123" operator="equal">
      <formula>2</formula>
    </cfRule>
  </conditionalFormatting>
  <conditionalFormatting sqref="D12:G12">
    <cfRule type="cellIs" dxfId="5672" priority="118" operator="equal">
      <formula>0</formula>
    </cfRule>
    <cfRule type="cellIs" dxfId="5671" priority="119" operator="equal">
      <formula>1</formula>
    </cfRule>
    <cfRule type="cellIs" dxfId="5670" priority="120" operator="equal">
      <formula>2</formula>
    </cfRule>
  </conditionalFormatting>
  <conditionalFormatting sqref="D13:G13">
    <cfRule type="cellIs" dxfId="5669" priority="115" operator="equal">
      <formula>0</formula>
    </cfRule>
    <cfRule type="cellIs" dxfId="5668" priority="116" operator="equal">
      <formula>1</formula>
    </cfRule>
    <cfRule type="cellIs" dxfId="5667" priority="117" operator="equal">
      <formula>2</formula>
    </cfRule>
  </conditionalFormatting>
  <conditionalFormatting sqref="D14:G14">
    <cfRule type="cellIs" dxfId="5666" priority="112" operator="equal">
      <formula>0</formula>
    </cfRule>
    <cfRule type="cellIs" dxfId="5665" priority="113" operator="equal">
      <formula>1</formula>
    </cfRule>
    <cfRule type="cellIs" dxfId="5664" priority="114" operator="equal">
      <formula>2</formula>
    </cfRule>
  </conditionalFormatting>
  <conditionalFormatting sqref="D15:G15">
    <cfRule type="cellIs" dxfId="5663" priority="109" operator="equal">
      <formula>0</formula>
    </cfRule>
    <cfRule type="cellIs" dxfId="5662" priority="110" operator="equal">
      <formula>1</formula>
    </cfRule>
    <cfRule type="cellIs" dxfId="5661" priority="111" operator="equal">
      <formula>2</formula>
    </cfRule>
  </conditionalFormatting>
  <conditionalFormatting sqref="D16:G16">
    <cfRule type="cellIs" dxfId="5660" priority="106" operator="equal">
      <formula>0</formula>
    </cfRule>
    <cfRule type="cellIs" dxfId="5659" priority="107" operator="equal">
      <formula>1</formula>
    </cfRule>
    <cfRule type="cellIs" dxfId="5658" priority="108" operator="equal">
      <formula>2</formula>
    </cfRule>
  </conditionalFormatting>
  <conditionalFormatting sqref="D17:G17">
    <cfRule type="cellIs" dxfId="5657" priority="103" operator="equal">
      <formula>0</formula>
    </cfRule>
    <cfRule type="cellIs" dxfId="5656" priority="104" operator="equal">
      <formula>1</formula>
    </cfRule>
    <cfRule type="cellIs" dxfId="5655" priority="105" operator="equal">
      <formula>2</formula>
    </cfRule>
  </conditionalFormatting>
  <conditionalFormatting sqref="D18:G18">
    <cfRule type="cellIs" dxfId="5654" priority="100" operator="equal">
      <formula>0</formula>
    </cfRule>
    <cfRule type="cellIs" dxfId="5653" priority="101" operator="equal">
      <formula>1</formula>
    </cfRule>
    <cfRule type="cellIs" dxfId="5652" priority="102" operator="equal">
      <formula>2</formula>
    </cfRule>
  </conditionalFormatting>
  <conditionalFormatting sqref="D19:G19">
    <cfRule type="cellIs" dxfId="5651" priority="97" operator="equal">
      <formula>0</formula>
    </cfRule>
    <cfRule type="cellIs" dxfId="5650" priority="98" operator="equal">
      <formula>1</formula>
    </cfRule>
    <cfRule type="cellIs" dxfId="5649" priority="99" operator="equal">
      <formula>2</formula>
    </cfRule>
  </conditionalFormatting>
  <conditionalFormatting sqref="D20:G20">
    <cfRule type="cellIs" dxfId="5648" priority="94" operator="equal">
      <formula>0</formula>
    </cfRule>
    <cfRule type="cellIs" dxfId="5647" priority="95" operator="equal">
      <formula>1</formula>
    </cfRule>
    <cfRule type="cellIs" dxfId="5646" priority="96" operator="equal">
      <formula>2</formula>
    </cfRule>
  </conditionalFormatting>
  <conditionalFormatting sqref="D21:G24">
    <cfRule type="cellIs" dxfId="5645" priority="91" operator="equal">
      <formula>0</formula>
    </cfRule>
    <cfRule type="cellIs" dxfId="5644" priority="92" operator="equal">
      <formula>1</formula>
    </cfRule>
    <cfRule type="cellIs" dxfId="5643" priority="93" operator="equal">
      <formula>2</formula>
    </cfRule>
  </conditionalFormatting>
  <conditionalFormatting sqref="D25:G25">
    <cfRule type="cellIs" dxfId="5642" priority="88" operator="equal">
      <formula>0</formula>
    </cfRule>
    <cfRule type="cellIs" dxfId="5641" priority="89" operator="equal">
      <formula>1</formula>
    </cfRule>
    <cfRule type="cellIs" dxfId="5640" priority="90" operator="equal">
      <formula>2</formula>
    </cfRule>
  </conditionalFormatting>
  <conditionalFormatting sqref="D26:G26">
    <cfRule type="cellIs" dxfId="5639" priority="85" operator="equal">
      <formula>0</formula>
    </cfRule>
    <cfRule type="cellIs" dxfId="5638" priority="86" operator="equal">
      <formula>1</formula>
    </cfRule>
    <cfRule type="cellIs" dxfId="5637" priority="87" operator="equal">
      <formula>2</formula>
    </cfRule>
  </conditionalFormatting>
  <conditionalFormatting sqref="D27:G27">
    <cfRule type="cellIs" dxfId="5636" priority="82" operator="equal">
      <formula>0</formula>
    </cfRule>
    <cfRule type="cellIs" dxfId="5635" priority="83" operator="equal">
      <formula>1</formula>
    </cfRule>
    <cfRule type="cellIs" dxfId="5634" priority="84" operator="equal">
      <formula>2</formula>
    </cfRule>
  </conditionalFormatting>
  <conditionalFormatting sqref="D28:G28">
    <cfRule type="cellIs" dxfId="5633" priority="79" operator="equal">
      <formula>0</formula>
    </cfRule>
    <cfRule type="cellIs" dxfId="5632" priority="80" operator="equal">
      <formula>1</formula>
    </cfRule>
    <cfRule type="cellIs" dxfId="5631" priority="81" operator="equal">
      <formula>2</formula>
    </cfRule>
  </conditionalFormatting>
  <conditionalFormatting sqref="D29:G29">
    <cfRule type="cellIs" dxfId="5630" priority="76" operator="equal">
      <formula>0</formula>
    </cfRule>
    <cfRule type="cellIs" dxfId="5629" priority="77" operator="equal">
      <formula>1</formula>
    </cfRule>
    <cfRule type="cellIs" dxfId="5628" priority="78" operator="equal">
      <formula>2</formula>
    </cfRule>
  </conditionalFormatting>
  <conditionalFormatting sqref="D33:G33">
    <cfRule type="cellIs" dxfId="5627" priority="73" operator="equal">
      <formula>0</formula>
    </cfRule>
    <cfRule type="cellIs" dxfId="5626" priority="74" operator="equal">
      <formula>1</formula>
    </cfRule>
    <cfRule type="cellIs" dxfId="5625" priority="75" operator="equal">
      <formula>2</formula>
    </cfRule>
  </conditionalFormatting>
  <conditionalFormatting sqref="I30:J35">
    <cfRule type="cellIs" dxfId="5624" priority="70" operator="equal">
      <formula>0</formula>
    </cfRule>
    <cfRule type="cellIs" dxfId="5623" priority="71" operator="equal">
      <formula>1</formula>
    </cfRule>
    <cfRule type="cellIs" dxfId="5622" priority="72" operator="equal">
      <formula>2</formula>
    </cfRule>
  </conditionalFormatting>
  <conditionalFormatting sqref="I7:J7">
    <cfRule type="cellIs" dxfId="5621" priority="67" operator="equal">
      <formula>0</formula>
    </cfRule>
    <cfRule type="cellIs" dxfId="5620" priority="68" operator="equal">
      <formula>1</formula>
    </cfRule>
    <cfRule type="cellIs" dxfId="5619" priority="69" operator="equal">
      <formula>2</formula>
    </cfRule>
  </conditionalFormatting>
  <conditionalFormatting sqref="I8:J8">
    <cfRule type="cellIs" dxfId="5618" priority="64" operator="equal">
      <formula>0</formula>
    </cfRule>
    <cfRule type="cellIs" dxfId="5617" priority="65" operator="equal">
      <formula>1</formula>
    </cfRule>
    <cfRule type="cellIs" dxfId="5616" priority="66" operator="equal">
      <formula>2</formula>
    </cfRule>
  </conditionalFormatting>
  <conditionalFormatting sqref="I9:J9">
    <cfRule type="cellIs" dxfId="5615" priority="61" operator="equal">
      <formula>0</formula>
    </cfRule>
    <cfRule type="cellIs" dxfId="5614" priority="62" operator="equal">
      <formula>1</formula>
    </cfRule>
    <cfRule type="cellIs" dxfId="5613" priority="63" operator="equal">
      <formula>2</formula>
    </cfRule>
  </conditionalFormatting>
  <conditionalFormatting sqref="I10:J10">
    <cfRule type="cellIs" dxfId="5612" priority="58" operator="equal">
      <formula>0</formula>
    </cfRule>
    <cfRule type="cellIs" dxfId="5611" priority="59" operator="equal">
      <formula>1</formula>
    </cfRule>
    <cfRule type="cellIs" dxfId="5610" priority="60" operator="equal">
      <formula>2</formula>
    </cfRule>
  </conditionalFormatting>
  <conditionalFormatting sqref="I11:J11">
    <cfRule type="cellIs" dxfId="5609" priority="55" operator="equal">
      <formula>0</formula>
    </cfRule>
    <cfRule type="cellIs" dxfId="5608" priority="56" operator="equal">
      <formula>1</formula>
    </cfRule>
    <cfRule type="cellIs" dxfId="5607" priority="57" operator="equal">
      <formula>2</formula>
    </cfRule>
  </conditionalFormatting>
  <conditionalFormatting sqref="I12:J12">
    <cfRule type="cellIs" dxfId="5606" priority="52" operator="equal">
      <formula>0</formula>
    </cfRule>
    <cfRule type="cellIs" dxfId="5605" priority="53" operator="equal">
      <formula>1</formula>
    </cfRule>
    <cfRule type="cellIs" dxfId="5604" priority="54" operator="equal">
      <formula>2</formula>
    </cfRule>
  </conditionalFormatting>
  <conditionalFormatting sqref="I13:J13">
    <cfRule type="cellIs" dxfId="5603" priority="49" operator="equal">
      <formula>0</formula>
    </cfRule>
    <cfRule type="cellIs" dxfId="5602" priority="50" operator="equal">
      <formula>1</formula>
    </cfRule>
    <cfRule type="cellIs" dxfId="5601" priority="51" operator="equal">
      <formula>2</formula>
    </cfRule>
  </conditionalFormatting>
  <conditionalFormatting sqref="I14:J14">
    <cfRule type="cellIs" dxfId="5600" priority="46" operator="equal">
      <formula>0</formula>
    </cfRule>
    <cfRule type="cellIs" dxfId="5599" priority="47" operator="equal">
      <formula>1</formula>
    </cfRule>
    <cfRule type="cellIs" dxfId="5598" priority="48" operator="equal">
      <formula>2</formula>
    </cfRule>
  </conditionalFormatting>
  <conditionalFormatting sqref="I15:J15">
    <cfRule type="cellIs" dxfId="5597" priority="43" operator="equal">
      <formula>0</formula>
    </cfRule>
    <cfRule type="cellIs" dxfId="5596" priority="44" operator="equal">
      <formula>1</formula>
    </cfRule>
    <cfRule type="cellIs" dxfId="5595" priority="45" operator="equal">
      <formula>2</formula>
    </cfRule>
  </conditionalFormatting>
  <conditionalFormatting sqref="I16:J16">
    <cfRule type="cellIs" dxfId="5594" priority="40" operator="equal">
      <formula>0</formula>
    </cfRule>
    <cfRule type="cellIs" dxfId="5593" priority="41" operator="equal">
      <formula>1</formula>
    </cfRule>
    <cfRule type="cellIs" dxfId="5592" priority="42" operator="equal">
      <formula>2</formula>
    </cfRule>
  </conditionalFormatting>
  <conditionalFormatting sqref="I17:J17">
    <cfRule type="cellIs" dxfId="5591" priority="37" operator="equal">
      <formula>0</formula>
    </cfRule>
    <cfRule type="cellIs" dxfId="5590" priority="38" operator="equal">
      <formula>1</formula>
    </cfRule>
    <cfRule type="cellIs" dxfId="5589" priority="39" operator="equal">
      <formula>2</formula>
    </cfRule>
  </conditionalFormatting>
  <conditionalFormatting sqref="I18:J18">
    <cfRule type="cellIs" dxfId="5588" priority="34" operator="equal">
      <formula>0</formula>
    </cfRule>
    <cfRule type="cellIs" dxfId="5587" priority="35" operator="equal">
      <formula>1</formula>
    </cfRule>
    <cfRule type="cellIs" dxfId="5586" priority="36" operator="equal">
      <formula>2</formula>
    </cfRule>
  </conditionalFormatting>
  <conditionalFormatting sqref="I19:J19">
    <cfRule type="cellIs" dxfId="5585" priority="31" operator="equal">
      <formula>0</formula>
    </cfRule>
    <cfRule type="cellIs" dxfId="5584" priority="32" operator="equal">
      <formula>1</formula>
    </cfRule>
    <cfRule type="cellIs" dxfId="5583" priority="33" operator="equal">
      <formula>2</formula>
    </cfRule>
  </conditionalFormatting>
  <conditionalFormatting sqref="I20:J20">
    <cfRule type="cellIs" dxfId="5582" priority="28" operator="equal">
      <formula>0</formula>
    </cfRule>
    <cfRule type="cellIs" dxfId="5581" priority="29" operator="equal">
      <formula>1</formula>
    </cfRule>
    <cfRule type="cellIs" dxfId="5580" priority="30" operator="equal">
      <formula>2</formula>
    </cfRule>
  </conditionalFormatting>
  <conditionalFormatting sqref="I21:J24">
    <cfRule type="cellIs" dxfId="5579" priority="25" operator="equal">
      <formula>0</formula>
    </cfRule>
    <cfRule type="cellIs" dxfId="5578" priority="26" operator="equal">
      <formula>1</formula>
    </cfRule>
    <cfRule type="cellIs" dxfId="5577" priority="27" operator="equal">
      <formula>2</formula>
    </cfRule>
  </conditionalFormatting>
  <conditionalFormatting sqref="I25:J25">
    <cfRule type="cellIs" dxfId="5576" priority="22" operator="equal">
      <formula>0</formula>
    </cfRule>
    <cfRule type="cellIs" dxfId="5575" priority="23" operator="equal">
      <formula>1</formula>
    </cfRule>
    <cfRule type="cellIs" dxfId="5574" priority="24" operator="equal">
      <formula>2</formula>
    </cfRule>
  </conditionalFormatting>
  <conditionalFormatting sqref="I26:J26">
    <cfRule type="cellIs" dxfId="5573" priority="19" operator="equal">
      <formula>0</formula>
    </cfRule>
    <cfRule type="cellIs" dxfId="5572" priority="20" operator="equal">
      <formula>1</formula>
    </cfRule>
    <cfRule type="cellIs" dxfId="5571" priority="21" operator="equal">
      <formula>2</formula>
    </cfRule>
  </conditionalFormatting>
  <conditionalFormatting sqref="I27:J27">
    <cfRule type="cellIs" dxfId="5570" priority="16" operator="equal">
      <formula>0</formula>
    </cfRule>
    <cfRule type="cellIs" dxfId="5569" priority="17" operator="equal">
      <formula>1</formula>
    </cfRule>
    <cfRule type="cellIs" dxfId="5568" priority="18" operator="equal">
      <formula>2</formula>
    </cfRule>
  </conditionalFormatting>
  <conditionalFormatting sqref="I28:J28">
    <cfRule type="cellIs" dxfId="5567" priority="13" operator="equal">
      <formula>0</formula>
    </cfRule>
    <cfRule type="cellIs" dxfId="5566" priority="14" operator="equal">
      <formula>1</formula>
    </cfRule>
    <cfRule type="cellIs" dxfId="5565" priority="15" operator="equal">
      <formula>2</formula>
    </cfRule>
  </conditionalFormatting>
  <conditionalFormatting sqref="I29:J29">
    <cfRule type="cellIs" dxfId="5564" priority="10" operator="equal">
      <formula>0</formula>
    </cfRule>
    <cfRule type="cellIs" dxfId="5563" priority="11" operator="equal">
      <formula>1</formula>
    </cfRule>
    <cfRule type="cellIs" dxfId="5562" priority="12" operator="equal">
      <formula>2</formula>
    </cfRule>
  </conditionalFormatting>
  <conditionalFormatting sqref="I33:J33">
    <cfRule type="cellIs" dxfId="5561" priority="7" operator="equal">
      <formula>0</formula>
    </cfRule>
    <cfRule type="cellIs" dxfId="5560" priority="8" operator="equal">
      <formula>1</formula>
    </cfRule>
    <cfRule type="cellIs" dxfId="5559" priority="9" operator="equal">
      <formula>2</formula>
    </cfRule>
  </conditionalFormatting>
  <conditionalFormatting sqref="M7:P35">
    <cfRule type="cellIs" dxfId="5558" priority="4" operator="between">
      <formula>1.5</formula>
      <formula>2</formula>
    </cfRule>
    <cfRule type="cellIs" dxfId="5557" priority="5" operator="between">
      <formula>0.7</formula>
      <formula>1.49</formula>
    </cfRule>
    <cfRule type="cellIs" dxfId="5556" priority="6" operator="between">
      <formula>0</formula>
      <formula>0.69</formula>
    </cfRule>
  </conditionalFormatting>
  <pageMargins left="0.118055555555556" right="0.118055555555556" top="0.39374999999999999" bottom="0.39374999999999999" header="0.51180555555555496" footer="0.51180555555555496"/>
  <pageSetup paperSize="9" scale="50"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4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T17" sqref="T17"/>
    </sheetView>
  </sheetViews>
  <sheetFormatPr defaultColWidth="12.625" defaultRowHeight="14.25" x14ac:dyDescent="0.2"/>
  <cols>
    <col min="1" max="2" width="4.875" style="293" customWidth="1"/>
    <col min="3" max="3" width="60.25" style="293" bestFit="1" customWidth="1"/>
    <col min="4" max="4" width="3.875" style="293" customWidth="1"/>
    <col min="5" max="5" width="3.75" style="293" customWidth="1"/>
    <col min="6" max="6" width="4.5" style="293" customWidth="1"/>
    <col min="7" max="8" width="4" style="293" customWidth="1"/>
    <col min="9" max="10" width="3.875" style="293" customWidth="1"/>
    <col min="11" max="11" width="4.375" style="293" customWidth="1"/>
    <col min="12" max="12" width="3.5" style="293" customWidth="1"/>
    <col min="13" max="13" width="4.125" style="293" customWidth="1"/>
    <col min="14" max="14" width="4.5" style="293" customWidth="1"/>
    <col min="15" max="15" width="3.75" style="293" customWidth="1"/>
    <col min="16" max="16" width="2.25" style="293" customWidth="1"/>
    <col min="17" max="18" width="9.375" style="293" customWidth="1"/>
    <col min="19" max="19" width="8" style="293" customWidth="1"/>
    <col min="20" max="20" width="16.5" style="293" bestFit="1" customWidth="1"/>
    <col min="21" max="21" width="8" style="293" customWidth="1"/>
    <col min="22" max="22" width="7.375" style="293" customWidth="1"/>
    <col min="23" max="23" width="17.125" style="293" customWidth="1"/>
    <col min="24" max="26" width="7.625" style="293" customWidth="1"/>
    <col min="27" max="1024" width="12.625" style="293" customWidth="1"/>
  </cols>
  <sheetData>
    <row r="1" spans="1:23" ht="3.75" customHeight="1" x14ac:dyDescent="0.2"/>
    <row r="2" spans="1:23" ht="18.75" customHeight="1" x14ac:dyDescent="0.3">
      <c r="A2" s="388" t="s">
        <v>166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391" t="s">
        <v>167</v>
      </c>
      <c r="B4" s="387"/>
      <c r="C4" s="291" t="s">
        <v>136</v>
      </c>
      <c r="E4" s="62" t="s">
        <v>168</v>
      </c>
      <c r="I4" s="384" t="s">
        <v>169</v>
      </c>
      <c r="J4" s="385"/>
      <c r="K4" s="385"/>
      <c r="L4" s="385"/>
      <c r="M4" s="385"/>
      <c r="N4" s="385"/>
      <c r="O4" s="385"/>
    </row>
    <row r="5" spans="1:23" ht="15" customHeight="1" x14ac:dyDescent="0.25">
      <c r="A5" s="391" t="s">
        <v>170</v>
      </c>
      <c r="B5" s="387"/>
      <c r="C5" s="292" t="s">
        <v>95</v>
      </c>
      <c r="E5" s="62" t="s">
        <v>171</v>
      </c>
      <c r="K5" s="386" t="s">
        <v>172</v>
      </c>
      <c r="L5" s="387"/>
      <c r="M5" s="387"/>
      <c r="N5" s="387"/>
      <c r="O5" s="387"/>
    </row>
    <row r="6" spans="1:23" ht="22.5" customHeight="1" x14ac:dyDescent="0.25">
      <c r="A6" s="393" t="s">
        <v>173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394" t="s">
        <v>174</v>
      </c>
      <c r="R6" s="387"/>
      <c r="S6" s="387"/>
      <c r="T6" s="387"/>
    </row>
    <row r="7" spans="1:23" ht="15" customHeight="1" x14ac:dyDescent="0.25">
      <c r="A7" s="395" t="s">
        <v>175</v>
      </c>
      <c r="B7" s="341"/>
      <c r="C7" s="341"/>
      <c r="D7" s="63" t="s">
        <v>176</v>
      </c>
      <c r="E7" s="63" t="s">
        <v>177</v>
      </c>
      <c r="F7" s="63" t="s">
        <v>178</v>
      </c>
      <c r="G7" s="63" t="s">
        <v>179</v>
      </c>
      <c r="H7" s="63" t="s">
        <v>180</v>
      </c>
      <c r="I7" s="63" t="s">
        <v>181</v>
      </c>
      <c r="J7" s="63" t="s">
        <v>182</v>
      </c>
      <c r="K7" s="63" t="s">
        <v>183</v>
      </c>
      <c r="L7" s="63" t="s">
        <v>184</v>
      </c>
      <c r="M7" s="63" t="s">
        <v>185</v>
      </c>
      <c r="N7" s="63" t="s">
        <v>186</v>
      </c>
      <c r="O7" s="63" t="s">
        <v>187</v>
      </c>
      <c r="Q7" s="64" t="s">
        <v>188</v>
      </c>
      <c r="R7" s="64" t="s">
        <v>189</v>
      </c>
      <c r="S7" s="64" t="s">
        <v>190</v>
      </c>
      <c r="T7" s="64" t="s">
        <v>191</v>
      </c>
      <c r="V7" s="65" t="s">
        <v>192</v>
      </c>
      <c r="W7" s="66"/>
    </row>
    <row r="8" spans="1:23" ht="15" customHeight="1" x14ac:dyDescent="0.25">
      <c r="A8" s="390" t="s">
        <v>193</v>
      </c>
      <c r="B8" s="67" t="s">
        <v>194</v>
      </c>
      <c r="C8" s="68"/>
      <c r="D8" s="109">
        <v>2</v>
      </c>
      <c r="E8" s="109">
        <v>2</v>
      </c>
      <c r="F8" s="109">
        <v>2</v>
      </c>
      <c r="G8" s="109">
        <v>2</v>
      </c>
      <c r="H8" s="109">
        <v>2</v>
      </c>
      <c r="I8" s="109">
        <v>2</v>
      </c>
      <c r="J8" s="109">
        <v>2</v>
      </c>
      <c r="K8" s="109">
        <v>2</v>
      </c>
      <c r="L8" s="109">
        <v>2</v>
      </c>
      <c r="M8" s="109">
        <v>2</v>
      </c>
      <c r="N8" s="109">
        <v>2</v>
      </c>
      <c r="O8" s="109">
        <v>2</v>
      </c>
      <c r="Q8" s="69" t="s">
        <v>15</v>
      </c>
      <c r="R8" s="70">
        <v>45371</v>
      </c>
      <c r="S8" s="71">
        <v>0.45</v>
      </c>
      <c r="T8" s="139" t="s">
        <v>195</v>
      </c>
      <c r="V8" s="72" t="s">
        <v>196</v>
      </c>
      <c r="W8" s="69" t="s">
        <v>197</v>
      </c>
    </row>
    <row r="9" spans="1:23" ht="15" customHeight="1" x14ac:dyDescent="0.25">
      <c r="A9" s="387"/>
      <c r="C9" s="88" t="s">
        <v>198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Q9" s="69" t="s">
        <v>16</v>
      </c>
      <c r="R9" s="70">
        <v>45400</v>
      </c>
      <c r="S9" s="71">
        <v>0.62777777777777777</v>
      </c>
      <c r="T9" s="223" t="s">
        <v>199</v>
      </c>
      <c r="V9" s="72" t="s">
        <v>200</v>
      </c>
      <c r="W9" s="69" t="s">
        <v>201</v>
      </c>
    </row>
    <row r="10" spans="1:23" ht="15" customHeight="1" x14ac:dyDescent="0.25">
      <c r="A10" s="387"/>
      <c r="C10" s="69" t="s">
        <v>202</v>
      </c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Q10" s="69" t="s">
        <v>17</v>
      </c>
      <c r="R10" s="70">
        <v>45433</v>
      </c>
      <c r="S10" s="71">
        <v>0.65277777777777779</v>
      </c>
      <c r="T10" s="139" t="s">
        <v>203</v>
      </c>
      <c r="V10" s="75" t="s">
        <v>204</v>
      </c>
      <c r="W10" s="69" t="s">
        <v>205</v>
      </c>
    </row>
    <row r="11" spans="1:23" ht="15" customHeight="1" x14ac:dyDescent="0.25">
      <c r="A11" s="387"/>
      <c r="C11" s="99" t="s">
        <v>206</v>
      </c>
      <c r="D11" s="138" t="s">
        <v>200</v>
      </c>
      <c r="E11" s="91" t="s">
        <v>200</v>
      </c>
      <c r="F11" s="91" t="s">
        <v>200</v>
      </c>
      <c r="G11" s="91" t="s">
        <v>200</v>
      </c>
      <c r="H11" s="91" t="s">
        <v>200</v>
      </c>
      <c r="I11" s="91" t="s">
        <v>200</v>
      </c>
      <c r="J11" s="91" t="s">
        <v>200</v>
      </c>
      <c r="K11" s="91" t="s">
        <v>200</v>
      </c>
      <c r="L11" s="91" t="s">
        <v>200</v>
      </c>
      <c r="M11" s="91" t="s">
        <v>200</v>
      </c>
      <c r="N11" s="91" t="s">
        <v>200</v>
      </c>
      <c r="O11" s="91" t="s">
        <v>200</v>
      </c>
      <c r="Q11" s="69" t="s">
        <v>18</v>
      </c>
      <c r="R11" s="70">
        <v>45468</v>
      </c>
      <c r="S11" s="71">
        <v>0.73888888888888893</v>
      </c>
      <c r="T11" s="139" t="s">
        <v>203</v>
      </c>
      <c r="V11" s="75" t="s">
        <v>207</v>
      </c>
      <c r="W11" s="69" t="s">
        <v>208</v>
      </c>
    </row>
    <row r="12" spans="1:23" ht="15" customHeight="1" x14ac:dyDescent="0.25">
      <c r="A12" s="387"/>
      <c r="B12" s="67" t="s">
        <v>209</v>
      </c>
      <c r="C12" s="76"/>
      <c r="D12" s="109">
        <v>2</v>
      </c>
      <c r="E12" s="109">
        <v>2</v>
      </c>
      <c r="F12" s="109">
        <v>2</v>
      </c>
      <c r="G12" s="109">
        <v>2</v>
      </c>
      <c r="H12" s="109">
        <v>2</v>
      </c>
      <c r="I12" s="109">
        <v>2</v>
      </c>
      <c r="J12" s="109">
        <v>2</v>
      </c>
      <c r="K12" s="109">
        <v>2</v>
      </c>
      <c r="L12" s="109">
        <v>2</v>
      </c>
      <c r="M12" s="109">
        <v>2</v>
      </c>
      <c r="N12" s="109">
        <v>2</v>
      </c>
      <c r="O12" s="109">
        <v>2</v>
      </c>
      <c r="Q12" s="69" t="s">
        <v>19</v>
      </c>
      <c r="R12" s="93">
        <v>45511</v>
      </c>
      <c r="S12" s="94">
        <v>0.3923611111111111</v>
      </c>
      <c r="T12" s="224" t="s">
        <v>210</v>
      </c>
    </row>
    <row r="13" spans="1:23" ht="15" customHeight="1" x14ac:dyDescent="0.25">
      <c r="A13" s="387"/>
      <c r="C13" s="73" t="s">
        <v>211</v>
      </c>
      <c r="D13" s="138" t="s">
        <v>196</v>
      </c>
      <c r="E13" s="91" t="s">
        <v>200</v>
      </c>
      <c r="F13" s="91" t="s">
        <v>200</v>
      </c>
      <c r="G13" s="91" t="s">
        <v>200</v>
      </c>
      <c r="H13" s="91" t="s">
        <v>200</v>
      </c>
      <c r="I13" s="91" t="s">
        <v>200</v>
      </c>
      <c r="J13" s="91" t="s">
        <v>200</v>
      </c>
      <c r="K13" s="91" t="s">
        <v>200</v>
      </c>
      <c r="L13" s="91" t="s">
        <v>200</v>
      </c>
      <c r="M13" s="91" t="s">
        <v>200</v>
      </c>
      <c r="N13" s="91" t="s">
        <v>200</v>
      </c>
      <c r="O13" s="91" t="s">
        <v>200</v>
      </c>
      <c r="Q13" s="69" t="s">
        <v>20</v>
      </c>
      <c r="R13" s="70">
        <v>45532</v>
      </c>
      <c r="S13" s="71">
        <v>0.3840277777777778</v>
      </c>
      <c r="T13" s="139" t="s">
        <v>203</v>
      </c>
    </row>
    <row r="14" spans="1:23" ht="15" customHeight="1" x14ac:dyDescent="0.25">
      <c r="A14" s="387"/>
      <c r="C14" s="77" t="s">
        <v>212</v>
      </c>
      <c r="D14" s="138" t="s">
        <v>200</v>
      </c>
      <c r="E14" s="91" t="s">
        <v>200</v>
      </c>
      <c r="F14" s="91" t="s">
        <v>200</v>
      </c>
      <c r="G14" s="91" t="s">
        <v>200</v>
      </c>
      <c r="H14" s="91" t="s">
        <v>200</v>
      </c>
      <c r="I14" s="91" t="s">
        <v>200</v>
      </c>
      <c r="J14" s="91" t="s">
        <v>200</v>
      </c>
      <c r="K14" s="91" t="s">
        <v>200</v>
      </c>
      <c r="L14" s="91" t="s">
        <v>200</v>
      </c>
      <c r="M14" s="91" t="s">
        <v>200</v>
      </c>
      <c r="N14" s="91" t="s">
        <v>200</v>
      </c>
      <c r="O14" s="91" t="s">
        <v>200</v>
      </c>
      <c r="Q14" s="69" t="s">
        <v>21</v>
      </c>
      <c r="R14" s="70">
        <v>45565</v>
      </c>
      <c r="S14" s="71">
        <v>0.62638888888888888</v>
      </c>
      <c r="T14" s="139" t="s">
        <v>213</v>
      </c>
    </row>
    <row r="15" spans="1:23" ht="15" customHeight="1" x14ac:dyDescent="0.25">
      <c r="A15" s="387"/>
      <c r="C15" s="69" t="s">
        <v>214</v>
      </c>
      <c r="D15" s="138" t="s">
        <v>215</v>
      </c>
      <c r="E15" s="91" t="s">
        <v>215</v>
      </c>
      <c r="F15" s="91" t="s">
        <v>215</v>
      </c>
      <c r="G15" s="91" t="s">
        <v>200</v>
      </c>
      <c r="H15" s="91" t="s">
        <v>200</v>
      </c>
      <c r="I15" s="91" t="s">
        <v>200</v>
      </c>
      <c r="J15" s="91" t="s">
        <v>200</v>
      </c>
      <c r="K15" s="91" t="s">
        <v>200</v>
      </c>
      <c r="L15" s="91" t="s">
        <v>200</v>
      </c>
      <c r="M15" s="91" t="s">
        <v>200</v>
      </c>
      <c r="N15" s="91" t="s">
        <v>200</v>
      </c>
      <c r="O15" s="91" t="s">
        <v>200</v>
      </c>
      <c r="Q15" s="69" t="s">
        <v>22</v>
      </c>
      <c r="R15" s="70">
        <v>45589</v>
      </c>
      <c r="S15" s="71">
        <v>0.50138888888888888</v>
      </c>
      <c r="T15" s="139" t="s">
        <v>210</v>
      </c>
    </row>
    <row r="16" spans="1:23" ht="15" customHeight="1" x14ac:dyDescent="0.25">
      <c r="A16" s="387"/>
      <c r="C16" s="69" t="s">
        <v>216</v>
      </c>
      <c r="D16" s="138" t="s">
        <v>200</v>
      </c>
      <c r="E16" s="91" t="s">
        <v>200</v>
      </c>
      <c r="F16" s="91" t="s">
        <v>200</v>
      </c>
      <c r="G16" s="91" t="s">
        <v>200</v>
      </c>
      <c r="H16" s="91" t="s">
        <v>200</v>
      </c>
      <c r="I16" s="91" t="s">
        <v>200</v>
      </c>
      <c r="J16" s="91" t="s">
        <v>200</v>
      </c>
      <c r="K16" s="91" t="s">
        <v>200</v>
      </c>
      <c r="L16" s="91" t="s">
        <v>200</v>
      </c>
      <c r="M16" s="91" t="s">
        <v>200</v>
      </c>
      <c r="N16" s="91" t="s">
        <v>200</v>
      </c>
      <c r="O16" s="91" t="s">
        <v>200</v>
      </c>
      <c r="Q16" s="69" t="s">
        <v>23</v>
      </c>
      <c r="R16" s="70">
        <v>45638</v>
      </c>
      <c r="S16" s="71">
        <v>0.37569444444444439</v>
      </c>
      <c r="T16" s="139" t="s">
        <v>213</v>
      </c>
    </row>
    <row r="17" spans="1:21" ht="15" customHeight="1" x14ac:dyDescent="0.25">
      <c r="A17" s="387"/>
      <c r="C17" s="69" t="s">
        <v>217</v>
      </c>
      <c r="D17" s="138" t="s">
        <v>200</v>
      </c>
      <c r="E17" s="91" t="s">
        <v>200</v>
      </c>
      <c r="F17" s="91" t="s">
        <v>200</v>
      </c>
      <c r="G17" s="91" t="s">
        <v>200</v>
      </c>
      <c r="H17" s="91" t="s">
        <v>200</v>
      </c>
      <c r="I17" s="91" t="s">
        <v>200</v>
      </c>
      <c r="J17" s="91" t="s">
        <v>200</v>
      </c>
      <c r="K17" s="91" t="s">
        <v>200</v>
      </c>
      <c r="L17" s="91" t="s">
        <v>200</v>
      </c>
      <c r="M17" s="91" t="s">
        <v>200</v>
      </c>
      <c r="N17" s="91" t="s">
        <v>200</v>
      </c>
      <c r="O17" s="91" t="s">
        <v>200</v>
      </c>
      <c r="Q17" s="69" t="s">
        <v>24</v>
      </c>
      <c r="R17" s="70">
        <v>45672</v>
      </c>
      <c r="S17" s="71">
        <v>0.65</v>
      </c>
      <c r="T17" s="139" t="s">
        <v>213</v>
      </c>
    </row>
    <row r="18" spans="1:21" ht="15" customHeight="1" x14ac:dyDescent="0.25">
      <c r="A18" s="387"/>
      <c r="C18" s="69" t="s">
        <v>218</v>
      </c>
      <c r="D18" s="138" t="s">
        <v>200</v>
      </c>
      <c r="E18" s="91" t="s">
        <v>200</v>
      </c>
      <c r="F18" s="91" t="s">
        <v>200</v>
      </c>
      <c r="G18" s="91" t="s">
        <v>200</v>
      </c>
      <c r="H18" s="91" t="s">
        <v>200</v>
      </c>
      <c r="I18" s="91" t="s">
        <v>200</v>
      </c>
      <c r="J18" s="91" t="s">
        <v>200</v>
      </c>
      <c r="K18" s="91" t="s">
        <v>200</v>
      </c>
      <c r="L18" s="91" t="s">
        <v>200</v>
      </c>
      <c r="M18" s="91" t="s">
        <v>200</v>
      </c>
      <c r="N18" s="91" t="s">
        <v>200</v>
      </c>
      <c r="O18" s="91" t="s">
        <v>200</v>
      </c>
      <c r="Q18" s="69" t="s">
        <v>25</v>
      </c>
      <c r="R18" s="70">
        <v>45684</v>
      </c>
      <c r="S18" s="71">
        <v>0.58263888888888893</v>
      </c>
      <c r="T18" s="139" t="s">
        <v>213</v>
      </c>
    </row>
    <row r="19" spans="1:21" ht="15" customHeight="1" x14ac:dyDescent="0.25">
      <c r="A19" s="387"/>
      <c r="C19" s="69" t="s">
        <v>219</v>
      </c>
      <c r="D19" s="138" t="s">
        <v>215</v>
      </c>
      <c r="E19" s="91" t="s">
        <v>215</v>
      </c>
      <c r="F19" s="91" t="s">
        <v>215</v>
      </c>
      <c r="G19" s="91" t="s">
        <v>200</v>
      </c>
      <c r="H19" s="91" t="s">
        <v>200</v>
      </c>
      <c r="I19" s="91" t="s">
        <v>200</v>
      </c>
      <c r="J19" s="91" t="s">
        <v>200</v>
      </c>
      <c r="K19" s="91" t="s">
        <v>200</v>
      </c>
      <c r="L19" s="91" t="s">
        <v>200</v>
      </c>
      <c r="M19" s="91" t="s">
        <v>200</v>
      </c>
      <c r="N19" s="91" t="s">
        <v>200</v>
      </c>
      <c r="O19" s="91" t="s">
        <v>200</v>
      </c>
      <c r="Q19" s="69" t="s">
        <v>26</v>
      </c>
      <c r="R19" s="70">
        <v>45712</v>
      </c>
      <c r="S19" s="71">
        <v>0.71736111111111112</v>
      </c>
      <c r="T19" s="139" t="s">
        <v>213</v>
      </c>
    </row>
    <row r="20" spans="1:21" ht="15" customHeight="1" x14ac:dyDescent="0.25">
      <c r="A20" s="387"/>
      <c r="B20" s="67" t="s">
        <v>220</v>
      </c>
      <c r="C20" s="76"/>
      <c r="D20" s="109">
        <v>2</v>
      </c>
      <c r="E20" s="109">
        <v>2</v>
      </c>
      <c r="F20" s="109">
        <v>2</v>
      </c>
      <c r="G20" s="109">
        <v>2</v>
      </c>
      <c r="H20" s="109">
        <v>2</v>
      </c>
      <c r="I20" s="109">
        <v>2</v>
      </c>
      <c r="J20" s="109">
        <v>2</v>
      </c>
      <c r="K20" s="109">
        <v>2</v>
      </c>
      <c r="L20" s="109">
        <v>2</v>
      </c>
      <c r="M20" s="109">
        <v>2</v>
      </c>
      <c r="N20" s="109">
        <v>2</v>
      </c>
      <c r="O20" s="109">
        <v>2</v>
      </c>
      <c r="Q20" s="69" t="s">
        <v>26</v>
      </c>
      <c r="R20" s="70"/>
      <c r="S20" s="71"/>
      <c r="T20" s="139"/>
    </row>
    <row r="21" spans="1:21" ht="15" customHeight="1" x14ac:dyDescent="0.25">
      <c r="A21" s="387"/>
      <c r="C21" s="69" t="s">
        <v>221</v>
      </c>
      <c r="D21" s="138" t="s">
        <v>196</v>
      </c>
      <c r="E21" s="91" t="s">
        <v>196</v>
      </c>
      <c r="F21" s="91" t="s">
        <v>196</v>
      </c>
      <c r="G21" s="91" t="s">
        <v>200</v>
      </c>
      <c r="H21" s="91" t="s">
        <v>200</v>
      </c>
      <c r="I21" s="91" t="s">
        <v>200</v>
      </c>
      <c r="J21" s="91" t="s">
        <v>200</v>
      </c>
      <c r="K21" s="91" t="s">
        <v>200</v>
      </c>
      <c r="L21" s="91" t="s">
        <v>200</v>
      </c>
      <c r="M21" s="91" t="s">
        <v>200</v>
      </c>
      <c r="N21" s="91" t="s">
        <v>200</v>
      </c>
      <c r="O21" s="91" t="s">
        <v>200</v>
      </c>
      <c r="Q21" s="69"/>
      <c r="R21" s="70"/>
      <c r="S21" s="71"/>
      <c r="T21" s="139"/>
    </row>
    <row r="22" spans="1:21" ht="15" customHeight="1" x14ac:dyDescent="0.25">
      <c r="A22" s="387"/>
      <c r="C22" s="69" t="s">
        <v>222</v>
      </c>
      <c r="D22" s="138" t="s">
        <v>196</v>
      </c>
      <c r="E22" s="91" t="s">
        <v>196</v>
      </c>
      <c r="F22" s="91" t="s">
        <v>196</v>
      </c>
      <c r="G22" s="91" t="s">
        <v>200</v>
      </c>
      <c r="H22" s="91" t="s">
        <v>200</v>
      </c>
      <c r="I22" s="91" t="s">
        <v>200</v>
      </c>
      <c r="J22" s="91" t="s">
        <v>200</v>
      </c>
      <c r="K22" s="91" t="s">
        <v>200</v>
      </c>
      <c r="L22" s="91" t="s">
        <v>200</v>
      </c>
      <c r="M22" s="91" t="s">
        <v>200</v>
      </c>
      <c r="N22" s="91" t="s">
        <v>200</v>
      </c>
      <c r="O22" s="91" t="s">
        <v>200</v>
      </c>
    </row>
    <row r="23" spans="1:21" ht="15" customHeight="1" x14ac:dyDescent="0.25">
      <c r="A23" s="387"/>
      <c r="C23" s="69" t="s">
        <v>223</v>
      </c>
      <c r="D23" s="138" t="s">
        <v>200</v>
      </c>
      <c r="E23" s="91" t="s">
        <v>200</v>
      </c>
      <c r="F23" s="91" t="s">
        <v>200</v>
      </c>
      <c r="G23" s="91" t="s">
        <v>200</v>
      </c>
      <c r="H23" s="91" t="s">
        <v>200</v>
      </c>
      <c r="I23" s="91" t="s">
        <v>200</v>
      </c>
      <c r="J23" s="91" t="s">
        <v>200</v>
      </c>
      <c r="K23" s="91" t="s">
        <v>200</v>
      </c>
      <c r="L23" s="91" t="s">
        <v>200</v>
      </c>
      <c r="M23" s="91" t="s">
        <v>200</v>
      </c>
      <c r="N23" s="91" t="s">
        <v>200</v>
      </c>
      <c r="O23" s="91" t="s">
        <v>200</v>
      </c>
      <c r="Q23" s="62" t="s">
        <v>224</v>
      </c>
    </row>
    <row r="24" spans="1:21" ht="15" customHeight="1" x14ac:dyDescent="0.25">
      <c r="A24" s="387"/>
      <c r="C24" s="69" t="s">
        <v>225</v>
      </c>
      <c r="D24" s="138" t="s">
        <v>200</v>
      </c>
      <c r="E24" s="91" t="s">
        <v>200</v>
      </c>
      <c r="F24" s="91" t="s">
        <v>200</v>
      </c>
      <c r="G24" s="91" t="s">
        <v>200</v>
      </c>
      <c r="H24" s="91" t="s">
        <v>200</v>
      </c>
      <c r="I24" s="91" t="s">
        <v>200</v>
      </c>
      <c r="J24" s="91" t="s">
        <v>200</v>
      </c>
      <c r="K24" s="91" t="s">
        <v>200</v>
      </c>
      <c r="L24" s="91" t="s">
        <v>200</v>
      </c>
      <c r="M24" s="91" t="s">
        <v>200</v>
      </c>
      <c r="N24" s="91" t="s">
        <v>200</v>
      </c>
      <c r="O24" s="91" t="s">
        <v>200</v>
      </c>
      <c r="Q24" s="62"/>
    </row>
    <row r="25" spans="1:21" ht="15" customHeight="1" x14ac:dyDescent="0.25">
      <c r="A25" s="387"/>
      <c r="C25" s="69" t="s">
        <v>226</v>
      </c>
      <c r="D25" s="138" t="s">
        <v>200</v>
      </c>
      <c r="E25" s="91" t="s">
        <v>200</v>
      </c>
      <c r="F25" s="91" t="s">
        <v>200</v>
      </c>
      <c r="G25" s="91" t="s">
        <v>200</v>
      </c>
      <c r="H25" s="91" t="s">
        <v>200</v>
      </c>
      <c r="I25" s="91" t="s">
        <v>200</v>
      </c>
      <c r="J25" s="91" t="s">
        <v>200</v>
      </c>
      <c r="K25" s="91" t="s">
        <v>200</v>
      </c>
      <c r="L25" s="91" t="s">
        <v>200</v>
      </c>
      <c r="M25" s="91" t="s">
        <v>200</v>
      </c>
      <c r="N25" s="91" t="s">
        <v>200</v>
      </c>
      <c r="O25" s="91" t="s">
        <v>200</v>
      </c>
      <c r="Q25" s="62"/>
    </row>
    <row r="26" spans="1:21" ht="15" customHeight="1" x14ac:dyDescent="0.25">
      <c r="A26" s="387"/>
      <c r="C26" s="69" t="s">
        <v>227</v>
      </c>
      <c r="D26" s="138" t="s">
        <v>200</v>
      </c>
      <c r="E26" s="91" t="s">
        <v>200</v>
      </c>
      <c r="F26" s="91" t="s">
        <v>200</v>
      </c>
      <c r="G26" s="91" t="s">
        <v>200</v>
      </c>
      <c r="H26" s="91" t="s">
        <v>200</v>
      </c>
      <c r="I26" s="91" t="s">
        <v>200</v>
      </c>
      <c r="J26" s="91" t="s">
        <v>200</v>
      </c>
      <c r="K26" s="91" t="s">
        <v>200</v>
      </c>
      <c r="L26" s="91" t="s">
        <v>200</v>
      </c>
      <c r="M26" s="91" t="s">
        <v>200</v>
      </c>
      <c r="N26" s="91" t="s">
        <v>200</v>
      </c>
      <c r="O26" s="91" t="s">
        <v>200</v>
      </c>
      <c r="Q26" s="383"/>
      <c r="R26" s="381"/>
      <c r="S26" s="381"/>
      <c r="T26" s="381"/>
      <c r="U26" s="382"/>
    </row>
    <row r="27" spans="1:21" ht="15" customHeight="1" x14ac:dyDescent="0.25">
      <c r="A27" s="387"/>
      <c r="C27" s="69" t="s">
        <v>228</v>
      </c>
      <c r="D27" s="138" t="s">
        <v>196</v>
      </c>
      <c r="E27" s="91" t="s">
        <v>196</v>
      </c>
      <c r="F27" s="91" t="s">
        <v>196</v>
      </c>
      <c r="G27" s="91" t="s">
        <v>200</v>
      </c>
      <c r="H27" s="91" t="s">
        <v>200</v>
      </c>
      <c r="I27" s="91" t="s">
        <v>200</v>
      </c>
      <c r="J27" s="91" t="s">
        <v>200</v>
      </c>
      <c r="K27" s="91" t="s">
        <v>200</v>
      </c>
      <c r="L27" s="91" t="s">
        <v>200</v>
      </c>
      <c r="M27" s="91" t="s">
        <v>200</v>
      </c>
      <c r="N27" s="91" t="s">
        <v>200</v>
      </c>
      <c r="O27" s="91" t="s">
        <v>200</v>
      </c>
      <c r="Q27" s="383"/>
      <c r="R27" s="381"/>
      <c r="S27" s="381"/>
      <c r="T27" s="381"/>
      <c r="U27" s="382"/>
    </row>
    <row r="28" spans="1:21" ht="15.75" customHeight="1" x14ac:dyDescent="0.25">
      <c r="A28" s="387"/>
      <c r="B28" s="67" t="s">
        <v>229</v>
      </c>
      <c r="C28" s="76"/>
      <c r="D28" s="109">
        <v>2</v>
      </c>
      <c r="E28" s="109">
        <v>2</v>
      </c>
      <c r="F28" s="109">
        <v>2</v>
      </c>
      <c r="G28" s="109">
        <v>2</v>
      </c>
      <c r="H28" s="109">
        <v>2</v>
      </c>
      <c r="I28" s="109">
        <v>2</v>
      </c>
      <c r="J28" s="109">
        <v>2</v>
      </c>
      <c r="K28" s="109">
        <v>2</v>
      </c>
      <c r="L28" s="109">
        <v>2</v>
      </c>
      <c r="M28" s="109">
        <v>2</v>
      </c>
      <c r="N28" s="109">
        <v>2</v>
      </c>
      <c r="O28" s="109">
        <v>2</v>
      </c>
      <c r="Q28" s="383"/>
      <c r="R28" s="381"/>
      <c r="S28" s="381"/>
      <c r="T28" s="381"/>
      <c r="U28" s="382"/>
    </row>
    <row r="29" spans="1:21" ht="15.75" customHeight="1" x14ac:dyDescent="0.25">
      <c r="A29" s="387"/>
      <c r="C29" s="73" t="s">
        <v>230</v>
      </c>
      <c r="D29" s="138" t="s">
        <v>200</v>
      </c>
      <c r="E29" s="91" t="s">
        <v>200</v>
      </c>
      <c r="F29" s="91" t="s">
        <v>200</v>
      </c>
      <c r="G29" s="91" t="s">
        <v>200</v>
      </c>
      <c r="H29" s="91" t="s">
        <v>200</v>
      </c>
      <c r="I29" s="91" t="s">
        <v>200</v>
      </c>
      <c r="J29" s="91" t="s">
        <v>200</v>
      </c>
      <c r="K29" s="91" t="s">
        <v>200</v>
      </c>
      <c r="L29" s="91" t="s">
        <v>200</v>
      </c>
      <c r="M29" s="91" t="s">
        <v>200</v>
      </c>
      <c r="N29" s="91" t="s">
        <v>200</v>
      </c>
      <c r="O29" s="91" t="s">
        <v>200</v>
      </c>
      <c r="P29" s="79"/>
      <c r="Q29" s="383"/>
      <c r="R29" s="381"/>
      <c r="S29" s="381"/>
      <c r="T29" s="381"/>
      <c r="U29" s="382"/>
    </row>
    <row r="30" spans="1:21" ht="15.75" customHeight="1" x14ac:dyDescent="0.25">
      <c r="A30" s="387"/>
      <c r="C30" s="77" t="s">
        <v>231</v>
      </c>
      <c r="D30" s="138" t="s">
        <v>200</v>
      </c>
      <c r="E30" s="91" t="s">
        <v>200</v>
      </c>
      <c r="F30" s="91" t="s">
        <v>200</v>
      </c>
      <c r="G30" s="91" t="s">
        <v>200</v>
      </c>
      <c r="H30" s="91" t="s">
        <v>200</v>
      </c>
      <c r="I30" s="91" t="s">
        <v>200</v>
      </c>
      <c r="J30" s="91" t="s">
        <v>200</v>
      </c>
      <c r="K30" s="91" t="s">
        <v>200</v>
      </c>
      <c r="L30" s="91" t="s">
        <v>200</v>
      </c>
      <c r="M30" s="91" t="s">
        <v>200</v>
      </c>
      <c r="N30" s="91" t="s">
        <v>200</v>
      </c>
      <c r="O30" s="91" t="s">
        <v>200</v>
      </c>
      <c r="Q30" s="383"/>
      <c r="R30" s="381"/>
      <c r="S30" s="381"/>
      <c r="T30" s="381"/>
      <c r="U30" s="382"/>
    </row>
    <row r="31" spans="1:21" ht="15" customHeight="1" x14ac:dyDescent="0.25">
      <c r="A31" s="387"/>
      <c r="C31" s="80" t="s">
        <v>232</v>
      </c>
      <c r="D31" s="138" t="s">
        <v>200</v>
      </c>
      <c r="E31" s="91" t="s">
        <v>200</v>
      </c>
      <c r="F31" s="91" t="s">
        <v>200</v>
      </c>
      <c r="G31" s="91" t="s">
        <v>200</v>
      </c>
      <c r="H31" s="91" t="s">
        <v>200</v>
      </c>
      <c r="I31" s="91" t="s">
        <v>200</v>
      </c>
      <c r="J31" s="91" t="s">
        <v>200</v>
      </c>
      <c r="K31" s="91" t="s">
        <v>200</v>
      </c>
      <c r="L31" s="91" t="s">
        <v>200</v>
      </c>
      <c r="M31" s="91" t="s">
        <v>200</v>
      </c>
      <c r="N31" s="91" t="s">
        <v>200</v>
      </c>
      <c r="O31" s="91" t="s">
        <v>200</v>
      </c>
      <c r="Q31" s="383"/>
      <c r="R31" s="381"/>
      <c r="S31" s="381"/>
      <c r="T31" s="381"/>
      <c r="U31" s="382"/>
    </row>
    <row r="32" spans="1:21" ht="15.75" customHeight="1" x14ac:dyDescent="0.25">
      <c r="A32" s="389" t="s">
        <v>233</v>
      </c>
      <c r="B32" s="387"/>
      <c r="C32" s="387"/>
      <c r="D32" s="110">
        <v>2</v>
      </c>
      <c r="E32" s="110">
        <v>2</v>
      </c>
      <c r="F32" s="110">
        <v>2</v>
      </c>
      <c r="G32" s="110">
        <v>2</v>
      </c>
      <c r="H32" s="110">
        <v>2</v>
      </c>
      <c r="I32" s="110">
        <v>2</v>
      </c>
      <c r="J32" s="110">
        <v>2</v>
      </c>
      <c r="K32" s="110">
        <v>2</v>
      </c>
      <c r="L32" s="110">
        <v>2</v>
      </c>
      <c r="M32" s="110">
        <v>2</v>
      </c>
      <c r="N32" s="110">
        <v>2</v>
      </c>
      <c r="O32" s="110">
        <v>2</v>
      </c>
      <c r="Q32" s="383"/>
      <c r="R32" s="381"/>
      <c r="S32" s="381"/>
      <c r="T32" s="381"/>
      <c r="U32" s="382"/>
    </row>
    <row r="33" spans="1:21" ht="15" customHeight="1" x14ac:dyDescent="0.25">
      <c r="A33" s="76"/>
      <c r="C33" s="73" t="s">
        <v>83</v>
      </c>
      <c r="D33" s="91" t="s">
        <v>200</v>
      </c>
      <c r="E33" s="91" t="s">
        <v>200</v>
      </c>
      <c r="F33" s="91" t="s">
        <v>200</v>
      </c>
      <c r="G33" s="91" t="s">
        <v>200</v>
      </c>
      <c r="H33" s="91" t="s">
        <v>200</v>
      </c>
      <c r="I33" s="91" t="s">
        <v>200</v>
      </c>
      <c r="J33" s="91" t="s">
        <v>200</v>
      </c>
      <c r="K33" s="91" t="s">
        <v>200</v>
      </c>
      <c r="L33" s="91" t="s">
        <v>200</v>
      </c>
      <c r="M33" s="91" t="s">
        <v>200</v>
      </c>
      <c r="N33" s="91" t="s">
        <v>200</v>
      </c>
      <c r="O33" s="91" t="s">
        <v>200</v>
      </c>
      <c r="Q33" s="380"/>
      <c r="R33" s="381"/>
      <c r="S33" s="381"/>
      <c r="T33" s="381"/>
      <c r="U33" s="382"/>
    </row>
    <row r="34" spans="1:21" ht="15.75" customHeight="1" x14ac:dyDescent="0.25">
      <c r="A34" s="76"/>
      <c r="C34" s="77" t="s">
        <v>234</v>
      </c>
      <c r="D34" s="138"/>
      <c r="E34" s="138"/>
      <c r="F34" s="138"/>
      <c r="G34" s="91"/>
      <c r="H34" s="138"/>
      <c r="I34" s="138"/>
      <c r="J34" s="138"/>
      <c r="K34" s="138"/>
      <c r="L34" s="138"/>
      <c r="M34" s="138"/>
      <c r="N34" s="138"/>
      <c r="O34" s="138"/>
      <c r="Q34" s="380"/>
      <c r="R34" s="381"/>
      <c r="S34" s="381"/>
      <c r="T34" s="381"/>
      <c r="U34" s="382"/>
    </row>
    <row r="35" spans="1:21" ht="15.75" customHeight="1" x14ac:dyDescent="0.25">
      <c r="A35" s="76"/>
      <c r="C35" s="74" t="s">
        <v>85</v>
      </c>
      <c r="D35" s="91" t="s">
        <v>200</v>
      </c>
      <c r="E35" s="141"/>
      <c r="F35" s="141"/>
      <c r="G35" s="141"/>
      <c r="H35" s="91" t="s">
        <v>200</v>
      </c>
      <c r="I35" s="141"/>
      <c r="J35" s="138"/>
      <c r="K35" s="138"/>
      <c r="L35" s="138" t="s">
        <v>200</v>
      </c>
      <c r="M35" s="141"/>
      <c r="N35" s="138"/>
      <c r="O35" s="138"/>
      <c r="Q35" s="380"/>
      <c r="R35" s="381"/>
      <c r="S35" s="381"/>
      <c r="T35" s="381"/>
      <c r="U35" s="382"/>
    </row>
    <row r="36" spans="1:21" ht="15.75" customHeight="1" x14ac:dyDescent="0.25">
      <c r="A36" s="392" t="s">
        <v>235</v>
      </c>
      <c r="B36" s="341"/>
      <c r="C36" s="341"/>
      <c r="D36" s="111" t="s">
        <v>236</v>
      </c>
      <c r="E36" s="111" t="s">
        <v>236</v>
      </c>
      <c r="F36" s="111" t="s">
        <v>237</v>
      </c>
      <c r="G36" s="111" t="s">
        <v>238</v>
      </c>
      <c r="H36" s="111" t="s">
        <v>239</v>
      </c>
      <c r="I36" s="111" t="s">
        <v>239</v>
      </c>
      <c r="J36" s="111" t="s">
        <v>240</v>
      </c>
      <c r="K36" s="111" t="s">
        <v>236</v>
      </c>
      <c r="L36" s="111" t="s">
        <v>240</v>
      </c>
      <c r="M36" s="111" t="s">
        <v>240</v>
      </c>
      <c r="N36" s="111" t="s">
        <v>240</v>
      </c>
      <c r="O36" s="111" t="s">
        <v>240</v>
      </c>
      <c r="Q36" s="380"/>
      <c r="R36" s="381"/>
      <c r="S36" s="381"/>
      <c r="T36" s="381"/>
      <c r="U36" s="382"/>
    </row>
    <row r="37" spans="1:21" ht="15.75" customHeight="1" x14ac:dyDescent="0.2">
      <c r="A37" s="82" t="s">
        <v>241</v>
      </c>
      <c r="Q37" s="380"/>
      <c r="R37" s="381"/>
      <c r="S37" s="381"/>
      <c r="T37" s="381"/>
      <c r="U37" s="382"/>
    </row>
    <row r="38" spans="1:21" ht="15.75" customHeight="1" x14ac:dyDescent="0.2">
      <c r="Q38" s="380"/>
      <c r="R38" s="381"/>
      <c r="S38" s="381"/>
      <c r="T38" s="381"/>
      <c r="U38" s="382"/>
    </row>
    <row r="39" spans="1:21" ht="15.75" customHeight="1" x14ac:dyDescent="0.2">
      <c r="Q39" s="380"/>
      <c r="R39" s="381"/>
      <c r="S39" s="381"/>
      <c r="T39" s="381"/>
      <c r="U39" s="382"/>
    </row>
    <row r="40" spans="1:21" ht="15.75" customHeight="1" x14ac:dyDescent="0.2">
      <c r="Q40" s="380"/>
      <c r="R40" s="381"/>
      <c r="S40" s="381"/>
      <c r="T40" s="381"/>
      <c r="U40" s="382"/>
    </row>
    <row r="41" spans="1:21" ht="15.75" customHeight="1" x14ac:dyDescent="0.2">
      <c r="Q41" s="380"/>
      <c r="R41" s="381"/>
      <c r="S41" s="381"/>
      <c r="T41" s="381"/>
      <c r="U41" s="382"/>
    </row>
    <row r="42" spans="1:21" ht="15.75" customHeight="1" x14ac:dyDescent="0.2">
      <c r="Q42" s="380"/>
      <c r="R42" s="381"/>
      <c r="S42" s="381"/>
      <c r="T42" s="381"/>
      <c r="U42" s="382"/>
    </row>
    <row r="43" spans="1:21" ht="15.75" customHeight="1" x14ac:dyDescent="0.2">
      <c r="Q43" s="380"/>
      <c r="R43" s="381"/>
      <c r="S43" s="381"/>
      <c r="T43" s="381"/>
      <c r="U43" s="382"/>
    </row>
    <row r="44" spans="1:21" ht="15.75" customHeight="1" x14ac:dyDescent="0.2">
      <c r="Q44" s="380"/>
      <c r="R44" s="381"/>
      <c r="S44" s="381"/>
      <c r="T44" s="381"/>
      <c r="U44" s="382"/>
    </row>
    <row r="45" spans="1:21" ht="15.75" customHeight="1" x14ac:dyDescent="0.2">
      <c r="Q45" s="83"/>
      <c r="R45" s="84"/>
      <c r="S45" s="84"/>
      <c r="T45" s="84"/>
      <c r="U45" s="85"/>
    </row>
    <row r="46" spans="1:21" ht="15.75" customHeight="1" x14ac:dyDescent="0.2">
      <c r="Q46" s="86"/>
      <c r="R46" s="86"/>
      <c r="S46" s="86"/>
      <c r="T46" s="86"/>
      <c r="U46" s="86"/>
    </row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30">
    <mergeCell ref="Q44:U44"/>
    <mergeCell ref="A5:B5"/>
    <mergeCell ref="Q36:U36"/>
    <mergeCell ref="Q30:U30"/>
    <mergeCell ref="Q27:U27"/>
    <mergeCell ref="A36:C36"/>
    <mergeCell ref="Q41:U41"/>
    <mergeCell ref="Q32:U32"/>
    <mergeCell ref="A6:O6"/>
    <mergeCell ref="Q6:T6"/>
    <mergeCell ref="A7:C7"/>
    <mergeCell ref="A2:O2"/>
    <mergeCell ref="A32:C32"/>
    <mergeCell ref="Q29:U29"/>
    <mergeCell ref="Q38:U38"/>
    <mergeCell ref="A8:A31"/>
    <mergeCell ref="Q26:U26"/>
    <mergeCell ref="Q35:U35"/>
    <mergeCell ref="Q31:U31"/>
    <mergeCell ref="Q34:U34"/>
    <mergeCell ref="A4:B4"/>
    <mergeCell ref="Q43:U43"/>
    <mergeCell ref="Q28:U28"/>
    <mergeCell ref="Q37:U37"/>
    <mergeCell ref="I4:O4"/>
    <mergeCell ref="Q33:U33"/>
    <mergeCell ref="K5:O5"/>
    <mergeCell ref="Q42:U42"/>
    <mergeCell ref="Q39:U39"/>
    <mergeCell ref="Q40:U40"/>
  </mergeCells>
  <conditionalFormatting sqref="M9:M11 M13:M19 M21:M27 M29:M31 M34:M35">
    <cfRule type="cellIs" dxfId="5555" priority="153" operator="equal">
      <formula>"NI"</formula>
    </cfRule>
    <cfRule type="cellIs" dxfId="5554" priority="154" operator="equal">
      <formula>"N"</formula>
    </cfRule>
    <cfRule type="cellIs" dxfId="5553" priority="155" operator="equal">
      <formula>"P"</formula>
    </cfRule>
    <cfRule type="cellIs" dxfId="5552" priority="156" operator="equal">
      <formula>"J"</formula>
    </cfRule>
  </conditionalFormatting>
  <conditionalFormatting sqref="M33">
    <cfRule type="cellIs" dxfId="5551" priority="149" operator="equal">
      <formula>"NI"</formula>
    </cfRule>
    <cfRule type="cellIs" dxfId="5550" priority="150" operator="equal">
      <formula>"N"</formula>
    </cfRule>
    <cfRule type="cellIs" dxfId="5549" priority="151" operator="equal">
      <formula>"P"</formula>
    </cfRule>
    <cfRule type="cellIs" dxfId="5548" priority="152" operator="equal">
      <formula>"J"</formula>
    </cfRule>
  </conditionalFormatting>
  <conditionalFormatting sqref="N9:N11 N13:N19 N21:N27 N29:N31 N34:N35">
    <cfRule type="cellIs" dxfId="5547" priority="145" operator="equal">
      <formula>"NI"</formula>
    </cfRule>
    <cfRule type="cellIs" dxfId="5546" priority="146" operator="equal">
      <formula>"N"</formula>
    </cfRule>
    <cfRule type="cellIs" dxfId="5545" priority="147" operator="equal">
      <formula>"P"</formula>
    </cfRule>
    <cfRule type="cellIs" dxfId="5544" priority="148" operator="equal">
      <formula>"J"</formula>
    </cfRule>
  </conditionalFormatting>
  <conditionalFormatting sqref="N33">
    <cfRule type="cellIs" dxfId="5543" priority="141" operator="equal">
      <formula>"NI"</formula>
    </cfRule>
    <cfRule type="cellIs" dxfId="5542" priority="142" operator="equal">
      <formula>"N"</formula>
    </cfRule>
    <cfRule type="cellIs" dxfId="5541" priority="143" operator="equal">
      <formula>"P"</formula>
    </cfRule>
    <cfRule type="cellIs" dxfId="5540" priority="144" operator="equal">
      <formula>"J"</formula>
    </cfRule>
  </conditionalFormatting>
  <conditionalFormatting sqref="O9:O11 O13:O19 O21:O27 O29:O31 O34:O35">
    <cfRule type="cellIs" dxfId="5539" priority="137" operator="equal">
      <formula>"NI"</formula>
    </cfRule>
    <cfRule type="cellIs" dxfId="5538" priority="138" operator="equal">
      <formula>"N"</formula>
    </cfRule>
    <cfRule type="cellIs" dxfId="5537" priority="139" operator="equal">
      <formula>"P"</formula>
    </cfRule>
    <cfRule type="cellIs" dxfId="5536" priority="140" operator="equal">
      <formula>"J"</formula>
    </cfRule>
  </conditionalFormatting>
  <conditionalFormatting sqref="O33">
    <cfRule type="cellIs" dxfId="5535" priority="133" operator="equal">
      <formula>"NI"</formula>
    </cfRule>
    <cfRule type="cellIs" dxfId="5534" priority="134" operator="equal">
      <formula>"N"</formula>
    </cfRule>
    <cfRule type="cellIs" dxfId="5533" priority="135" operator="equal">
      <formula>"P"</formula>
    </cfRule>
    <cfRule type="cellIs" dxfId="5532" priority="136" operator="equal">
      <formula>"J"</formula>
    </cfRule>
  </conditionalFormatting>
  <conditionalFormatting sqref="I9:I11 I13:I19 I21:I27 I29:I31 I34:I35">
    <cfRule type="cellIs" dxfId="5531" priority="81" operator="equal">
      <formula>"NI"</formula>
    </cfRule>
    <cfRule type="cellIs" dxfId="5530" priority="82" operator="equal">
      <formula>"N"</formula>
    </cfRule>
    <cfRule type="cellIs" dxfId="5529" priority="83" operator="equal">
      <formula>"P"</formula>
    </cfRule>
    <cfRule type="cellIs" dxfId="5528" priority="84" operator="equal">
      <formula>"J"</formula>
    </cfRule>
  </conditionalFormatting>
  <conditionalFormatting sqref="I33">
    <cfRule type="cellIs" dxfId="5527" priority="77" operator="equal">
      <formula>"NI"</formula>
    </cfRule>
    <cfRule type="cellIs" dxfId="5526" priority="78" operator="equal">
      <formula>"N"</formula>
    </cfRule>
    <cfRule type="cellIs" dxfId="5525" priority="79" operator="equal">
      <formula>"P"</formula>
    </cfRule>
    <cfRule type="cellIs" dxfId="5524" priority="80" operator="equal">
      <formula>"J"</formula>
    </cfRule>
  </conditionalFormatting>
  <conditionalFormatting sqref="J9:J11 J13:J19 J21:J27 J29:J31 J34:J35">
    <cfRule type="cellIs" dxfId="5523" priority="73" operator="equal">
      <formula>"NI"</formula>
    </cfRule>
    <cfRule type="cellIs" dxfId="5522" priority="74" operator="equal">
      <formula>"N"</formula>
    </cfRule>
    <cfRule type="cellIs" dxfId="5521" priority="75" operator="equal">
      <formula>"P"</formula>
    </cfRule>
    <cfRule type="cellIs" dxfId="5520" priority="76" operator="equal">
      <formula>"J"</formula>
    </cfRule>
  </conditionalFormatting>
  <conditionalFormatting sqref="J33">
    <cfRule type="cellIs" dxfId="5519" priority="69" operator="equal">
      <formula>"NI"</formula>
    </cfRule>
    <cfRule type="cellIs" dxfId="5518" priority="70" operator="equal">
      <formula>"N"</formula>
    </cfRule>
    <cfRule type="cellIs" dxfId="5517" priority="71" operator="equal">
      <formula>"P"</formula>
    </cfRule>
    <cfRule type="cellIs" dxfId="5516" priority="72" operator="equal">
      <formula>"J"</formula>
    </cfRule>
  </conditionalFormatting>
  <conditionalFormatting sqref="K9:K11 K13:K19 K21:K27 K29:K31 K34:K35">
    <cfRule type="cellIs" dxfId="5515" priority="65" operator="equal">
      <formula>"NI"</formula>
    </cfRule>
    <cfRule type="cellIs" dxfId="5514" priority="66" operator="equal">
      <formula>"N"</formula>
    </cfRule>
    <cfRule type="cellIs" dxfId="5513" priority="67" operator="equal">
      <formula>"P"</formula>
    </cfRule>
    <cfRule type="cellIs" dxfId="5512" priority="68" operator="equal">
      <formula>"J"</formula>
    </cfRule>
  </conditionalFormatting>
  <conditionalFormatting sqref="K33">
    <cfRule type="cellIs" dxfId="5511" priority="61" operator="equal">
      <formula>"NI"</formula>
    </cfRule>
    <cfRule type="cellIs" dxfId="5510" priority="62" operator="equal">
      <formula>"N"</formula>
    </cfRule>
    <cfRule type="cellIs" dxfId="5509" priority="63" operator="equal">
      <formula>"P"</formula>
    </cfRule>
    <cfRule type="cellIs" dxfId="5508" priority="64" operator="equal">
      <formula>"J"</formula>
    </cfRule>
  </conditionalFormatting>
  <conditionalFormatting sqref="L9:L11 L13:L19 L21:L27 L29:L31 L34:L35">
    <cfRule type="cellIs" dxfId="5507" priority="57" operator="equal">
      <formula>"NI"</formula>
    </cfRule>
    <cfRule type="cellIs" dxfId="5506" priority="58" operator="equal">
      <formula>"N"</formula>
    </cfRule>
    <cfRule type="cellIs" dxfId="5505" priority="59" operator="equal">
      <formula>"P"</formula>
    </cfRule>
    <cfRule type="cellIs" dxfId="5504" priority="60" operator="equal">
      <formula>"J"</formula>
    </cfRule>
  </conditionalFormatting>
  <conditionalFormatting sqref="L33">
    <cfRule type="cellIs" dxfId="5503" priority="53" operator="equal">
      <formula>"NI"</formula>
    </cfRule>
    <cfRule type="cellIs" dxfId="5502" priority="54" operator="equal">
      <formula>"N"</formula>
    </cfRule>
    <cfRule type="cellIs" dxfId="5501" priority="55" operator="equal">
      <formula>"P"</formula>
    </cfRule>
    <cfRule type="cellIs" dxfId="5500" priority="56" operator="equal">
      <formula>"J"</formula>
    </cfRule>
  </conditionalFormatting>
  <conditionalFormatting sqref="D9:D11 D13:D19 D21:D27 D29:D31 D34">
    <cfRule type="cellIs" dxfId="5499" priority="49" operator="equal">
      <formula>"NI"</formula>
    </cfRule>
    <cfRule type="cellIs" dxfId="5498" priority="50" operator="equal">
      <formula>"N"</formula>
    </cfRule>
    <cfRule type="cellIs" dxfId="5497" priority="51" operator="equal">
      <formula>"P"</formula>
    </cfRule>
    <cfRule type="cellIs" dxfId="5496" priority="52" operator="equal">
      <formula>"J"</formula>
    </cfRule>
  </conditionalFormatting>
  <conditionalFormatting sqref="D33">
    <cfRule type="cellIs" dxfId="5495" priority="45" operator="equal">
      <formula>"NI"</formula>
    </cfRule>
    <cfRule type="cellIs" dxfId="5494" priority="46" operator="equal">
      <formula>"N"</formula>
    </cfRule>
    <cfRule type="cellIs" dxfId="5493" priority="47" operator="equal">
      <formula>"P"</formula>
    </cfRule>
    <cfRule type="cellIs" dxfId="5492" priority="48" operator="equal">
      <formula>"J"</formula>
    </cfRule>
  </conditionalFormatting>
  <conditionalFormatting sqref="D35">
    <cfRule type="cellIs" dxfId="5491" priority="41" operator="equal">
      <formula>"NI"</formula>
    </cfRule>
    <cfRule type="cellIs" dxfId="5490" priority="42" operator="equal">
      <formula>"N"</formula>
    </cfRule>
    <cfRule type="cellIs" dxfId="5489" priority="43" operator="equal">
      <formula>"P"</formula>
    </cfRule>
    <cfRule type="cellIs" dxfId="5488" priority="44" operator="equal">
      <formula>"J"</formula>
    </cfRule>
  </conditionalFormatting>
  <conditionalFormatting sqref="E9:E10 E13:E19 E21:E27 E29:E31 E34:E35">
    <cfRule type="cellIs" dxfId="5487" priority="37" operator="equal">
      <formula>"NI"</formula>
    </cfRule>
    <cfRule type="cellIs" dxfId="5486" priority="38" operator="equal">
      <formula>"N"</formula>
    </cfRule>
    <cfRule type="cellIs" dxfId="5485" priority="39" operator="equal">
      <formula>"P"</formula>
    </cfRule>
    <cfRule type="cellIs" dxfId="5484" priority="40" operator="equal">
      <formula>"J"</formula>
    </cfRule>
  </conditionalFormatting>
  <conditionalFormatting sqref="E11">
    <cfRule type="cellIs" dxfId="5483" priority="33" operator="equal">
      <formula>"NI"</formula>
    </cfRule>
    <cfRule type="cellIs" dxfId="5482" priority="34" operator="equal">
      <formula>"N"</formula>
    </cfRule>
    <cfRule type="cellIs" dxfId="5481" priority="35" operator="equal">
      <formula>"P"</formula>
    </cfRule>
    <cfRule type="cellIs" dxfId="5480" priority="36" operator="equal">
      <formula>"J"</formula>
    </cfRule>
  </conditionalFormatting>
  <conditionalFormatting sqref="E33">
    <cfRule type="cellIs" dxfId="5479" priority="29" operator="equal">
      <formula>"NI"</formula>
    </cfRule>
    <cfRule type="cellIs" dxfId="5478" priority="30" operator="equal">
      <formula>"N"</formula>
    </cfRule>
    <cfRule type="cellIs" dxfId="5477" priority="31" operator="equal">
      <formula>"P"</formula>
    </cfRule>
    <cfRule type="cellIs" dxfId="5476" priority="32" operator="equal">
      <formula>"J"</formula>
    </cfRule>
  </conditionalFormatting>
  <conditionalFormatting sqref="F9:F11 F13:F19 F21:F27 F29:F31 F34:F35 G35">
    <cfRule type="cellIs" dxfId="5475" priority="25" operator="equal">
      <formula>"NI"</formula>
    </cfRule>
    <cfRule type="cellIs" dxfId="5474" priority="26" operator="equal">
      <formula>"N"</formula>
    </cfRule>
    <cfRule type="cellIs" dxfId="5473" priority="27" operator="equal">
      <formula>"P"</formula>
    </cfRule>
    <cfRule type="cellIs" dxfId="5472" priority="28" operator="equal">
      <formula>"J"</formula>
    </cfRule>
  </conditionalFormatting>
  <conditionalFormatting sqref="F33">
    <cfRule type="cellIs" dxfId="5471" priority="21" operator="equal">
      <formula>"NI"</formula>
    </cfRule>
    <cfRule type="cellIs" dxfId="5470" priority="22" operator="equal">
      <formula>"N"</formula>
    </cfRule>
    <cfRule type="cellIs" dxfId="5469" priority="23" operator="equal">
      <formula>"P"</formula>
    </cfRule>
    <cfRule type="cellIs" dxfId="5468" priority="24" operator="equal">
      <formula>"J"</formula>
    </cfRule>
  </conditionalFormatting>
  <conditionalFormatting sqref="G9:G11 G13:G19 G21:G27 G29:G31 G34">
    <cfRule type="cellIs" dxfId="5467" priority="17" operator="equal">
      <formula>"NI"</formula>
    </cfRule>
    <cfRule type="cellIs" dxfId="5466" priority="18" operator="equal">
      <formula>"N"</formula>
    </cfRule>
    <cfRule type="cellIs" dxfId="5465" priority="19" operator="equal">
      <formula>"P"</formula>
    </cfRule>
    <cfRule type="cellIs" dxfId="5464" priority="20" operator="equal">
      <formula>"J"</formula>
    </cfRule>
  </conditionalFormatting>
  <conditionalFormatting sqref="G33">
    <cfRule type="cellIs" dxfId="5463" priority="13" operator="equal">
      <formula>"NI"</formula>
    </cfRule>
    <cfRule type="cellIs" dxfId="5462" priority="14" operator="equal">
      <formula>"N"</formula>
    </cfRule>
    <cfRule type="cellIs" dxfId="5461" priority="15" operator="equal">
      <formula>"P"</formula>
    </cfRule>
    <cfRule type="cellIs" dxfId="5460" priority="16" operator="equal">
      <formula>"J"</formula>
    </cfRule>
  </conditionalFormatting>
  <conditionalFormatting sqref="H9:H11 H13:H19 H21:H27 H29:H31 H34">
    <cfRule type="cellIs" dxfId="5459" priority="9" operator="equal">
      <formula>"NI"</formula>
    </cfRule>
    <cfRule type="cellIs" dxfId="5458" priority="10" operator="equal">
      <formula>"N"</formula>
    </cfRule>
    <cfRule type="cellIs" dxfId="5457" priority="11" operator="equal">
      <formula>"P"</formula>
    </cfRule>
    <cfRule type="cellIs" dxfId="5456" priority="12" operator="equal">
      <formula>"J"</formula>
    </cfRule>
  </conditionalFormatting>
  <conditionalFormatting sqref="H33">
    <cfRule type="cellIs" dxfId="5455" priority="5" operator="equal">
      <formula>"NI"</formula>
    </cfRule>
    <cfRule type="cellIs" dxfId="5454" priority="6" operator="equal">
      <formula>"N"</formula>
    </cfRule>
    <cfRule type="cellIs" dxfId="5453" priority="7" operator="equal">
      <formula>"P"</formula>
    </cfRule>
    <cfRule type="cellIs" dxfId="5452" priority="8" operator="equal">
      <formula>"J"</formula>
    </cfRule>
  </conditionalFormatting>
  <conditionalFormatting sqref="H35">
    <cfRule type="cellIs" dxfId="5451" priority="1" operator="equal">
      <formula>"NI"</formula>
    </cfRule>
    <cfRule type="cellIs" dxfId="5450" priority="2" operator="equal">
      <formula>"N"</formula>
    </cfRule>
    <cfRule type="cellIs" dxfId="5449" priority="3" operator="equal">
      <formula>"P"</formula>
    </cfRule>
    <cfRule type="cellIs" dxfId="5448" priority="4" operator="equal">
      <formula>"J"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3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T22" sqref="T22"/>
    </sheetView>
  </sheetViews>
  <sheetFormatPr defaultColWidth="12.625" defaultRowHeight="14.25" x14ac:dyDescent="0.2"/>
  <cols>
    <col min="1" max="2" width="4.875" style="293" customWidth="1"/>
    <col min="3" max="3" width="60.25" style="293" bestFit="1" customWidth="1"/>
    <col min="4" max="4" width="3.875" style="293" customWidth="1"/>
    <col min="5" max="5" width="3.75" style="293" customWidth="1"/>
    <col min="6" max="6" width="4.5" style="293" customWidth="1"/>
    <col min="7" max="8" width="4" style="293" customWidth="1"/>
    <col min="9" max="9" width="3.875" style="293" customWidth="1"/>
    <col min="10" max="10" width="3.375" style="293" customWidth="1"/>
    <col min="11" max="11" width="4.375" style="293" customWidth="1"/>
    <col min="12" max="12" width="3.5" style="293" customWidth="1"/>
    <col min="13" max="13" width="4.125" style="293" customWidth="1"/>
    <col min="14" max="14" width="4.5" style="293" customWidth="1"/>
    <col min="15" max="15" width="3.75" style="293" customWidth="1"/>
    <col min="16" max="16" width="2.25" style="293" customWidth="1"/>
    <col min="17" max="17" width="9.375" style="293" customWidth="1"/>
    <col min="18" max="18" width="11" style="293" customWidth="1"/>
    <col min="19" max="19" width="8" style="293" customWidth="1"/>
    <col min="20" max="20" width="16.25" style="293" bestFit="1" customWidth="1"/>
    <col min="21" max="21" width="8" style="293" customWidth="1"/>
    <col min="22" max="22" width="7.375" style="293" customWidth="1"/>
    <col min="23" max="23" width="17.75" style="293" customWidth="1"/>
    <col min="24" max="26" width="7.625" style="293" customWidth="1"/>
    <col min="27" max="1024" width="12.625" style="293" customWidth="1"/>
  </cols>
  <sheetData>
    <row r="1" spans="1:23" ht="3.75" customHeight="1" x14ac:dyDescent="0.2"/>
    <row r="2" spans="1:23" ht="18.75" customHeight="1" x14ac:dyDescent="0.3">
      <c r="A2" s="388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391" t="s">
        <v>243</v>
      </c>
      <c r="B4" s="387"/>
      <c r="C4" s="291" t="s">
        <v>244</v>
      </c>
      <c r="E4" s="62" t="s">
        <v>168</v>
      </c>
      <c r="I4" s="384" t="s">
        <v>245</v>
      </c>
      <c r="J4" s="385"/>
      <c r="K4" s="385"/>
      <c r="L4" s="385"/>
      <c r="M4" s="385"/>
      <c r="N4" s="385"/>
      <c r="O4" s="385"/>
    </row>
    <row r="5" spans="1:23" ht="15" customHeight="1" x14ac:dyDescent="0.25">
      <c r="A5" s="391" t="s">
        <v>246</v>
      </c>
      <c r="B5" s="387"/>
      <c r="C5" s="292" t="s">
        <v>247</v>
      </c>
      <c r="E5" s="62" t="s">
        <v>171</v>
      </c>
      <c r="K5" s="386" t="s">
        <v>248</v>
      </c>
      <c r="L5" s="387"/>
      <c r="M5" s="387"/>
      <c r="N5" s="387"/>
      <c r="O5" s="387"/>
    </row>
    <row r="6" spans="1:23" ht="22.5" customHeight="1" x14ac:dyDescent="0.25">
      <c r="A6" s="393" t="s">
        <v>173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394" t="s">
        <v>174</v>
      </c>
      <c r="R6" s="387"/>
      <c r="S6" s="387"/>
      <c r="T6" s="387"/>
    </row>
    <row r="7" spans="1:23" ht="15" customHeight="1" x14ac:dyDescent="0.25">
      <c r="A7" s="395" t="s">
        <v>175</v>
      </c>
      <c r="B7" s="341"/>
      <c r="C7" s="341"/>
      <c r="D7" s="87" t="s">
        <v>176</v>
      </c>
      <c r="E7" s="87" t="s">
        <v>177</v>
      </c>
      <c r="F7" s="87" t="s">
        <v>178</v>
      </c>
      <c r="G7" s="87" t="s">
        <v>179</v>
      </c>
      <c r="H7" s="87" t="s">
        <v>180</v>
      </c>
      <c r="I7" s="87" t="s">
        <v>181</v>
      </c>
      <c r="J7" s="87" t="s">
        <v>182</v>
      </c>
      <c r="K7" s="87" t="s">
        <v>183</v>
      </c>
      <c r="L7" s="87" t="s">
        <v>184</v>
      </c>
      <c r="M7" s="87" t="s">
        <v>185</v>
      </c>
      <c r="N7" s="87" t="s">
        <v>186</v>
      </c>
      <c r="O7" s="87" t="s">
        <v>187</v>
      </c>
      <c r="Q7" s="81" t="s">
        <v>188</v>
      </c>
      <c r="R7" s="81" t="s">
        <v>189</v>
      </c>
      <c r="S7" s="81" t="s">
        <v>190</v>
      </c>
      <c r="T7" s="81" t="s">
        <v>191</v>
      </c>
      <c r="V7" s="81" t="s">
        <v>192</v>
      </c>
      <c r="W7" s="294"/>
    </row>
    <row r="8" spans="1:23" ht="15" customHeight="1" x14ac:dyDescent="0.25">
      <c r="A8" s="404" t="s">
        <v>193</v>
      </c>
      <c r="B8" s="67" t="s">
        <v>194</v>
      </c>
      <c r="C8" s="76"/>
      <c r="D8" s="109">
        <v>2</v>
      </c>
      <c r="E8" s="109">
        <v>0</v>
      </c>
      <c r="F8" s="109">
        <v>2</v>
      </c>
      <c r="G8" s="109">
        <v>2</v>
      </c>
      <c r="H8" s="109">
        <v>2</v>
      </c>
      <c r="I8" s="109">
        <v>2</v>
      </c>
      <c r="J8" s="109">
        <v>2</v>
      </c>
      <c r="K8" s="109">
        <v>2</v>
      </c>
      <c r="L8" s="109">
        <v>2</v>
      </c>
      <c r="M8" s="135">
        <v>2</v>
      </c>
      <c r="N8" s="135">
        <v>2</v>
      </c>
      <c r="O8" s="135">
        <v>2</v>
      </c>
      <c r="Q8" s="88" t="s">
        <v>15</v>
      </c>
      <c r="R8" s="70">
        <v>45371</v>
      </c>
      <c r="S8" s="71">
        <v>0.45208333333333328</v>
      </c>
      <c r="T8" s="139" t="s">
        <v>195</v>
      </c>
      <c r="V8" s="89" t="s">
        <v>196</v>
      </c>
      <c r="W8" s="90" t="s">
        <v>197</v>
      </c>
    </row>
    <row r="9" spans="1:23" ht="15" customHeight="1" x14ac:dyDescent="0.25">
      <c r="A9" s="387"/>
      <c r="C9" s="88" t="s">
        <v>198</v>
      </c>
      <c r="D9" s="138"/>
      <c r="E9" s="91" t="s">
        <v>207</v>
      </c>
      <c r="F9" s="91"/>
      <c r="G9" s="91"/>
      <c r="H9" s="91"/>
      <c r="I9" s="91"/>
      <c r="J9" s="91"/>
      <c r="K9" s="91"/>
      <c r="L9" s="91"/>
      <c r="M9" s="91"/>
      <c r="N9" s="91"/>
      <c r="O9" s="91"/>
      <c r="Q9" s="92" t="s">
        <v>16</v>
      </c>
      <c r="R9" s="93">
        <v>45400</v>
      </c>
      <c r="S9" s="94">
        <v>0.62916666666666665</v>
      </c>
      <c r="T9" s="224" t="s">
        <v>199</v>
      </c>
      <c r="V9" s="89" t="s">
        <v>200</v>
      </c>
      <c r="W9" s="90" t="s">
        <v>201</v>
      </c>
    </row>
    <row r="10" spans="1:23" ht="15" customHeight="1" x14ac:dyDescent="0.25">
      <c r="A10" s="387"/>
      <c r="C10" s="155" t="s">
        <v>202</v>
      </c>
      <c r="D10" s="138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Q10" s="92" t="s">
        <v>17</v>
      </c>
      <c r="R10" s="70">
        <v>45433</v>
      </c>
      <c r="S10" s="71">
        <v>0.65347222222222223</v>
      </c>
      <c r="T10" s="139" t="s">
        <v>203</v>
      </c>
      <c r="V10" s="96" t="s">
        <v>204</v>
      </c>
      <c r="W10" s="90" t="s">
        <v>205</v>
      </c>
    </row>
    <row r="11" spans="1:23" ht="15" customHeight="1" x14ac:dyDescent="0.25">
      <c r="A11" s="387"/>
      <c r="C11" s="99" t="s">
        <v>206</v>
      </c>
      <c r="D11" s="138" t="s">
        <v>200</v>
      </c>
      <c r="E11" s="91"/>
      <c r="F11" s="91" t="s">
        <v>200</v>
      </c>
      <c r="G11" s="91" t="s">
        <v>200</v>
      </c>
      <c r="H11" s="91" t="s">
        <v>200</v>
      </c>
      <c r="I11" s="91" t="s">
        <v>200</v>
      </c>
      <c r="J11" s="91" t="s">
        <v>200</v>
      </c>
      <c r="K11" s="91" t="s">
        <v>200</v>
      </c>
      <c r="L11" s="91" t="s">
        <v>200</v>
      </c>
      <c r="M11" s="91" t="s">
        <v>200</v>
      </c>
      <c r="N11" s="91" t="s">
        <v>200</v>
      </c>
      <c r="O11" s="91" t="s">
        <v>200</v>
      </c>
      <c r="Q11" s="92" t="s">
        <v>18</v>
      </c>
      <c r="R11" s="70">
        <v>45468</v>
      </c>
      <c r="S11" s="71">
        <v>0.74305555555555558</v>
      </c>
      <c r="T11" s="139" t="s">
        <v>249</v>
      </c>
      <c r="V11" s="96" t="s">
        <v>207</v>
      </c>
      <c r="W11" s="90" t="s">
        <v>208</v>
      </c>
    </row>
    <row r="12" spans="1:23" ht="15" customHeight="1" x14ac:dyDescent="0.25">
      <c r="A12" s="387"/>
      <c r="B12" s="67" t="s">
        <v>209</v>
      </c>
      <c r="C12" s="76"/>
      <c r="D12" s="109">
        <v>1</v>
      </c>
      <c r="E12" s="109">
        <v>0</v>
      </c>
      <c r="F12" s="109">
        <v>2</v>
      </c>
      <c r="G12" s="109">
        <v>2</v>
      </c>
      <c r="H12" s="109">
        <v>2</v>
      </c>
      <c r="I12" s="109">
        <v>2</v>
      </c>
      <c r="J12" s="109">
        <v>2</v>
      </c>
      <c r="K12" s="109">
        <v>2</v>
      </c>
      <c r="L12" s="109">
        <v>1</v>
      </c>
      <c r="M12" s="135">
        <v>2</v>
      </c>
      <c r="N12" s="135">
        <v>2</v>
      </c>
      <c r="O12" s="135">
        <v>1</v>
      </c>
      <c r="Q12" s="92" t="s">
        <v>19</v>
      </c>
      <c r="R12" s="93">
        <v>45511</v>
      </c>
      <c r="S12" s="94">
        <v>0.3923611111111111</v>
      </c>
      <c r="T12" s="224" t="s">
        <v>210</v>
      </c>
    </row>
    <row r="13" spans="1:23" ht="15" customHeight="1" x14ac:dyDescent="0.25">
      <c r="A13" s="387"/>
      <c r="C13" s="73" t="s">
        <v>211</v>
      </c>
      <c r="D13" s="138" t="s">
        <v>200</v>
      </c>
      <c r="E13" s="91" t="s">
        <v>207</v>
      </c>
      <c r="F13" s="91" t="s">
        <v>200</v>
      </c>
      <c r="G13" s="91" t="s">
        <v>200</v>
      </c>
      <c r="H13" s="91" t="s">
        <v>200</v>
      </c>
      <c r="I13" s="91" t="s">
        <v>200</v>
      </c>
      <c r="J13" s="91" t="s">
        <v>200</v>
      </c>
      <c r="K13" s="91" t="s">
        <v>200</v>
      </c>
      <c r="L13" s="91" t="s">
        <v>200</v>
      </c>
      <c r="M13" s="91" t="s">
        <v>200</v>
      </c>
      <c r="N13" s="91" t="s">
        <v>200</v>
      </c>
      <c r="O13" s="91" t="s">
        <v>207</v>
      </c>
      <c r="Q13" s="92" t="s">
        <v>20</v>
      </c>
      <c r="R13" s="70">
        <v>45532</v>
      </c>
      <c r="S13" s="71">
        <v>0.38472222222222219</v>
      </c>
      <c r="T13" s="139" t="s">
        <v>249</v>
      </c>
    </row>
    <row r="14" spans="1:23" ht="15" customHeight="1" x14ac:dyDescent="0.25">
      <c r="A14" s="387"/>
      <c r="C14" s="77" t="s">
        <v>250</v>
      </c>
      <c r="D14" s="138" t="s">
        <v>207</v>
      </c>
      <c r="E14" s="91" t="s">
        <v>207</v>
      </c>
      <c r="F14" s="91" t="s">
        <v>200</v>
      </c>
      <c r="G14" s="91" t="s">
        <v>200</v>
      </c>
      <c r="H14" s="91" t="s">
        <v>200</v>
      </c>
      <c r="I14" s="91" t="s">
        <v>200</v>
      </c>
      <c r="J14" s="91" t="s">
        <v>200</v>
      </c>
      <c r="K14" s="91" t="s">
        <v>200</v>
      </c>
      <c r="L14" s="91" t="s">
        <v>207</v>
      </c>
      <c r="M14" s="91" t="s">
        <v>200</v>
      </c>
      <c r="N14" s="91" t="s">
        <v>196</v>
      </c>
      <c r="O14" s="91" t="s">
        <v>200</v>
      </c>
      <c r="Q14" s="92" t="s">
        <v>21</v>
      </c>
      <c r="R14" s="70">
        <v>45565</v>
      </c>
      <c r="S14" s="71">
        <v>0.62708333333333333</v>
      </c>
      <c r="T14" s="139" t="s">
        <v>213</v>
      </c>
    </row>
    <row r="15" spans="1:23" ht="15" customHeight="1" x14ac:dyDescent="0.25">
      <c r="A15" s="387"/>
      <c r="C15" s="69" t="s">
        <v>214</v>
      </c>
      <c r="D15" s="138" t="s">
        <v>196</v>
      </c>
      <c r="E15" s="91" t="s">
        <v>207</v>
      </c>
      <c r="F15" s="91" t="s">
        <v>196</v>
      </c>
      <c r="G15" s="91" t="s">
        <v>200</v>
      </c>
      <c r="H15" s="91" t="s">
        <v>200</v>
      </c>
      <c r="I15" s="91" t="s">
        <v>200</v>
      </c>
      <c r="J15" s="91" t="s">
        <v>200</v>
      </c>
      <c r="K15" s="91" t="s">
        <v>200</v>
      </c>
      <c r="L15" s="91" t="s">
        <v>200</v>
      </c>
      <c r="M15" s="91" t="s">
        <v>200</v>
      </c>
      <c r="N15" s="91" t="s">
        <v>200</v>
      </c>
      <c r="O15" s="91" t="s">
        <v>200</v>
      </c>
      <c r="Q15" s="92" t="s">
        <v>22</v>
      </c>
      <c r="R15" s="97">
        <v>45589</v>
      </c>
      <c r="S15" s="98">
        <v>0.50208333333333333</v>
      </c>
      <c r="T15" s="139" t="s">
        <v>210</v>
      </c>
    </row>
    <row r="16" spans="1:23" ht="15" customHeight="1" x14ac:dyDescent="0.25">
      <c r="A16" s="387"/>
      <c r="C16" s="77" t="s">
        <v>216</v>
      </c>
      <c r="D16" s="138" t="s">
        <v>200</v>
      </c>
      <c r="E16" s="91" t="s">
        <v>207</v>
      </c>
      <c r="F16" s="91" t="s">
        <v>200</v>
      </c>
      <c r="G16" s="91" t="s">
        <v>200</v>
      </c>
      <c r="H16" s="91" t="s">
        <v>200</v>
      </c>
      <c r="I16" s="91" t="s">
        <v>200</v>
      </c>
      <c r="J16" s="91" t="s">
        <v>200</v>
      </c>
      <c r="K16" s="91" t="s">
        <v>200</v>
      </c>
      <c r="L16" s="91" t="s">
        <v>200</v>
      </c>
      <c r="M16" s="91" t="s">
        <v>200</v>
      </c>
      <c r="N16" s="91" t="s">
        <v>200</v>
      </c>
      <c r="O16" s="91" t="s">
        <v>200</v>
      </c>
      <c r="Q16" s="92" t="s">
        <v>23</v>
      </c>
      <c r="R16" s="97">
        <v>45638</v>
      </c>
      <c r="S16" s="98">
        <v>0.38333333333333341</v>
      </c>
      <c r="T16" s="139" t="s">
        <v>213</v>
      </c>
    </row>
    <row r="17" spans="1:21" ht="15" customHeight="1" x14ac:dyDescent="0.25">
      <c r="A17" s="387"/>
      <c r="C17" s="77" t="s">
        <v>217</v>
      </c>
      <c r="D17" s="138" t="s">
        <v>200</v>
      </c>
      <c r="E17" s="91" t="s">
        <v>207</v>
      </c>
      <c r="F17" s="91" t="s">
        <v>200</v>
      </c>
      <c r="G17" s="91" t="s">
        <v>200</v>
      </c>
      <c r="H17" s="91" t="s">
        <v>200</v>
      </c>
      <c r="I17" s="91" t="s">
        <v>200</v>
      </c>
      <c r="J17" s="91" t="s">
        <v>200</v>
      </c>
      <c r="K17" s="91" t="s">
        <v>200</v>
      </c>
      <c r="L17" s="91" t="s">
        <v>200</v>
      </c>
      <c r="M17" s="91" t="s">
        <v>200</v>
      </c>
      <c r="N17" s="91" t="s">
        <v>200</v>
      </c>
      <c r="O17" s="91" t="s">
        <v>207</v>
      </c>
      <c r="Q17" s="92" t="s">
        <v>24</v>
      </c>
      <c r="R17" s="70">
        <v>45672</v>
      </c>
      <c r="S17" s="71">
        <v>0.65069444444444446</v>
      </c>
      <c r="T17" s="139" t="s">
        <v>213</v>
      </c>
    </row>
    <row r="18" spans="1:21" ht="15" customHeight="1" x14ac:dyDescent="0.25">
      <c r="A18" s="387"/>
      <c r="C18" s="74" t="s">
        <v>218</v>
      </c>
      <c r="D18" s="138" t="s">
        <v>200</v>
      </c>
      <c r="E18" s="91" t="s">
        <v>207</v>
      </c>
      <c r="F18" s="91" t="s">
        <v>200</v>
      </c>
      <c r="G18" s="91" t="s">
        <v>200</v>
      </c>
      <c r="H18" s="91" t="s">
        <v>200</v>
      </c>
      <c r="I18" s="91" t="s">
        <v>200</v>
      </c>
      <c r="J18" s="91" t="s">
        <v>200</v>
      </c>
      <c r="K18" s="91" t="s">
        <v>200</v>
      </c>
      <c r="L18" s="91" t="s">
        <v>200</v>
      </c>
      <c r="M18" s="91" t="s">
        <v>200</v>
      </c>
      <c r="N18" s="91" t="s">
        <v>200</v>
      </c>
      <c r="O18" s="91" t="s">
        <v>200</v>
      </c>
      <c r="Q18" s="92" t="s">
        <v>25</v>
      </c>
      <c r="R18" s="70">
        <v>45687</v>
      </c>
      <c r="S18" s="276">
        <v>0.44930555555555562</v>
      </c>
      <c r="T18" s="139" t="s">
        <v>213</v>
      </c>
    </row>
    <row r="19" spans="1:21" ht="15" customHeight="1" x14ac:dyDescent="0.25">
      <c r="A19" s="387"/>
      <c r="C19" s="69" t="s">
        <v>219</v>
      </c>
      <c r="D19" s="138" t="s">
        <v>196</v>
      </c>
      <c r="E19" s="91" t="s">
        <v>207</v>
      </c>
      <c r="F19" s="91" t="s">
        <v>196</v>
      </c>
      <c r="G19" s="91" t="s">
        <v>200</v>
      </c>
      <c r="H19" s="91" t="s">
        <v>200</v>
      </c>
      <c r="I19" s="91" t="s">
        <v>200</v>
      </c>
      <c r="J19" s="91" t="s">
        <v>200</v>
      </c>
      <c r="K19" s="91" t="s">
        <v>200</v>
      </c>
      <c r="L19" s="91" t="s">
        <v>200</v>
      </c>
      <c r="M19" s="91" t="s">
        <v>200</v>
      </c>
      <c r="N19" s="91" t="s">
        <v>200</v>
      </c>
      <c r="O19" s="91" t="s">
        <v>200</v>
      </c>
      <c r="Q19" s="92" t="s">
        <v>26</v>
      </c>
      <c r="R19" s="97">
        <v>45712</v>
      </c>
      <c r="S19" s="98">
        <v>0.71805555555555556</v>
      </c>
      <c r="T19" s="139" t="s">
        <v>213</v>
      </c>
    </row>
    <row r="20" spans="1:21" ht="15" customHeight="1" x14ac:dyDescent="0.25">
      <c r="A20" s="387"/>
      <c r="B20" s="67" t="s">
        <v>220</v>
      </c>
      <c r="C20" s="76"/>
      <c r="D20" s="109">
        <v>2</v>
      </c>
      <c r="E20" s="109">
        <v>0</v>
      </c>
      <c r="F20" s="109">
        <v>2</v>
      </c>
      <c r="G20" s="109">
        <v>1</v>
      </c>
      <c r="H20" s="109">
        <v>1</v>
      </c>
      <c r="I20" s="109">
        <v>1</v>
      </c>
      <c r="J20" s="109">
        <v>2</v>
      </c>
      <c r="K20" s="109">
        <v>1</v>
      </c>
      <c r="L20" s="109">
        <v>1</v>
      </c>
      <c r="M20" s="135">
        <v>1</v>
      </c>
      <c r="N20" s="135">
        <v>1</v>
      </c>
      <c r="O20" s="135">
        <v>2</v>
      </c>
      <c r="Q20" s="97"/>
      <c r="R20" s="97"/>
      <c r="S20" s="97"/>
      <c r="T20" s="139"/>
    </row>
    <row r="21" spans="1:21" ht="15" customHeight="1" x14ac:dyDescent="0.25">
      <c r="A21" s="387"/>
      <c r="C21" s="69" t="s">
        <v>221</v>
      </c>
      <c r="D21" s="138" t="s">
        <v>196</v>
      </c>
      <c r="E21" s="91" t="s">
        <v>207</v>
      </c>
      <c r="F21" s="91" t="s">
        <v>196</v>
      </c>
      <c r="G21" s="91" t="s">
        <v>215</v>
      </c>
      <c r="H21" s="91" t="s">
        <v>200</v>
      </c>
      <c r="I21" s="91" t="s">
        <v>200</v>
      </c>
      <c r="J21" s="91" t="s">
        <v>200</v>
      </c>
      <c r="K21" s="91" t="s">
        <v>200</v>
      </c>
      <c r="L21" s="91" t="s">
        <v>200</v>
      </c>
      <c r="M21" s="91" t="s">
        <v>200</v>
      </c>
      <c r="N21" s="91" t="s">
        <v>207</v>
      </c>
      <c r="O21" s="91" t="s">
        <v>200</v>
      </c>
    </row>
    <row r="22" spans="1:21" ht="15" customHeight="1" x14ac:dyDescent="0.25">
      <c r="A22" s="387"/>
      <c r="C22" s="69" t="s">
        <v>222</v>
      </c>
      <c r="D22" s="138" t="s">
        <v>196</v>
      </c>
      <c r="E22" s="91" t="s">
        <v>207</v>
      </c>
      <c r="F22" s="91" t="s">
        <v>196</v>
      </c>
      <c r="G22" s="91" t="s">
        <v>200</v>
      </c>
      <c r="H22" s="91" t="s">
        <v>200</v>
      </c>
      <c r="I22" s="91" t="s">
        <v>200</v>
      </c>
      <c r="J22" s="91" t="s">
        <v>200</v>
      </c>
      <c r="K22" s="91" t="s">
        <v>200</v>
      </c>
      <c r="L22" s="91" t="s">
        <v>200</v>
      </c>
      <c r="M22" s="91" t="s">
        <v>200</v>
      </c>
      <c r="N22" s="91" t="s">
        <v>200</v>
      </c>
      <c r="O22" s="91" t="s">
        <v>200</v>
      </c>
    </row>
    <row r="23" spans="1:21" ht="15" customHeight="1" x14ac:dyDescent="0.25">
      <c r="A23" s="387"/>
      <c r="C23" s="78" t="s">
        <v>223</v>
      </c>
      <c r="D23" s="138" t="s">
        <v>200</v>
      </c>
      <c r="E23" s="91" t="s">
        <v>207</v>
      </c>
      <c r="F23" s="91" t="s">
        <v>200</v>
      </c>
      <c r="G23" s="91" t="s">
        <v>200</v>
      </c>
      <c r="H23" s="91" t="s">
        <v>200</v>
      </c>
      <c r="I23" s="91" t="s">
        <v>200</v>
      </c>
      <c r="J23" s="91" t="s">
        <v>196</v>
      </c>
      <c r="K23" s="91" t="s">
        <v>196</v>
      </c>
      <c r="L23" s="91" t="s">
        <v>200</v>
      </c>
      <c r="M23" s="91" t="s">
        <v>207</v>
      </c>
      <c r="N23" s="91" t="s">
        <v>196</v>
      </c>
      <c r="O23" s="91" t="s">
        <v>200</v>
      </c>
      <c r="Q23" s="62" t="s">
        <v>224</v>
      </c>
    </row>
    <row r="24" spans="1:21" ht="15" customHeight="1" x14ac:dyDescent="0.25">
      <c r="A24" s="387"/>
      <c r="C24" s="78" t="s">
        <v>251</v>
      </c>
      <c r="D24" s="138" t="s">
        <v>200</v>
      </c>
      <c r="E24" s="91" t="s">
        <v>207</v>
      </c>
      <c r="F24" s="91" t="s">
        <v>200</v>
      </c>
      <c r="G24" s="91" t="s">
        <v>200</v>
      </c>
      <c r="H24" s="91" t="s">
        <v>200</v>
      </c>
      <c r="I24" s="91" t="s">
        <v>200</v>
      </c>
      <c r="J24" s="91" t="s">
        <v>200</v>
      </c>
      <c r="K24" s="91" t="s">
        <v>200</v>
      </c>
      <c r="L24" s="91" t="s">
        <v>200</v>
      </c>
      <c r="M24" s="91" t="s">
        <v>200</v>
      </c>
      <c r="N24" s="91" t="s">
        <v>200</v>
      </c>
      <c r="O24" s="91" t="s">
        <v>200</v>
      </c>
      <c r="Q24" s="396"/>
      <c r="R24" s="397"/>
      <c r="S24" s="397"/>
      <c r="T24" s="397"/>
      <c r="U24" s="398"/>
    </row>
    <row r="25" spans="1:21" ht="15" customHeight="1" x14ac:dyDescent="0.25">
      <c r="A25" s="387"/>
      <c r="C25" s="77" t="s">
        <v>252</v>
      </c>
      <c r="D25" s="138" t="s">
        <v>200</v>
      </c>
      <c r="E25" s="91" t="s">
        <v>207</v>
      </c>
      <c r="F25" s="91" t="s">
        <v>200</v>
      </c>
      <c r="G25" s="91" t="s">
        <v>200</v>
      </c>
      <c r="H25" s="91" t="s">
        <v>200</v>
      </c>
      <c r="I25" s="91" t="s">
        <v>200</v>
      </c>
      <c r="J25" s="91" t="s">
        <v>200</v>
      </c>
      <c r="K25" s="91" t="s">
        <v>200</v>
      </c>
      <c r="L25" s="91" t="s">
        <v>200</v>
      </c>
      <c r="M25" s="91" t="s">
        <v>200</v>
      </c>
      <c r="N25" s="91" t="s">
        <v>200</v>
      </c>
      <c r="O25" s="91" t="s">
        <v>200</v>
      </c>
      <c r="Q25" s="396"/>
      <c r="R25" s="397"/>
      <c r="S25" s="397"/>
      <c r="T25" s="397"/>
      <c r="U25" s="398"/>
    </row>
    <row r="26" spans="1:21" ht="15" customHeight="1" x14ac:dyDescent="0.25">
      <c r="A26" s="387"/>
      <c r="C26" s="74" t="s">
        <v>253</v>
      </c>
      <c r="D26" s="138" t="s">
        <v>200</v>
      </c>
      <c r="E26" s="91" t="s">
        <v>207</v>
      </c>
      <c r="F26" s="91" t="s">
        <v>200</v>
      </c>
      <c r="G26" s="91" t="s">
        <v>200</v>
      </c>
      <c r="H26" s="91" t="s">
        <v>200</v>
      </c>
      <c r="I26" s="91" t="s">
        <v>200</v>
      </c>
      <c r="J26" s="91" t="s">
        <v>200</v>
      </c>
      <c r="K26" s="91" t="s">
        <v>200</v>
      </c>
      <c r="L26" s="91" t="s">
        <v>196</v>
      </c>
      <c r="M26" s="91" t="s">
        <v>200</v>
      </c>
      <c r="N26" s="91" t="s">
        <v>200</v>
      </c>
      <c r="O26" s="91" t="s">
        <v>200</v>
      </c>
      <c r="Q26" s="383"/>
      <c r="R26" s="381"/>
      <c r="S26" s="381"/>
      <c r="T26" s="381"/>
      <c r="U26" s="382"/>
    </row>
    <row r="27" spans="1:21" ht="15" customHeight="1" x14ac:dyDescent="0.25">
      <c r="A27" s="387"/>
      <c r="C27" s="69" t="s">
        <v>228</v>
      </c>
      <c r="D27" s="138" t="s">
        <v>215</v>
      </c>
      <c r="E27" s="91" t="s">
        <v>215</v>
      </c>
      <c r="F27" s="91" t="s">
        <v>215</v>
      </c>
      <c r="G27" s="91" t="s">
        <v>207</v>
      </c>
      <c r="H27" s="91" t="s">
        <v>207</v>
      </c>
      <c r="I27" s="91" t="s">
        <v>207</v>
      </c>
      <c r="J27" s="91" t="s">
        <v>196</v>
      </c>
      <c r="K27" s="91" t="s">
        <v>207</v>
      </c>
      <c r="L27" s="91" t="s">
        <v>207</v>
      </c>
      <c r="M27" s="91" t="s">
        <v>200</v>
      </c>
      <c r="N27" s="91" t="s">
        <v>200</v>
      </c>
      <c r="O27" s="91" t="s">
        <v>200</v>
      </c>
      <c r="Q27" s="402"/>
      <c r="R27" s="381"/>
      <c r="S27" s="381"/>
      <c r="T27" s="381"/>
      <c r="U27" s="403"/>
    </row>
    <row r="28" spans="1:21" ht="15.75" customHeight="1" x14ac:dyDescent="0.25">
      <c r="A28" s="387"/>
      <c r="B28" s="67" t="s">
        <v>229</v>
      </c>
      <c r="C28" s="76"/>
      <c r="D28" s="109">
        <v>1</v>
      </c>
      <c r="E28" s="109">
        <v>0</v>
      </c>
      <c r="F28" s="109">
        <v>2</v>
      </c>
      <c r="G28" s="109">
        <v>2</v>
      </c>
      <c r="H28" s="109">
        <v>2</v>
      </c>
      <c r="I28" s="109">
        <v>2</v>
      </c>
      <c r="J28" s="109">
        <v>2</v>
      </c>
      <c r="K28" s="109">
        <v>2</v>
      </c>
      <c r="L28" s="109">
        <v>2</v>
      </c>
      <c r="M28" s="135">
        <v>2</v>
      </c>
      <c r="N28" s="135">
        <v>1</v>
      </c>
      <c r="O28" s="135">
        <v>2</v>
      </c>
      <c r="Q28" s="383"/>
      <c r="R28" s="381"/>
      <c r="S28" s="381"/>
      <c r="T28" s="381"/>
      <c r="U28" s="382"/>
    </row>
    <row r="29" spans="1:21" ht="15" customHeight="1" x14ac:dyDescent="0.25">
      <c r="A29" s="387"/>
      <c r="C29" s="100" t="s">
        <v>230</v>
      </c>
      <c r="D29" s="138" t="s">
        <v>207</v>
      </c>
      <c r="E29" s="91" t="s">
        <v>207</v>
      </c>
      <c r="F29" s="91" t="s">
        <v>200</v>
      </c>
      <c r="G29" s="91" t="s">
        <v>215</v>
      </c>
      <c r="H29" s="91" t="s">
        <v>200</v>
      </c>
      <c r="I29" s="91" t="s">
        <v>200</v>
      </c>
      <c r="J29" s="91" t="s">
        <v>200</v>
      </c>
      <c r="K29" s="91" t="s">
        <v>200</v>
      </c>
      <c r="L29" s="91" t="s">
        <v>200</v>
      </c>
      <c r="M29" s="91" t="s">
        <v>200</v>
      </c>
      <c r="N29" s="91" t="s">
        <v>200</v>
      </c>
      <c r="O29" s="91" t="s">
        <v>200</v>
      </c>
      <c r="P29" s="101"/>
      <c r="Q29" s="380"/>
      <c r="R29" s="381"/>
      <c r="S29" s="381"/>
      <c r="T29" s="381"/>
      <c r="U29" s="382"/>
    </row>
    <row r="30" spans="1:21" ht="15.75" customHeight="1" x14ac:dyDescent="0.25">
      <c r="A30" s="387"/>
      <c r="C30" s="73" t="s">
        <v>231</v>
      </c>
      <c r="D30" s="138" t="s">
        <v>207</v>
      </c>
      <c r="E30" s="91" t="s">
        <v>207</v>
      </c>
      <c r="F30" s="91" t="s">
        <v>200</v>
      </c>
      <c r="G30" s="91" t="s">
        <v>215</v>
      </c>
      <c r="H30" s="91" t="s">
        <v>200</v>
      </c>
      <c r="I30" s="91" t="s">
        <v>200</v>
      </c>
      <c r="J30" s="91" t="s">
        <v>200</v>
      </c>
      <c r="K30" s="91" t="s">
        <v>200</v>
      </c>
      <c r="L30" s="91" t="s">
        <v>200</v>
      </c>
      <c r="M30" s="91" t="s">
        <v>200</v>
      </c>
      <c r="N30" s="91" t="s">
        <v>207</v>
      </c>
      <c r="O30" s="91" t="s">
        <v>200</v>
      </c>
      <c r="Q30" s="402"/>
      <c r="R30" s="381"/>
      <c r="S30" s="381"/>
      <c r="T30" s="381"/>
      <c r="U30" s="403"/>
    </row>
    <row r="31" spans="1:21" ht="15" customHeight="1" x14ac:dyDescent="0.25">
      <c r="A31" s="333"/>
      <c r="C31" s="80" t="s">
        <v>254</v>
      </c>
      <c r="D31" s="138" t="s">
        <v>200</v>
      </c>
      <c r="E31" s="91" t="s">
        <v>207</v>
      </c>
      <c r="F31" s="91" t="s">
        <v>200</v>
      </c>
      <c r="G31" s="91" t="s">
        <v>200</v>
      </c>
      <c r="H31" s="91" t="s">
        <v>200</v>
      </c>
      <c r="I31" s="91" t="s">
        <v>200</v>
      </c>
      <c r="J31" s="91" t="s">
        <v>200</v>
      </c>
      <c r="K31" s="91" t="s">
        <v>200</v>
      </c>
      <c r="L31" s="91" t="s">
        <v>200</v>
      </c>
      <c r="M31" s="91" t="s">
        <v>200</v>
      </c>
      <c r="N31" s="91" t="s">
        <v>200</v>
      </c>
      <c r="O31" s="91" t="s">
        <v>200</v>
      </c>
      <c r="Q31" s="402"/>
      <c r="R31" s="381"/>
      <c r="S31" s="381"/>
      <c r="T31" s="381"/>
      <c r="U31" s="403"/>
    </row>
    <row r="32" spans="1:21" ht="15.75" customHeight="1" x14ac:dyDescent="0.25">
      <c r="A32" s="395" t="s">
        <v>233</v>
      </c>
      <c r="B32" s="341"/>
      <c r="C32" s="341"/>
      <c r="D32" s="110">
        <v>2</v>
      </c>
      <c r="E32" s="110">
        <v>0</v>
      </c>
      <c r="F32" s="110">
        <v>2</v>
      </c>
      <c r="G32" s="110">
        <v>2</v>
      </c>
      <c r="H32" s="110">
        <v>2</v>
      </c>
      <c r="I32" s="110">
        <v>2</v>
      </c>
      <c r="J32" s="110">
        <v>2</v>
      </c>
      <c r="K32" s="110">
        <v>2</v>
      </c>
      <c r="L32" s="110">
        <v>2</v>
      </c>
      <c r="M32" s="64">
        <v>2</v>
      </c>
      <c r="N32" s="64">
        <v>2</v>
      </c>
      <c r="O32" s="64">
        <v>2</v>
      </c>
      <c r="Q32" s="402"/>
      <c r="R32" s="381"/>
      <c r="S32" s="381"/>
      <c r="T32" s="381"/>
      <c r="U32" s="403"/>
    </row>
    <row r="33" spans="1:21" ht="15" customHeight="1" x14ac:dyDescent="0.25">
      <c r="A33" s="76"/>
      <c r="C33" s="73" t="s">
        <v>83</v>
      </c>
      <c r="D33" s="91" t="s">
        <v>200</v>
      </c>
      <c r="E33" s="91" t="s">
        <v>207</v>
      </c>
      <c r="F33" s="91" t="s">
        <v>200</v>
      </c>
      <c r="G33" s="91" t="s">
        <v>200</v>
      </c>
      <c r="H33" s="91" t="s">
        <v>200</v>
      </c>
      <c r="I33" s="91" t="s">
        <v>200</v>
      </c>
      <c r="J33" s="91" t="s">
        <v>200</v>
      </c>
      <c r="K33" s="91" t="s">
        <v>200</v>
      </c>
      <c r="L33" s="91" t="s">
        <v>200</v>
      </c>
      <c r="M33" s="91" t="s">
        <v>200</v>
      </c>
      <c r="N33" s="91" t="s">
        <v>200</v>
      </c>
      <c r="O33" s="91" t="s">
        <v>200</v>
      </c>
      <c r="Q33" s="402"/>
      <c r="R33" s="381"/>
      <c r="S33" s="381"/>
      <c r="T33" s="381"/>
      <c r="U33" s="403"/>
    </row>
    <row r="34" spans="1:21" ht="15.75" customHeight="1" x14ac:dyDescent="0.25">
      <c r="A34" s="76"/>
      <c r="C34" s="77" t="s">
        <v>234</v>
      </c>
      <c r="D34" s="138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Q34" s="402"/>
      <c r="R34" s="381"/>
      <c r="S34" s="381"/>
      <c r="T34" s="381"/>
      <c r="U34" s="403"/>
    </row>
    <row r="35" spans="1:21" ht="15.75" customHeight="1" x14ac:dyDescent="0.25">
      <c r="A35" s="76"/>
      <c r="C35" s="74" t="s">
        <v>85</v>
      </c>
      <c r="D35" s="91" t="s">
        <v>200</v>
      </c>
      <c r="E35" s="230"/>
      <c r="F35" s="230"/>
      <c r="G35" s="91"/>
      <c r="H35" s="91" t="s">
        <v>200</v>
      </c>
      <c r="I35" s="230"/>
      <c r="J35" s="91"/>
      <c r="K35" s="91"/>
      <c r="L35" s="91" t="s">
        <v>200</v>
      </c>
      <c r="M35" s="91"/>
      <c r="N35" s="91"/>
      <c r="O35" s="91"/>
      <c r="Q35" s="402"/>
      <c r="R35" s="381"/>
      <c r="S35" s="381"/>
      <c r="T35" s="381"/>
      <c r="U35" s="403"/>
    </row>
    <row r="36" spans="1:21" ht="15.75" customHeight="1" x14ac:dyDescent="0.25">
      <c r="A36" s="392" t="s">
        <v>235</v>
      </c>
      <c r="B36" s="341"/>
      <c r="C36" s="341"/>
      <c r="D36" s="111" t="s">
        <v>255</v>
      </c>
      <c r="E36" s="134" t="s">
        <v>255</v>
      </c>
      <c r="F36" s="134" t="s">
        <v>255</v>
      </c>
      <c r="G36" s="134" t="s">
        <v>238</v>
      </c>
      <c r="H36" s="134" t="s">
        <v>239</v>
      </c>
      <c r="I36" s="134"/>
      <c r="J36" s="134" t="s">
        <v>240</v>
      </c>
      <c r="K36" s="134" t="s">
        <v>236</v>
      </c>
      <c r="L36" s="134" t="s">
        <v>240</v>
      </c>
      <c r="M36" s="136" t="s">
        <v>240</v>
      </c>
      <c r="N36" s="136" t="s">
        <v>240</v>
      </c>
      <c r="O36" s="134" t="s">
        <v>240</v>
      </c>
      <c r="Q36" s="402"/>
      <c r="R36" s="381"/>
      <c r="S36" s="381"/>
      <c r="T36" s="381"/>
      <c r="U36" s="403"/>
    </row>
    <row r="37" spans="1:21" ht="15.75" customHeight="1" x14ac:dyDescent="0.2">
      <c r="A37" s="82" t="s">
        <v>241</v>
      </c>
      <c r="Q37" s="402"/>
      <c r="R37" s="381"/>
      <c r="S37" s="381"/>
      <c r="T37" s="381"/>
      <c r="U37" s="403"/>
    </row>
    <row r="38" spans="1:21" ht="15.75" customHeight="1" x14ac:dyDescent="0.2">
      <c r="Q38" s="402"/>
      <c r="R38" s="381"/>
      <c r="S38" s="381"/>
      <c r="T38" s="381"/>
      <c r="U38" s="403"/>
    </row>
    <row r="39" spans="1:21" ht="15.75" customHeight="1" x14ac:dyDescent="0.2">
      <c r="Q39" s="402"/>
      <c r="R39" s="381"/>
      <c r="S39" s="381"/>
      <c r="T39" s="381"/>
      <c r="U39" s="403"/>
    </row>
    <row r="40" spans="1:21" ht="15.75" customHeight="1" x14ac:dyDescent="0.2">
      <c r="Q40" s="402"/>
      <c r="R40" s="381"/>
      <c r="S40" s="381"/>
      <c r="T40" s="381"/>
      <c r="U40" s="403"/>
    </row>
    <row r="41" spans="1:21" ht="15.75" customHeight="1" x14ac:dyDescent="0.2">
      <c r="Q41" s="402"/>
      <c r="R41" s="381"/>
      <c r="S41" s="381"/>
      <c r="T41" s="381"/>
      <c r="U41" s="403"/>
    </row>
    <row r="42" spans="1:21" ht="15.75" customHeight="1" x14ac:dyDescent="0.2">
      <c r="Q42" s="402"/>
      <c r="R42" s="381"/>
      <c r="S42" s="381"/>
      <c r="T42" s="381"/>
      <c r="U42" s="403"/>
    </row>
    <row r="43" spans="1:21" ht="15.75" customHeight="1" x14ac:dyDescent="0.2">
      <c r="Q43" s="399"/>
      <c r="R43" s="400"/>
      <c r="S43" s="400"/>
      <c r="T43" s="400"/>
      <c r="U43" s="401"/>
    </row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31">
    <mergeCell ref="A2:O2"/>
    <mergeCell ref="A32:C32"/>
    <mergeCell ref="Q29:U29"/>
    <mergeCell ref="Q38:U38"/>
    <mergeCell ref="A8:A31"/>
    <mergeCell ref="Q26:U26"/>
    <mergeCell ref="Q35:U35"/>
    <mergeCell ref="Q31:U31"/>
    <mergeCell ref="Q34:U34"/>
    <mergeCell ref="A5:B5"/>
    <mergeCell ref="Q36:U36"/>
    <mergeCell ref="Q27:U27"/>
    <mergeCell ref="Q30:U30"/>
    <mergeCell ref="A4:B4"/>
    <mergeCell ref="A36:C36"/>
    <mergeCell ref="Q32:U32"/>
    <mergeCell ref="Q25:U25"/>
    <mergeCell ref="Q43:U43"/>
    <mergeCell ref="Q28:U28"/>
    <mergeCell ref="Q37:U37"/>
    <mergeCell ref="I4:O4"/>
    <mergeCell ref="Q33:U33"/>
    <mergeCell ref="K5:O5"/>
    <mergeCell ref="Q24:U24"/>
    <mergeCell ref="Q42:U42"/>
    <mergeCell ref="Q39:U39"/>
    <mergeCell ref="Q40:U40"/>
    <mergeCell ref="Q41:U41"/>
    <mergeCell ref="A6:O6"/>
    <mergeCell ref="Q6:T6"/>
    <mergeCell ref="A7:C7"/>
  </mergeCells>
  <conditionalFormatting sqref="N9:N11 N13:N19 N21:N27 N29:N31 N33:N35">
    <cfRule type="cellIs" dxfId="5447" priority="198" operator="equal">
      <formula>"NI"</formula>
    </cfRule>
    <cfRule type="cellIs" dxfId="5446" priority="199" operator="equal">
      <formula>"N"</formula>
    </cfRule>
    <cfRule type="cellIs" dxfId="5445" priority="200" operator="equal">
      <formula>"P"</formula>
    </cfRule>
    <cfRule type="cellIs" dxfId="5444" priority="201" operator="equal">
      <formula>"J"</formula>
    </cfRule>
  </conditionalFormatting>
  <conditionalFormatting sqref="M9:M11 M13:M19 M21:M27 M29:M31 M33:M35">
    <cfRule type="cellIs" dxfId="5443" priority="202" operator="equal">
      <formula>"NI"</formula>
    </cfRule>
    <cfRule type="cellIs" dxfId="5442" priority="203" operator="equal">
      <formula>"N"</formula>
    </cfRule>
    <cfRule type="cellIs" dxfId="5441" priority="204" operator="equal">
      <formula>"P"</formula>
    </cfRule>
    <cfRule type="cellIs" dxfId="5440" priority="205" operator="equal">
      <formula>"J"</formula>
    </cfRule>
  </conditionalFormatting>
  <conditionalFormatting sqref="O9:O11 O13:O19 O21:O27 O29:O31 O33:O35">
    <cfRule type="cellIs" dxfId="5439" priority="206" operator="equal">
      <formula>"NI"</formula>
    </cfRule>
    <cfRule type="cellIs" dxfId="5438" priority="207" operator="equal">
      <formula>"N"</formula>
    </cfRule>
    <cfRule type="cellIs" dxfId="5437" priority="208" operator="equal">
      <formula>"P"</formula>
    </cfRule>
    <cfRule type="cellIs" dxfId="5436" priority="209" operator="equal">
      <formula>"J"</formula>
    </cfRule>
  </conditionalFormatting>
  <conditionalFormatting sqref="I9:I11 I13:I19 I21:I27 I29:I31 I34:I35">
    <cfRule type="cellIs" dxfId="5435" priority="89" operator="equal">
      <formula>"NI"</formula>
    </cfRule>
    <cfRule type="cellIs" dxfId="5434" priority="90" operator="equal">
      <formula>"N"</formula>
    </cfRule>
    <cfRule type="cellIs" dxfId="5433" priority="91" operator="equal">
      <formula>"P"</formula>
    </cfRule>
    <cfRule type="cellIs" dxfId="5432" priority="92" operator="equal">
      <formula>"J"</formula>
    </cfRule>
  </conditionalFormatting>
  <conditionalFormatting sqref="I33">
    <cfRule type="cellIs" dxfId="5431" priority="85" operator="equal">
      <formula>"NI"</formula>
    </cfRule>
    <cfRule type="cellIs" dxfId="5430" priority="86" operator="equal">
      <formula>"N"</formula>
    </cfRule>
    <cfRule type="cellIs" dxfId="5429" priority="87" operator="equal">
      <formula>"P"</formula>
    </cfRule>
    <cfRule type="cellIs" dxfId="5428" priority="88" operator="equal">
      <formula>"J"</formula>
    </cfRule>
  </conditionalFormatting>
  <conditionalFormatting sqref="J9:J11 J13:J19 J21:J27 J29:J31 J33:J35">
    <cfRule type="cellIs" dxfId="5427" priority="81" operator="equal">
      <formula>"NI"</formula>
    </cfRule>
    <cfRule type="cellIs" dxfId="5426" priority="82" operator="equal">
      <formula>"N"</formula>
    </cfRule>
    <cfRule type="cellIs" dxfId="5425" priority="83" operator="equal">
      <formula>"P"</formula>
    </cfRule>
    <cfRule type="cellIs" dxfId="5424" priority="84" operator="equal">
      <formula>"J"</formula>
    </cfRule>
  </conditionalFormatting>
  <conditionalFormatting sqref="K9:K11 K13:K19 K21:K27 K29:K31 K33:K35">
    <cfRule type="cellIs" dxfId="5423" priority="77" operator="equal">
      <formula>"NI"</formula>
    </cfRule>
    <cfRule type="cellIs" dxfId="5422" priority="78" operator="equal">
      <formula>"N"</formula>
    </cfRule>
    <cfRule type="cellIs" dxfId="5421" priority="79" operator="equal">
      <formula>"P"</formula>
    </cfRule>
    <cfRule type="cellIs" dxfId="5420" priority="80" operator="equal">
      <formula>"J"</formula>
    </cfRule>
  </conditionalFormatting>
  <conditionalFormatting sqref="L9:L11 L13:L19 L21:L27 L29:L31 L33:L35">
    <cfRule type="cellIs" dxfId="5419" priority="73" operator="equal">
      <formula>"NI"</formula>
    </cfRule>
    <cfRule type="cellIs" dxfId="5418" priority="74" operator="equal">
      <formula>"N"</formula>
    </cfRule>
    <cfRule type="cellIs" dxfId="5417" priority="75" operator="equal">
      <formula>"P"</formula>
    </cfRule>
    <cfRule type="cellIs" dxfId="5416" priority="76" operator="equal">
      <formula>"J"</formula>
    </cfRule>
  </conditionalFormatting>
  <conditionalFormatting sqref="D9:D11 D13:D17 D19 D21:D25 D27 D29:D31 D34">
    <cfRule type="cellIs" dxfId="5415" priority="69" operator="equal">
      <formula>"NI"</formula>
    </cfRule>
    <cfRule type="cellIs" dxfId="5414" priority="70" operator="equal">
      <formula>"N"</formula>
    </cfRule>
    <cfRule type="cellIs" dxfId="5413" priority="71" operator="equal">
      <formula>"P"</formula>
    </cfRule>
    <cfRule type="cellIs" dxfId="5412" priority="72" operator="equal">
      <formula>"J"</formula>
    </cfRule>
  </conditionalFormatting>
  <conditionalFormatting sqref="D33">
    <cfRule type="cellIs" dxfId="5411" priority="65" operator="equal">
      <formula>"NI"</formula>
    </cfRule>
    <cfRule type="cellIs" dxfId="5410" priority="66" operator="equal">
      <formula>"N"</formula>
    </cfRule>
    <cfRule type="cellIs" dxfId="5409" priority="67" operator="equal">
      <formula>"P"</formula>
    </cfRule>
    <cfRule type="cellIs" dxfId="5408" priority="68" operator="equal">
      <formula>"J"</formula>
    </cfRule>
  </conditionalFormatting>
  <conditionalFormatting sqref="D35">
    <cfRule type="cellIs" dxfId="5407" priority="61" operator="equal">
      <formula>"NI"</formula>
    </cfRule>
    <cfRule type="cellIs" dxfId="5406" priority="62" operator="equal">
      <formula>"N"</formula>
    </cfRule>
    <cfRule type="cellIs" dxfId="5405" priority="63" operator="equal">
      <formula>"P"</formula>
    </cfRule>
    <cfRule type="cellIs" dxfId="5404" priority="64" operator="equal">
      <formula>"J"</formula>
    </cfRule>
  </conditionalFormatting>
  <conditionalFormatting sqref="E9:E11 E13:E17 E21:E25 E27 E29:E31 E34:E35">
    <cfRule type="cellIs" dxfId="5403" priority="57" operator="equal">
      <formula>"NI"</formula>
    </cfRule>
    <cfRule type="cellIs" dxfId="5402" priority="58" operator="equal">
      <formula>"N"</formula>
    </cfRule>
    <cfRule type="cellIs" dxfId="5401" priority="59" operator="equal">
      <formula>"P"</formula>
    </cfRule>
    <cfRule type="cellIs" dxfId="5400" priority="60" operator="equal">
      <formula>"J"</formula>
    </cfRule>
  </conditionalFormatting>
  <conditionalFormatting sqref="E33">
    <cfRule type="cellIs" dxfId="5399" priority="53" operator="equal">
      <formula>"NI"</formula>
    </cfRule>
    <cfRule type="cellIs" dxfId="5398" priority="54" operator="equal">
      <formula>"N"</formula>
    </cfRule>
    <cfRule type="cellIs" dxfId="5397" priority="55" operator="equal">
      <formula>"P"</formula>
    </cfRule>
    <cfRule type="cellIs" dxfId="5396" priority="56" operator="equal">
      <formula>"J"</formula>
    </cfRule>
  </conditionalFormatting>
  <conditionalFormatting sqref="F9:F11 F13:F17 F19 F21:F25 F27 F29:F31 F34:F35">
    <cfRule type="cellIs" dxfId="5395" priority="49" operator="equal">
      <formula>"NI"</formula>
    </cfRule>
    <cfRule type="cellIs" dxfId="5394" priority="50" operator="equal">
      <formula>"N"</formula>
    </cfRule>
    <cfRule type="cellIs" dxfId="5393" priority="51" operator="equal">
      <formula>"P"</formula>
    </cfRule>
    <cfRule type="cellIs" dxfId="5392" priority="52" operator="equal">
      <formula>"J"</formula>
    </cfRule>
  </conditionalFormatting>
  <conditionalFormatting sqref="F33">
    <cfRule type="cellIs" dxfId="5391" priority="45" operator="equal">
      <formula>"NI"</formula>
    </cfRule>
    <cfRule type="cellIs" dxfId="5390" priority="46" operator="equal">
      <formula>"N"</formula>
    </cfRule>
    <cfRule type="cellIs" dxfId="5389" priority="47" operator="equal">
      <formula>"P"</formula>
    </cfRule>
    <cfRule type="cellIs" dxfId="5388" priority="48" operator="equal">
      <formula>"J"</formula>
    </cfRule>
  </conditionalFormatting>
  <conditionalFormatting sqref="D18">
    <cfRule type="cellIs" dxfId="5387" priority="41" operator="equal">
      <formula>"NI"</formula>
    </cfRule>
    <cfRule type="cellIs" dxfId="5386" priority="42" operator="equal">
      <formula>"N"</formula>
    </cfRule>
    <cfRule type="cellIs" dxfId="5385" priority="43" operator="equal">
      <formula>"P"</formula>
    </cfRule>
    <cfRule type="cellIs" dxfId="5384" priority="44" operator="equal">
      <formula>"J"</formula>
    </cfRule>
  </conditionalFormatting>
  <conditionalFormatting sqref="E18:E19">
    <cfRule type="cellIs" dxfId="5383" priority="37" operator="equal">
      <formula>"NI"</formula>
    </cfRule>
    <cfRule type="cellIs" dxfId="5382" priority="38" operator="equal">
      <formula>"N"</formula>
    </cfRule>
    <cfRule type="cellIs" dxfId="5381" priority="39" operator="equal">
      <formula>"P"</formula>
    </cfRule>
    <cfRule type="cellIs" dxfId="5380" priority="40" operator="equal">
      <formula>"J"</formula>
    </cfRule>
  </conditionalFormatting>
  <conditionalFormatting sqref="F18">
    <cfRule type="cellIs" dxfId="5379" priority="33" operator="equal">
      <formula>"NI"</formula>
    </cfRule>
    <cfRule type="cellIs" dxfId="5378" priority="34" operator="equal">
      <formula>"N"</formula>
    </cfRule>
    <cfRule type="cellIs" dxfId="5377" priority="35" operator="equal">
      <formula>"P"</formula>
    </cfRule>
    <cfRule type="cellIs" dxfId="5376" priority="36" operator="equal">
      <formula>"J"</formula>
    </cfRule>
  </conditionalFormatting>
  <conditionalFormatting sqref="D26">
    <cfRule type="cellIs" dxfId="5375" priority="29" operator="equal">
      <formula>"NI"</formula>
    </cfRule>
    <cfRule type="cellIs" dxfId="5374" priority="30" operator="equal">
      <formula>"N"</formula>
    </cfRule>
    <cfRule type="cellIs" dxfId="5373" priority="31" operator="equal">
      <formula>"P"</formula>
    </cfRule>
    <cfRule type="cellIs" dxfId="5372" priority="32" operator="equal">
      <formula>"J"</formula>
    </cfRule>
  </conditionalFormatting>
  <conditionalFormatting sqref="E26">
    <cfRule type="cellIs" dxfId="5371" priority="25" operator="equal">
      <formula>"NI"</formula>
    </cfRule>
    <cfRule type="cellIs" dxfId="5370" priority="26" operator="equal">
      <formula>"N"</formula>
    </cfRule>
    <cfRule type="cellIs" dxfId="5369" priority="27" operator="equal">
      <formula>"P"</formula>
    </cfRule>
    <cfRule type="cellIs" dxfId="5368" priority="28" operator="equal">
      <formula>"J"</formula>
    </cfRule>
  </conditionalFormatting>
  <conditionalFormatting sqref="F26">
    <cfRule type="cellIs" dxfId="5367" priority="21" operator="equal">
      <formula>"NI"</formula>
    </cfRule>
    <cfRule type="cellIs" dxfId="5366" priority="22" operator="equal">
      <formula>"N"</formula>
    </cfRule>
    <cfRule type="cellIs" dxfId="5365" priority="23" operator="equal">
      <formula>"P"</formula>
    </cfRule>
    <cfRule type="cellIs" dxfId="5364" priority="24" operator="equal">
      <formula>"J"</formula>
    </cfRule>
  </conditionalFormatting>
  <conditionalFormatting sqref="G9:G11 G13:G19 G21:G27 G29:G31 G34:G35">
    <cfRule type="cellIs" dxfId="5363" priority="17" operator="equal">
      <formula>"NI"</formula>
    </cfRule>
    <cfRule type="cellIs" dxfId="5362" priority="18" operator="equal">
      <formula>"N"</formula>
    </cfRule>
    <cfRule type="cellIs" dxfId="5361" priority="19" operator="equal">
      <formula>"P"</formula>
    </cfRule>
    <cfRule type="cellIs" dxfId="5360" priority="20" operator="equal">
      <formula>"J"</formula>
    </cfRule>
  </conditionalFormatting>
  <conditionalFormatting sqref="G33">
    <cfRule type="cellIs" dxfId="5359" priority="13" operator="equal">
      <formula>"NI"</formula>
    </cfRule>
    <cfRule type="cellIs" dxfId="5358" priority="14" operator="equal">
      <formula>"N"</formula>
    </cfRule>
    <cfRule type="cellIs" dxfId="5357" priority="15" operator="equal">
      <formula>"P"</formula>
    </cfRule>
    <cfRule type="cellIs" dxfId="5356" priority="16" operator="equal">
      <formula>"J"</formula>
    </cfRule>
  </conditionalFormatting>
  <conditionalFormatting sqref="H9:H11 H13:H19 H21:H27 H29:H31 H34">
    <cfRule type="cellIs" dxfId="5355" priority="9" operator="equal">
      <formula>"NI"</formula>
    </cfRule>
    <cfRule type="cellIs" dxfId="5354" priority="10" operator="equal">
      <formula>"N"</formula>
    </cfRule>
    <cfRule type="cellIs" dxfId="5353" priority="11" operator="equal">
      <formula>"P"</formula>
    </cfRule>
    <cfRule type="cellIs" dxfId="5352" priority="12" operator="equal">
      <formula>"J"</formula>
    </cfRule>
  </conditionalFormatting>
  <conditionalFormatting sqref="H33">
    <cfRule type="cellIs" dxfId="5351" priority="5" operator="equal">
      <formula>"NI"</formula>
    </cfRule>
    <cfRule type="cellIs" dxfId="5350" priority="6" operator="equal">
      <formula>"N"</formula>
    </cfRule>
    <cfRule type="cellIs" dxfId="5349" priority="7" operator="equal">
      <formula>"P"</formula>
    </cfRule>
    <cfRule type="cellIs" dxfId="5348" priority="8" operator="equal">
      <formula>"J"</formula>
    </cfRule>
  </conditionalFormatting>
  <conditionalFormatting sqref="H35">
    <cfRule type="cellIs" dxfId="5347" priority="1" operator="equal">
      <formula>"NI"</formula>
    </cfRule>
    <cfRule type="cellIs" dxfId="5346" priority="2" operator="equal">
      <formula>"N"</formula>
    </cfRule>
    <cfRule type="cellIs" dxfId="5345" priority="3" operator="equal">
      <formula>"P"</formula>
    </cfRule>
    <cfRule type="cellIs" dxfId="5344" priority="4" operator="equal">
      <formula>"J"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4"/>
  <sheetViews>
    <sheetView workbookViewId="0">
      <selection activeCell="R12" sqref="R12:T12"/>
    </sheetView>
  </sheetViews>
  <sheetFormatPr defaultColWidth="12.625" defaultRowHeight="14.25" x14ac:dyDescent="0.2"/>
  <cols>
    <col min="1" max="2" width="4.875" style="297" customWidth="1"/>
    <col min="3" max="3" width="54.875" style="297" customWidth="1"/>
    <col min="4" max="4" width="3.875" style="297" customWidth="1"/>
    <col min="5" max="5" width="3.75" style="297" customWidth="1"/>
    <col min="6" max="6" width="4.5" style="297" customWidth="1"/>
    <col min="7" max="8" width="4" style="297" customWidth="1"/>
    <col min="9" max="9" width="3.875" style="297" customWidth="1"/>
    <col min="10" max="10" width="3.375" style="297" customWidth="1"/>
    <col min="11" max="11" width="4.375" style="297" customWidth="1"/>
    <col min="12" max="12" width="3.5" style="297" customWidth="1"/>
    <col min="13" max="13" width="4.125" style="297" customWidth="1"/>
    <col min="14" max="14" width="4.5" style="297" customWidth="1"/>
    <col min="15" max="15" width="3.75" style="297" customWidth="1"/>
    <col min="16" max="16" width="2.25" style="297" customWidth="1"/>
    <col min="17" max="17" width="9.375" style="297" customWidth="1"/>
    <col min="18" max="18" width="10.5" style="297" customWidth="1"/>
    <col min="19" max="19" width="9.375" style="297" customWidth="1"/>
    <col min="20" max="20" width="14.75" style="297" customWidth="1"/>
    <col min="21" max="22" width="8" style="297" customWidth="1"/>
    <col min="23" max="23" width="19.625" style="297" customWidth="1"/>
    <col min="24" max="26" width="7.625" style="297" customWidth="1"/>
    <col min="27" max="1024" width="12.625" style="297" customWidth="1"/>
  </cols>
  <sheetData>
    <row r="1" spans="1:23" ht="3.75" customHeight="1" x14ac:dyDescent="0.2"/>
    <row r="2" spans="1:23" ht="18.75" customHeight="1" x14ac:dyDescent="0.3">
      <c r="A2" s="410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11" t="s">
        <v>243</v>
      </c>
      <c r="B4" s="408"/>
      <c r="C4" s="295"/>
      <c r="E4" s="142" t="s">
        <v>168</v>
      </c>
      <c r="I4" s="406" t="s">
        <v>256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11" t="s">
        <v>246</v>
      </c>
      <c r="B5" s="408"/>
      <c r="C5" s="296" t="s">
        <v>257</v>
      </c>
      <c r="E5" s="142" t="s">
        <v>171</v>
      </c>
      <c r="K5" s="407"/>
      <c r="L5" s="408"/>
      <c r="M5" s="408"/>
      <c r="N5" s="408"/>
      <c r="O5" s="408"/>
    </row>
    <row r="6" spans="1:23" ht="22.5" customHeight="1" x14ac:dyDescent="0.25">
      <c r="A6" s="41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14" t="s">
        <v>174</v>
      </c>
      <c r="R6" s="408"/>
      <c r="S6" s="408"/>
      <c r="T6" s="408"/>
    </row>
    <row r="7" spans="1:23" ht="15" customHeight="1" x14ac:dyDescent="0.25">
      <c r="A7" s="415" t="s">
        <v>175</v>
      </c>
      <c r="B7" s="341"/>
      <c r="C7" s="341"/>
      <c r="D7" s="143" t="s">
        <v>176</v>
      </c>
      <c r="E7" s="143" t="s">
        <v>177</v>
      </c>
      <c r="F7" s="143" t="s">
        <v>178</v>
      </c>
      <c r="G7" s="143" t="s">
        <v>179</v>
      </c>
      <c r="H7" s="143" t="s">
        <v>180</v>
      </c>
      <c r="I7" s="143" t="s">
        <v>181</v>
      </c>
      <c r="J7" s="143" t="s">
        <v>182</v>
      </c>
      <c r="K7" s="143" t="s">
        <v>183</v>
      </c>
      <c r="L7" s="143" t="s">
        <v>184</v>
      </c>
      <c r="M7" s="143" t="s">
        <v>185</v>
      </c>
      <c r="N7" s="143" t="s">
        <v>186</v>
      </c>
      <c r="O7" s="143" t="s">
        <v>187</v>
      </c>
      <c r="Q7" s="144" t="s">
        <v>188</v>
      </c>
      <c r="R7" s="144" t="s">
        <v>189</v>
      </c>
      <c r="S7" s="144" t="s">
        <v>190</v>
      </c>
      <c r="T7" s="144" t="s">
        <v>191</v>
      </c>
      <c r="V7" s="144" t="s">
        <v>192</v>
      </c>
      <c r="W7" s="298"/>
    </row>
    <row r="8" spans="1:23" ht="15" customHeight="1" x14ac:dyDescent="0.25">
      <c r="A8" s="409" t="s">
        <v>193</v>
      </c>
      <c r="B8" s="145" t="s">
        <v>194</v>
      </c>
      <c r="C8" s="146"/>
      <c r="D8" s="147">
        <v>2</v>
      </c>
      <c r="E8" s="147">
        <v>2</v>
      </c>
      <c r="F8" s="147">
        <v>2</v>
      </c>
      <c r="G8" s="147">
        <v>2</v>
      </c>
      <c r="H8" s="147">
        <v>2</v>
      </c>
      <c r="I8" s="147">
        <v>2</v>
      </c>
      <c r="J8" s="147">
        <v>2</v>
      </c>
      <c r="K8" s="147">
        <v>2</v>
      </c>
      <c r="L8" s="147">
        <v>2</v>
      </c>
      <c r="M8" s="147">
        <v>2</v>
      </c>
      <c r="N8" s="147">
        <v>2</v>
      </c>
      <c r="O8" s="147">
        <v>2</v>
      </c>
      <c r="Q8" s="148" t="s">
        <v>15</v>
      </c>
      <c r="R8" s="149">
        <v>45371</v>
      </c>
      <c r="S8" s="150">
        <v>0.41388888888888892</v>
      </c>
      <c r="T8" s="151" t="s">
        <v>203</v>
      </c>
      <c r="V8" s="72" t="s">
        <v>196</v>
      </c>
      <c r="W8" s="69" t="s">
        <v>197</v>
      </c>
    </row>
    <row r="9" spans="1:23" ht="15" customHeight="1" x14ac:dyDescent="0.25">
      <c r="A9" s="408"/>
      <c r="C9" s="88" t="s">
        <v>198</v>
      </c>
      <c r="D9" s="152"/>
      <c r="E9" s="152"/>
      <c r="F9" s="152"/>
      <c r="G9" s="152"/>
      <c r="H9" s="241"/>
      <c r="I9" s="153"/>
      <c r="J9" s="152"/>
      <c r="K9" s="152"/>
      <c r="L9" s="152"/>
      <c r="M9" s="152"/>
      <c r="N9" s="152"/>
      <c r="O9" s="152"/>
      <c r="Q9" s="154" t="s">
        <v>16</v>
      </c>
      <c r="R9" s="93">
        <v>45401</v>
      </c>
      <c r="S9" s="94">
        <v>0.3923611111111111</v>
      </c>
      <c r="T9" s="151" t="s">
        <v>203</v>
      </c>
      <c r="V9" s="72" t="s">
        <v>200</v>
      </c>
      <c r="W9" s="69" t="s">
        <v>201</v>
      </c>
    </row>
    <row r="10" spans="1:23" ht="15" customHeight="1" x14ac:dyDescent="0.25">
      <c r="A10" s="408"/>
      <c r="C10" s="155" t="s">
        <v>202</v>
      </c>
      <c r="D10" s="152"/>
      <c r="E10" s="152"/>
      <c r="F10" s="152"/>
      <c r="G10" s="152"/>
      <c r="H10" s="241"/>
      <c r="I10" s="153"/>
      <c r="J10" s="152"/>
      <c r="K10" s="152"/>
      <c r="L10" s="152"/>
      <c r="M10" s="152"/>
      <c r="N10" s="152"/>
      <c r="O10" s="152"/>
      <c r="Q10" s="154" t="s">
        <v>17</v>
      </c>
      <c r="R10" s="93">
        <v>45434</v>
      </c>
      <c r="S10" s="94">
        <v>0.37569444444444439</v>
      </c>
      <c r="T10" s="151" t="s">
        <v>203</v>
      </c>
      <c r="V10" s="75" t="s">
        <v>204</v>
      </c>
      <c r="W10" s="69" t="s">
        <v>205</v>
      </c>
    </row>
    <row r="11" spans="1:23" ht="15" customHeight="1" x14ac:dyDescent="0.25">
      <c r="A11" s="408"/>
      <c r="C11" s="99" t="s">
        <v>206</v>
      </c>
      <c r="D11" s="152" t="s">
        <v>200</v>
      </c>
      <c r="E11" s="152" t="s">
        <v>200</v>
      </c>
      <c r="F11" s="152" t="s">
        <v>200</v>
      </c>
      <c r="G11" s="152" t="s">
        <v>200</v>
      </c>
      <c r="H11" s="241" t="s">
        <v>200</v>
      </c>
      <c r="I11" s="153" t="s">
        <v>200</v>
      </c>
      <c r="J11" s="152" t="s">
        <v>200</v>
      </c>
      <c r="K11" s="152" t="s">
        <v>200</v>
      </c>
      <c r="L11" s="152" t="s">
        <v>200</v>
      </c>
      <c r="M11" s="152" t="s">
        <v>200</v>
      </c>
      <c r="N11" s="152" t="s">
        <v>200</v>
      </c>
      <c r="O11" s="152" t="s">
        <v>200</v>
      </c>
      <c r="Q11" s="154" t="s">
        <v>18</v>
      </c>
      <c r="R11" s="156">
        <v>45468</v>
      </c>
      <c r="S11" s="157">
        <v>0.74375000000000002</v>
      </c>
      <c r="T11" s="151" t="s">
        <v>249</v>
      </c>
      <c r="V11" s="75" t="s">
        <v>207</v>
      </c>
      <c r="W11" s="69" t="s">
        <v>208</v>
      </c>
    </row>
    <row r="12" spans="1:23" ht="15" customHeight="1" x14ac:dyDescent="0.25">
      <c r="A12" s="408"/>
      <c r="B12" s="145" t="s">
        <v>209</v>
      </c>
      <c r="C12" s="146"/>
      <c r="D12" s="147">
        <v>2</v>
      </c>
      <c r="E12" s="147">
        <v>2</v>
      </c>
      <c r="F12" s="147">
        <v>2</v>
      </c>
      <c r="G12" s="147">
        <v>2</v>
      </c>
      <c r="H12" s="147">
        <v>2</v>
      </c>
      <c r="I12" s="147">
        <v>2</v>
      </c>
      <c r="J12" s="147">
        <v>2</v>
      </c>
      <c r="K12" s="147">
        <v>2</v>
      </c>
      <c r="L12" s="147">
        <v>2</v>
      </c>
      <c r="M12" s="147">
        <v>2</v>
      </c>
      <c r="N12" s="147">
        <v>2</v>
      </c>
      <c r="O12" s="147">
        <v>2</v>
      </c>
      <c r="Q12" s="154" t="s">
        <v>19</v>
      </c>
      <c r="R12" s="93">
        <v>45511</v>
      </c>
      <c r="S12" s="94">
        <v>0.38958333333333328</v>
      </c>
      <c r="T12" s="151" t="s">
        <v>210</v>
      </c>
    </row>
    <row r="13" spans="1:23" ht="15" customHeight="1" x14ac:dyDescent="0.25">
      <c r="A13" s="408"/>
      <c r="C13" s="158" t="s">
        <v>258</v>
      </c>
      <c r="D13" s="152" t="s">
        <v>200</v>
      </c>
      <c r="E13" s="152" t="s">
        <v>200</v>
      </c>
      <c r="F13" s="152" t="s">
        <v>200</v>
      </c>
      <c r="G13" s="152" t="s">
        <v>200</v>
      </c>
      <c r="H13" s="241" t="s">
        <v>200</v>
      </c>
      <c r="I13" s="153" t="s">
        <v>200</v>
      </c>
      <c r="J13" s="152" t="s">
        <v>200</v>
      </c>
      <c r="K13" s="152" t="s">
        <v>200</v>
      </c>
      <c r="L13" s="152" t="s">
        <v>200</v>
      </c>
      <c r="M13" s="152" t="s">
        <v>200</v>
      </c>
      <c r="N13" s="152" t="s">
        <v>200</v>
      </c>
      <c r="O13" s="152" t="s">
        <v>200</v>
      </c>
      <c r="Q13" s="154" t="s">
        <v>20</v>
      </c>
      <c r="R13" s="159">
        <v>45532</v>
      </c>
      <c r="S13" s="160">
        <v>0.38958333333333328</v>
      </c>
      <c r="T13" s="161" t="s">
        <v>249</v>
      </c>
    </row>
    <row r="14" spans="1:23" ht="15" customHeight="1" x14ac:dyDescent="0.25">
      <c r="A14" s="408"/>
      <c r="C14" s="158" t="s">
        <v>217</v>
      </c>
      <c r="D14" s="152" t="s">
        <v>200</v>
      </c>
      <c r="E14" s="152" t="s">
        <v>200</v>
      </c>
      <c r="F14" s="152" t="s">
        <v>200</v>
      </c>
      <c r="G14" s="152" t="s">
        <v>200</v>
      </c>
      <c r="H14" s="241" t="s">
        <v>200</v>
      </c>
      <c r="I14" s="153" t="s">
        <v>200</v>
      </c>
      <c r="J14" s="152" t="s">
        <v>200</v>
      </c>
      <c r="K14" s="152" t="s">
        <v>200</v>
      </c>
      <c r="L14" s="152" t="s">
        <v>200</v>
      </c>
      <c r="M14" s="152" t="s">
        <v>200</v>
      </c>
      <c r="N14" s="152" t="s">
        <v>200</v>
      </c>
      <c r="O14" s="152" t="s">
        <v>200</v>
      </c>
      <c r="Q14" s="154" t="s">
        <v>21</v>
      </c>
      <c r="R14" s="162">
        <v>45566</v>
      </c>
      <c r="S14" s="163">
        <v>0.43194444444444452</v>
      </c>
      <c r="T14" s="161" t="s">
        <v>210</v>
      </c>
    </row>
    <row r="15" spans="1:23" ht="15" customHeight="1" x14ac:dyDescent="0.25">
      <c r="A15" s="408"/>
      <c r="C15" s="158" t="s">
        <v>218</v>
      </c>
      <c r="D15" s="152" t="s">
        <v>200</v>
      </c>
      <c r="E15" s="152" t="s">
        <v>200</v>
      </c>
      <c r="F15" s="152" t="s">
        <v>200</v>
      </c>
      <c r="G15" s="152" t="s">
        <v>200</v>
      </c>
      <c r="H15" s="241" t="s">
        <v>200</v>
      </c>
      <c r="I15" s="153" t="s">
        <v>200</v>
      </c>
      <c r="J15" s="152" t="s">
        <v>200</v>
      </c>
      <c r="K15" s="152" t="s">
        <v>200</v>
      </c>
      <c r="L15" s="152" t="s">
        <v>200</v>
      </c>
      <c r="M15" s="152" t="s">
        <v>200</v>
      </c>
      <c r="N15" s="152" t="s">
        <v>200</v>
      </c>
      <c r="O15" s="152" t="s">
        <v>200</v>
      </c>
      <c r="Q15" s="154" t="s">
        <v>22</v>
      </c>
      <c r="R15" s="162">
        <v>45589</v>
      </c>
      <c r="S15" s="163">
        <v>0.50277777777777777</v>
      </c>
      <c r="T15" s="161" t="s">
        <v>210</v>
      </c>
    </row>
    <row r="16" spans="1:23" ht="15" customHeight="1" x14ac:dyDescent="0.25">
      <c r="A16" s="408"/>
      <c r="C16" s="158" t="s">
        <v>214</v>
      </c>
      <c r="D16" s="152" t="s">
        <v>200</v>
      </c>
      <c r="E16" s="152" t="s">
        <v>200</v>
      </c>
      <c r="F16" s="152" t="s">
        <v>200</v>
      </c>
      <c r="G16" s="152" t="s">
        <v>200</v>
      </c>
      <c r="H16" s="241" t="s">
        <v>200</v>
      </c>
      <c r="I16" s="153" t="s">
        <v>200</v>
      </c>
      <c r="J16" s="152" t="s">
        <v>200</v>
      </c>
      <c r="K16" s="152" t="s">
        <v>200</v>
      </c>
      <c r="L16" s="152" t="s">
        <v>200</v>
      </c>
      <c r="M16" s="152" t="s">
        <v>200</v>
      </c>
      <c r="N16" s="152" t="s">
        <v>200</v>
      </c>
      <c r="O16" s="152" t="s">
        <v>200</v>
      </c>
      <c r="Q16" s="154" t="s">
        <v>23</v>
      </c>
      <c r="R16" s="162">
        <v>45638</v>
      </c>
      <c r="S16" s="163">
        <v>0.40138888888888891</v>
      </c>
      <c r="T16" s="164" t="s">
        <v>210</v>
      </c>
    </row>
    <row r="17" spans="1:21" ht="15" customHeight="1" x14ac:dyDescent="0.25">
      <c r="A17" s="408"/>
      <c r="B17" s="145" t="s">
        <v>220</v>
      </c>
      <c r="C17" s="146"/>
      <c r="D17" s="147">
        <v>2</v>
      </c>
      <c r="E17" s="147">
        <v>2</v>
      </c>
      <c r="F17" s="147">
        <v>2</v>
      </c>
      <c r="G17" s="147">
        <v>2</v>
      </c>
      <c r="H17" s="147">
        <v>2</v>
      </c>
      <c r="I17" s="147">
        <v>2</v>
      </c>
      <c r="J17" s="147">
        <v>2</v>
      </c>
      <c r="K17" s="147">
        <v>2</v>
      </c>
      <c r="L17" s="147">
        <v>2</v>
      </c>
      <c r="M17" s="147">
        <v>2</v>
      </c>
      <c r="N17" s="147">
        <v>2</v>
      </c>
      <c r="O17" s="147">
        <v>2</v>
      </c>
      <c r="Q17" s="154" t="s">
        <v>24</v>
      </c>
      <c r="R17" s="162">
        <v>45673</v>
      </c>
      <c r="S17" s="163">
        <v>0.39444444444444438</v>
      </c>
      <c r="T17" s="164" t="s">
        <v>210</v>
      </c>
    </row>
    <row r="18" spans="1:21" ht="15" customHeight="1" x14ac:dyDescent="0.25">
      <c r="A18" s="408"/>
      <c r="C18" s="158" t="s">
        <v>259</v>
      </c>
      <c r="D18" s="152" t="s">
        <v>200</v>
      </c>
      <c r="E18" s="152" t="s">
        <v>200</v>
      </c>
      <c r="F18" s="152" t="s">
        <v>200</v>
      </c>
      <c r="G18" s="152" t="s">
        <v>200</v>
      </c>
      <c r="H18" s="241" t="s">
        <v>200</v>
      </c>
      <c r="I18" s="153" t="s">
        <v>200</v>
      </c>
      <c r="J18" s="152" t="s">
        <v>200</v>
      </c>
      <c r="K18" s="152" t="s">
        <v>200</v>
      </c>
      <c r="L18" s="152" t="s">
        <v>200</v>
      </c>
      <c r="M18" s="152" t="s">
        <v>200</v>
      </c>
      <c r="N18" s="152" t="s">
        <v>200</v>
      </c>
      <c r="O18" s="152" t="s">
        <v>200</v>
      </c>
      <c r="Q18" s="154" t="s">
        <v>25</v>
      </c>
      <c r="R18" s="162">
        <v>45687</v>
      </c>
      <c r="S18" s="163" t="s">
        <v>260</v>
      </c>
      <c r="T18" s="164" t="s">
        <v>213</v>
      </c>
    </row>
    <row r="19" spans="1:21" ht="15" customHeight="1" x14ac:dyDescent="0.25">
      <c r="A19" s="408"/>
      <c r="C19" s="158" t="s">
        <v>226</v>
      </c>
      <c r="D19" s="152" t="s">
        <v>200</v>
      </c>
      <c r="E19" s="152" t="s">
        <v>200</v>
      </c>
      <c r="F19" s="152" t="s">
        <v>200</v>
      </c>
      <c r="G19" s="152" t="s">
        <v>200</v>
      </c>
      <c r="H19" s="241" t="s">
        <v>200</v>
      </c>
      <c r="I19" s="153" t="s">
        <v>200</v>
      </c>
      <c r="J19" s="152" t="s">
        <v>200</v>
      </c>
      <c r="K19" s="152" t="s">
        <v>200</v>
      </c>
      <c r="L19" s="152" t="s">
        <v>200</v>
      </c>
      <c r="M19" s="152" t="s">
        <v>200</v>
      </c>
      <c r="N19" s="152" t="s">
        <v>200</v>
      </c>
      <c r="O19" s="152" t="s">
        <v>200</v>
      </c>
      <c r="Q19" s="154" t="s">
        <v>26</v>
      </c>
      <c r="R19" s="162">
        <v>45346</v>
      </c>
      <c r="S19" s="163">
        <v>0.71875</v>
      </c>
      <c r="T19" s="164" t="s">
        <v>213</v>
      </c>
    </row>
    <row r="20" spans="1:21" ht="15" customHeight="1" x14ac:dyDescent="0.25">
      <c r="A20" s="408"/>
      <c r="C20" s="158" t="s">
        <v>227</v>
      </c>
      <c r="D20" s="152" t="s">
        <v>200</v>
      </c>
      <c r="E20" s="152" t="s">
        <v>200</v>
      </c>
      <c r="F20" s="152" t="s">
        <v>200</v>
      </c>
      <c r="G20" s="152" t="s">
        <v>200</v>
      </c>
      <c r="H20" s="241" t="s">
        <v>200</v>
      </c>
      <c r="I20" s="153" t="s">
        <v>200</v>
      </c>
      <c r="J20" s="152" t="s">
        <v>200</v>
      </c>
      <c r="K20" s="152" t="s">
        <v>200</v>
      </c>
      <c r="L20" s="152" t="s">
        <v>200</v>
      </c>
      <c r="M20" s="152" t="s">
        <v>200</v>
      </c>
      <c r="N20" s="152" t="s">
        <v>200</v>
      </c>
      <c r="O20" s="152" t="s">
        <v>196</v>
      </c>
      <c r="Q20" s="309"/>
      <c r="R20" s="277"/>
      <c r="S20" s="278"/>
      <c r="T20" s="279"/>
    </row>
    <row r="21" spans="1:21" ht="15.75" customHeight="1" thickBot="1" x14ac:dyDescent="0.3">
      <c r="A21" s="408"/>
      <c r="C21" s="99" t="s">
        <v>261</v>
      </c>
      <c r="D21" s="152" t="s">
        <v>196</v>
      </c>
      <c r="E21" s="152" t="s">
        <v>196</v>
      </c>
      <c r="F21" s="152" t="s">
        <v>196</v>
      </c>
      <c r="G21" s="152" t="s">
        <v>200</v>
      </c>
      <c r="H21" s="241" t="s">
        <v>200</v>
      </c>
      <c r="I21" s="153" t="s">
        <v>200</v>
      </c>
      <c r="J21" s="152" t="s">
        <v>200</v>
      </c>
      <c r="K21" s="152" t="s">
        <v>200</v>
      </c>
      <c r="L21" s="152" t="s">
        <v>200</v>
      </c>
      <c r="M21" s="152" t="s">
        <v>200</v>
      </c>
      <c r="N21" s="152" t="s">
        <v>200</v>
      </c>
      <c r="O21" s="152" t="s">
        <v>200</v>
      </c>
      <c r="Q21" s="142" t="s">
        <v>224</v>
      </c>
    </row>
    <row r="22" spans="1:21" ht="15.75" customHeight="1" x14ac:dyDescent="0.25">
      <c r="A22" s="408"/>
      <c r="B22" s="145" t="s">
        <v>229</v>
      </c>
      <c r="C22" s="146"/>
      <c r="D22" s="147">
        <v>2</v>
      </c>
      <c r="E22" s="147">
        <v>2</v>
      </c>
      <c r="F22" s="147">
        <v>2</v>
      </c>
      <c r="G22" s="147">
        <v>2</v>
      </c>
      <c r="H22" s="147">
        <v>2</v>
      </c>
      <c r="I22" s="147">
        <v>2</v>
      </c>
      <c r="J22" s="147">
        <v>2</v>
      </c>
      <c r="K22" s="147">
        <v>2</v>
      </c>
      <c r="L22" s="147">
        <v>2</v>
      </c>
      <c r="M22" s="147">
        <v>2</v>
      </c>
      <c r="N22" s="147">
        <v>2</v>
      </c>
      <c r="O22" s="147">
        <v>2</v>
      </c>
      <c r="Q22" s="412"/>
      <c r="R22" s="397"/>
      <c r="S22" s="397"/>
      <c r="T22" s="397"/>
      <c r="U22" s="398"/>
    </row>
    <row r="23" spans="1:21" ht="15.75" customHeight="1" x14ac:dyDescent="0.25">
      <c r="A23" s="408"/>
      <c r="C23" s="165" t="s">
        <v>262</v>
      </c>
      <c r="D23" s="152" t="s">
        <v>200</v>
      </c>
      <c r="E23" s="152" t="s">
        <v>200</v>
      </c>
      <c r="F23" s="152" t="s">
        <v>200</v>
      </c>
      <c r="G23" s="152" t="s">
        <v>200</v>
      </c>
      <c r="H23" s="241" t="s">
        <v>200</v>
      </c>
      <c r="I23" s="153" t="s">
        <v>200</v>
      </c>
      <c r="J23" s="152" t="s">
        <v>200</v>
      </c>
      <c r="K23" s="152" t="s">
        <v>200</v>
      </c>
      <c r="L23" s="152" t="s">
        <v>200</v>
      </c>
      <c r="M23" s="152" t="s">
        <v>200</v>
      </c>
      <c r="N23" s="152" t="s">
        <v>200</v>
      </c>
      <c r="O23" s="152" t="s">
        <v>200</v>
      </c>
      <c r="Q23" s="405"/>
      <c r="R23" s="381"/>
      <c r="S23" s="381"/>
      <c r="T23" s="381"/>
      <c r="U23" s="403"/>
    </row>
    <row r="24" spans="1:21" ht="15.75" customHeight="1" x14ac:dyDescent="0.25">
      <c r="A24" s="408"/>
      <c r="C24" s="166" t="s">
        <v>231</v>
      </c>
      <c r="D24" s="152" t="s">
        <v>200</v>
      </c>
      <c r="E24" s="152" t="s">
        <v>200</v>
      </c>
      <c r="F24" s="152" t="s">
        <v>200</v>
      </c>
      <c r="G24" s="152" t="s">
        <v>200</v>
      </c>
      <c r="H24" s="241" t="s">
        <v>200</v>
      </c>
      <c r="I24" s="153" t="s">
        <v>200</v>
      </c>
      <c r="J24" s="152" t="s">
        <v>200</v>
      </c>
      <c r="K24" s="152" t="s">
        <v>200</v>
      </c>
      <c r="L24" s="152" t="s">
        <v>200</v>
      </c>
      <c r="M24" s="152" t="s">
        <v>200</v>
      </c>
      <c r="N24" s="152" t="s">
        <v>200</v>
      </c>
      <c r="O24" s="152" t="s">
        <v>200</v>
      </c>
      <c r="Q24" s="405"/>
      <c r="R24" s="381"/>
      <c r="S24" s="381"/>
      <c r="T24" s="381"/>
      <c r="U24" s="403"/>
    </row>
    <row r="25" spans="1:21" ht="15.75" customHeight="1" x14ac:dyDescent="0.25">
      <c r="A25" s="333"/>
      <c r="C25" s="166" t="s">
        <v>254</v>
      </c>
      <c r="D25" s="152" t="s">
        <v>200</v>
      </c>
      <c r="E25" s="152" t="s">
        <v>200</v>
      </c>
      <c r="F25" s="152" t="s">
        <v>200</v>
      </c>
      <c r="G25" s="152" t="s">
        <v>200</v>
      </c>
      <c r="H25" s="241" t="s">
        <v>200</v>
      </c>
      <c r="I25" s="153" t="s">
        <v>200</v>
      </c>
      <c r="J25" s="152" t="s">
        <v>200</v>
      </c>
      <c r="K25" s="152" t="s">
        <v>200</v>
      </c>
      <c r="L25" s="152" t="s">
        <v>200</v>
      </c>
      <c r="M25" s="152" t="s">
        <v>200</v>
      </c>
      <c r="N25" s="152" t="s">
        <v>200</v>
      </c>
      <c r="O25" s="152" t="s">
        <v>200</v>
      </c>
      <c r="Q25" s="405"/>
      <c r="R25" s="381"/>
      <c r="S25" s="381"/>
      <c r="T25" s="381"/>
      <c r="U25" s="403"/>
    </row>
    <row r="26" spans="1:21" ht="15.75" customHeight="1" x14ac:dyDescent="0.25">
      <c r="A26" s="395" t="s">
        <v>233</v>
      </c>
      <c r="B26" s="341"/>
      <c r="C26" s="341"/>
      <c r="D26" s="167">
        <v>2</v>
      </c>
      <c r="E26" s="167">
        <v>2</v>
      </c>
      <c r="F26" s="167">
        <v>2</v>
      </c>
      <c r="G26" s="167">
        <v>2</v>
      </c>
      <c r="H26" s="167">
        <v>2</v>
      </c>
      <c r="I26" s="167">
        <v>2</v>
      </c>
      <c r="J26" s="167">
        <v>2</v>
      </c>
      <c r="K26" s="167">
        <v>2</v>
      </c>
      <c r="L26" s="167">
        <v>2</v>
      </c>
      <c r="M26" s="167">
        <v>2</v>
      </c>
      <c r="N26" s="167">
        <v>2</v>
      </c>
      <c r="O26" s="167">
        <v>2</v>
      </c>
      <c r="Q26" s="405"/>
      <c r="R26" s="381"/>
      <c r="S26" s="381"/>
      <c r="T26" s="381"/>
      <c r="U26" s="403"/>
    </row>
    <row r="27" spans="1:21" ht="15.75" customHeight="1" x14ac:dyDescent="0.25">
      <c r="C27" s="165" t="s">
        <v>83</v>
      </c>
      <c r="D27" s="152" t="s">
        <v>200</v>
      </c>
      <c r="E27" s="152" t="s">
        <v>200</v>
      </c>
      <c r="F27" s="152" t="s">
        <v>200</v>
      </c>
      <c r="G27" s="152" t="s">
        <v>200</v>
      </c>
      <c r="H27" s="241" t="s">
        <v>200</v>
      </c>
      <c r="I27" s="153" t="s">
        <v>200</v>
      </c>
      <c r="J27" s="152" t="s">
        <v>200</v>
      </c>
      <c r="K27" s="152" t="s">
        <v>200</v>
      </c>
      <c r="L27" s="152" t="s">
        <v>200</v>
      </c>
      <c r="M27" s="152" t="s">
        <v>200</v>
      </c>
      <c r="N27" s="152" t="s">
        <v>200</v>
      </c>
      <c r="O27" s="152" t="s">
        <v>200</v>
      </c>
      <c r="Q27" s="405"/>
      <c r="R27" s="381"/>
      <c r="S27" s="381"/>
      <c r="T27" s="381"/>
      <c r="U27" s="403"/>
    </row>
    <row r="28" spans="1:21" ht="15.75" customHeight="1" x14ac:dyDescent="0.25">
      <c r="A28" s="284"/>
      <c r="B28" s="285"/>
      <c r="C28" s="166" t="s">
        <v>234</v>
      </c>
      <c r="D28" s="152"/>
      <c r="E28" s="152"/>
      <c r="F28" s="152"/>
      <c r="G28" s="152"/>
      <c r="H28" s="241"/>
      <c r="I28" s="153"/>
      <c r="J28" s="152"/>
      <c r="K28" s="152"/>
      <c r="L28" s="152"/>
      <c r="M28" s="152"/>
      <c r="N28" s="152"/>
      <c r="O28" s="152"/>
      <c r="Q28" s="405"/>
      <c r="R28" s="381"/>
      <c r="S28" s="381"/>
      <c r="T28" s="381"/>
      <c r="U28" s="403"/>
    </row>
    <row r="29" spans="1:21" ht="15.75" customHeight="1" x14ac:dyDescent="0.25">
      <c r="A29" s="299" t="s">
        <v>233</v>
      </c>
      <c r="C29" s="158" t="s">
        <v>85</v>
      </c>
      <c r="D29" s="168"/>
      <c r="E29" s="168"/>
      <c r="F29" s="168"/>
      <c r="G29" s="138"/>
      <c r="H29" s="241" t="s">
        <v>200</v>
      </c>
      <c r="I29" s="168"/>
      <c r="J29" s="152"/>
      <c r="K29" s="152"/>
      <c r="L29" s="168" t="s">
        <v>200</v>
      </c>
      <c r="M29" s="152"/>
      <c r="N29" s="152"/>
      <c r="O29" s="152"/>
      <c r="Q29" s="405"/>
      <c r="R29" s="381"/>
      <c r="S29" s="381"/>
      <c r="T29" s="381"/>
      <c r="U29" s="403"/>
    </row>
    <row r="30" spans="1:21" ht="15.75" customHeight="1" x14ac:dyDescent="0.25">
      <c r="A30" s="300"/>
      <c r="B30" s="300"/>
      <c r="C30" s="300" t="s">
        <v>235</v>
      </c>
      <c r="D30" s="169" t="s">
        <v>240</v>
      </c>
      <c r="E30" s="169" t="s">
        <v>240</v>
      </c>
      <c r="F30" s="169" t="s">
        <v>240</v>
      </c>
      <c r="G30" s="169" t="s">
        <v>238</v>
      </c>
      <c r="H30" s="169" t="s">
        <v>238</v>
      </c>
      <c r="I30" s="170" t="s">
        <v>238</v>
      </c>
      <c r="J30" s="170" t="s">
        <v>238</v>
      </c>
      <c r="K30" s="169" t="s">
        <v>239</v>
      </c>
      <c r="L30" s="169" t="s">
        <v>239</v>
      </c>
      <c r="M30" s="171" t="s">
        <v>239</v>
      </c>
      <c r="N30" s="171" t="s">
        <v>237</v>
      </c>
      <c r="O30" s="171" t="s">
        <v>240</v>
      </c>
      <c r="Q30" s="405"/>
      <c r="R30" s="381"/>
      <c r="S30" s="381"/>
      <c r="T30" s="381"/>
      <c r="U30" s="403"/>
    </row>
    <row r="31" spans="1:21" ht="15.75" customHeight="1" x14ac:dyDescent="0.2"/>
    <row r="32" spans="1:21" ht="15.75" customHeight="1" x14ac:dyDescent="0.2"/>
    <row r="33" spans="1:1" ht="15.75" customHeight="1" x14ac:dyDescent="0.2"/>
    <row r="34" spans="1:1" ht="15.75" customHeight="1" x14ac:dyDescent="0.2">
      <c r="A34" s="172" t="s">
        <v>241</v>
      </c>
    </row>
    <row r="35" spans="1:1" ht="15.75" customHeight="1" x14ac:dyDescent="0.2"/>
    <row r="36" spans="1:1" ht="15.75" customHeight="1" x14ac:dyDescent="0.2"/>
    <row r="37" spans="1:1" ht="15.75" customHeight="1" x14ac:dyDescent="0.2"/>
    <row r="38" spans="1:1" ht="15.75" customHeight="1" x14ac:dyDescent="0.2"/>
    <row r="39" spans="1:1" ht="15.75" customHeight="1" x14ac:dyDescent="0.2"/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9">
    <mergeCell ref="Q30:U30"/>
    <mergeCell ref="Q27:U27"/>
    <mergeCell ref="A4:B4"/>
    <mergeCell ref="A6:O6"/>
    <mergeCell ref="Q6:T6"/>
    <mergeCell ref="A7:C7"/>
    <mergeCell ref="A26:C26"/>
    <mergeCell ref="A8:A25"/>
    <mergeCell ref="A2:O2"/>
    <mergeCell ref="Q29:U29"/>
    <mergeCell ref="Q23:U23"/>
    <mergeCell ref="Q26:U26"/>
    <mergeCell ref="A5:B5"/>
    <mergeCell ref="Q22:U22"/>
    <mergeCell ref="Q25:U25"/>
    <mergeCell ref="Q28:U28"/>
    <mergeCell ref="I4:O4"/>
    <mergeCell ref="K5:O5"/>
    <mergeCell ref="Q24:U24"/>
  </mergeCells>
  <conditionalFormatting sqref="D13:F16 I13:O16 M18:O21">
    <cfRule type="cellIs" dxfId="5343" priority="237" operator="equal">
      <formula>"NI"</formula>
    </cfRule>
    <cfRule type="cellIs" dxfId="5342" priority="238" operator="equal">
      <formula>"N"</formula>
    </cfRule>
    <cfRule type="cellIs" dxfId="5341" priority="239" operator="equal">
      <formula>"P"</formula>
    </cfRule>
    <cfRule type="cellIs" dxfId="5340" priority="240" operator="equal">
      <formula>"J"</formula>
    </cfRule>
  </conditionalFormatting>
  <conditionalFormatting sqref="M23:M25 M27">
    <cfRule type="cellIs" dxfId="5339" priority="153" operator="equal">
      <formula>"NI"</formula>
    </cfRule>
    <cfRule type="cellIs" dxfId="5338" priority="154" operator="equal">
      <formula>"N"</formula>
    </cfRule>
    <cfRule type="cellIs" dxfId="5337" priority="155" operator="equal">
      <formula>"P"</formula>
    </cfRule>
    <cfRule type="cellIs" dxfId="5336" priority="156" operator="equal">
      <formula>"J"</formula>
    </cfRule>
  </conditionalFormatting>
  <conditionalFormatting sqref="M28:M29">
    <cfRule type="cellIs" dxfId="5335" priority="157" operator="equal">
      <formula>"NI"</formula>
    </cfRule>
    <cfRule type="cellIs" dxfId="5334" priority="158" operator="equal">
      <formula>"N"</formula>
    </cfRule>
    <cfRule type="cellIs" dxfId="5333" priority="159" operator="equal">
      <formula>"P"</formula>
    </cfRule>
    <cfRule type="cellIs" dxfId="5332" priority="160" operator="equal">
      <formula>"J"</formula>
    </cfRule>
  </conditionalFormatting>
  <conditionalFormatting sqref="M9:M10">
    <cfRule type="cellIs" dxfId="5331" priority="161" operator="equal">
      <formula>"NI"</formula>
    </cfRule>
    <cfRule type="cellIs" dxfId="5330" priority="162" operator="equal">
      <formula>"N"</formula>
    </cfRule>
    <cfRule type="cellIs" dxfId="5329" priority="163" operator="equal">
      <formula>"P"</formula>
    </cfRule>
    <cfRule type="cellIs" dxfId="5328" priority="164" operator="equal">
      <formula>"J"</formula>
    </cfRule>
  </conditionalFormatting>
  <conditionalFormatting sqref="M11">
    <cfRule type="cellIs" dxfId="5327" priority="165" operator="equal">
      <formula>"NI"</formula>
    </cfRule>
    <cfRule type="cellIs" dxfId="5326" priority="166" operator="equal">
      <formula>"N"</formula>
    </cfRule>
    <cfRule type="cellIs" dxfId="5325" priority="167" operator="equal">
      <formula>"P"</formula>
    </cfRule>
    <cfRule type="cellIs" dxfId="5324" priority="168" operator="equal">
      <formula>"J"</formula>
    </cfRule>
  </conditionalFormatting>
  <conditionalFormatting sqref="N23:N25 N27">
    <cfRule type="cellIs" dxfId="5323" priority="133" operator="equal">
      <formula>"NI"</formula>
    </cfRule>
    <cfRule type="cellIs" dxfId="5322" priority="134" operator="equal">
      <formula>"N"</formula>
    </cfRule>
    <cfRule type="cellIs" dxfId="5321" priority="135" operator="equal">
      <formula>"P"</formula>
    </cfRule>
    <cfRule type="cellIs" dxfId="5320" priority="136" operator="equal">
      <formula>"J"</formula>
    </cfRule>
  </conditionalFormatting>
  <conditionalFormatting sqref="N28:N29">
    <cfRule type="cellIs" dxfId="5319" priority="145" operator="equal">
      <formula>"NI"</formula>
    </cfRule>
    <cfRule type="cellIs" dxfId="5318" priority="146" operator="equal">
      <formula>"N"</formula>
    </cfRule>
    <cfRule type="cellIs" dxfId="5317" priority="147" operator="equal">
      <formula>"P"</formula>
    </cfRule>
    <cfRule type="cellIs" dxfId="5316" priority="148" operator="equal">
      <formula>"J"</formula>
    </cfRule>
  </conditionalFormatting>
  <conditionalFormatting sqref="N9:N11">
    <cfRule type="cellIs" dxfId="5315" priority="149" operator="equal">
      <formula>"NI"</formula>
    </cfRule>
    <cfRule type="cellIs" dxfId="5314" priority="150" operator="equal">
      <formula>"N"</formula>
    </cfRule>
    <cfRule type="cellIs" dxfId="5313" priority="151" operator="equal">
      <formula>"P"</formula>
    </cfRule>
    <cfRule type="cellIs" dxfId="5312" priority="152" operator="equal">
      <formula>"J"</formula>
    </cfRule>
  </conditionalFormatting>
  <conditionalFormatting sqref="O9:O11 O23:O25 O27:O29">
    <cfRule type="cellIs" dxfId="5311" priority="129" operator="equal">
      <formula>"NI"</formula>
    </cfRule>
    <cfRule type="cellIs" dxfId="5310" priority="130" operator="equal">
      <formula>"N"</formula>
    </cfRule>
    <cfRule type="cellIs" dxfId="5309" priority="131" operator="equal">
      <formula>"P"</formula>
    </cfRule>
    <cfRule type="cellIs" dxfId="5308" priority="132" operator="equal">
      <formula>"J"</formula>
    </cfRule>
  </conditionalFormatting>
  <conditionalFormatting sqref="I18:I21">
    <cfRule type="cellIs" dxfId="5307" priority="101" operator="equal">
      <formula>"NI"</formula>
    </cfRule>
    <cfRule type="cellIs" dxfId="5306" priority="102" operator="equal">
      <formula>"N"</formula>
    </cfRule>
    <cfRule type="cellIs" dxfId="5305" priority="103" operator="equal">
      <formula>"P"</formula>
    </cfRule>
    <cfRule type="cellIs" dxfId="5304" priority="104" operator="equal">
      <formula>"J"</formula>
    </cfRule>
  </conditionalFormatting>
  <conditionalFormatting sqref="I9:I11 I23:I25 I27:I29">
    <cfRule type="cellIs" dxfId="5303" priority="97" operator="equal">
      <formula>"NI"</formula>
    </cfRule>
    <cfRule type="cellIs" dxfId="5302" priority="98" operator="equal">
      <formula>"N"</formula>
    </cfRule>
    <cfRule type="cellIs" dxfId="5301" priority="99" operator="equal">
      <formula>"P"</formula>
    </cfRule>
    <cfRule type="cellIs" dxfId="5300" priority="100" operator="equal">
      <formula>"J"</formula>
    </cfRule>
  </conditionalFormatting>
  <conditionalFormatting sqref="J18:J21">
    <cfRule type="cellIs" dxfId="5299" priority="93" operator="equal">
      <formula>"NI"</formula>
    </cfRule>
    <cfRule type="cellIs" dxfId="5298" priority="94" operator="equal">
      <formula>"N"</formula>
    </cfRule>
    <cfRule type="cellIs" dxfId="5297" priority="95" operator="equal">
      <formula>"P"</formula>
    </cfRule>
    <cfRule type="cellIs" dxfId="5296" priority="96" operator="equal">
      <formula>"J"</formula>
    </cfRule>
  </conditionalFormatting>
  <conditionalFormatting sqref="J9:J11 J23:J25 J27:J29">
    <cfRule type="cellIs" dxfId="5295" priority="89" operator="equal">
      <formula>"NI"</formula>
    </cfRule>
    <cfRule type="cellIs" dxfId="5294" priority="90" operator="equal">
      <formula>"N"</formula>
    </cfRule>
    <cfRule type="cellIs" dxfId="5293" priority="91" operator="equal">
      <formula>"P"</formula>
    </cfRule>
    <cfRule type="cellIs" dxfId="5292" priority="92" operator="equal">
      <formula>"J"</formula>
    </cfRule>
  </conditionalFormatting>
  <conditionalFormatting sqref="K18:K21">
    <cfRule type="cellIs" dxfId="5291" priority="85" operator="equal">
      <formula>"NI"</formula>
    </cfRule>
    <cfRule type="cellIs" dxfId="5290" priority="86" operator="equal">
      <formula>"N"</formula>
    </cfRule>
    <cfRule type="cellIs" dxfId="5289" priority="87" operator="equal">
      <formula>"P"</formula>
    </cfRule>
    <cfRule type="cellIs" dxfId="5288" priority="88" operator="equal">
      <formula>"J"</formula>
    </cfRule>
  </conditionalFormatting>
  <conditionalFormatting sqref="K9:K11 K23:K25 K27:K29">
    <cfRule type="cellIs" dxfId="5287" priority="81" operator="equal">
      <formula>"NI"</formula>
    </cfRule>
    <cfRule type="cellIs" dxfId="5286" priority="82" operator="equal">
      <formula>"N"</formula>
    </cfRule>
    <cfRule type="cellIs" dxfId="5285" priority="83" operator="equal">
      <formula>"P"</formula>
    </cfRule>
    <cfRule type="cellIs" dxfId="5284" priority="84" operator="equal">
      <formula>"J"</formula>
    </cfRule>
  </conditionalFormatting>
  <conditionalFormatting sqref="L18:L21">
    <cfRule type="cellIs" dxfId="5283" priority="77" operator="equal">
      <formula>"NI"</formula>
    </cfRule>
    <cfRule type="cellIs" dxfId="5282" priority="78" operator="equal">
      <formula>"N"</formula>
    </cfRule>
    <cfRule type="cellIs" dxfId="5281" priority="79" operator="equal">
      <formula>"P"</formula>
    </cfRule>
    <cfRule type="cellIs" dxfId="5280" priority="80" operator="equal">
      <formula>"J"</formula>
    </cfRule>
  </conditionalFormatting>
  <conditionalFormatting sqref="L9:L11 L23:L25 L27:L28">
    <cfRule type="cellIs" dxfId="5279" priority="73" operator="equal">
      <formula>"NI"</formula>
    </cfRule>
    <cfRule type="cellIs" dxfId="5278" priority="74" operator="equal">
      <formula>"N"</formula>
    </cfRule>
    <cfRule type="cellIs" dxfId="5277" priority="75" operator="equal">
      <formula>"P"</formula>
    </cfRule>
    <cfRule type="cellIs" dxfId="5276" priority="76" operator="equal">
      <formula>"J"</formula>
    </cfRule>
  </conditionalFormatting>
  <conditionalFormatting sqref="L29">
    <cfRule type="cellIs" dxfId="5275" priority="69" operator="equal">
      <formula>"NI"</formula>
    </cfRule>
    <cfRule type="cellIs" dxfId="5274" priority="70" operator="equal">
      <formula>"N"</formula>
    </cfRule>
    <cfRule type="cellIs" dxfId="5273" priority="71" operator="equal">
      <formula>"P"</formula>
    </cfRule>
    <cfRule type="cellIs" dxfId="5272" priority="72" operator="equal">
      <formula>"J"</formula>
    </cfRule>
  </conditionalFormatting>
  <conditionalFormatting sqref="D18:D19 D21">
    <cfRule type="cellIs" dxfId="5271" priority="65" operator="equal">
      <formula>"NI"</formula>
    </cfRule>
    <cfRule type="cellIs" dxfId="5270" priority="66" operator="equal">
      <formula>"N"</formula>
    </cfRule>
    <cfRule type="cellIs" dxfId="5269" priority="67" operator="equal">
      <formula>"P"</formula>
    </cfRule>
    <cfRule type="cellIs" dxfId="5268" priority="68" operator="equal">
      <formula>"J"</formula>
    </cfRule>
  </conditionalFormatting>
  <conditionalFormatting sqref="D9:D11 D23:D25 D27:D28">
    <cfRule type="cellIs" dxfId="5267" priority="61" operator="equal">
      <formula>"NI"</formula>
    </cfRule>
    <cfRule type="cellIs" dxfId="5266" priority="62" operator="equal">
      <formula>"N"</formula>
    </cfRule>
    <cfRule type="cellIs" dxfId="5265" priority="63" operator="equal">
      <formula>"P"</formula>
    </cfRule>
    <cfRule type="cellIs" dxfId="5264" priority="64" operator="equal">
      <formula>"J"</formula>
    </cfRule>
  </conditionalFormatting>
  <conditionalFormatting sqref="D29">
    <cfRule type="cellIs" dxfId="5263" priority="57" operator="equal">
      <formula>"NI"</formula>
    </cfRule>
    <cfRule type="cellIs" dxfId="5262" priority="58" operator="equal">
      <formula>"N"</formula>
    </cfRule>
    <cfRule type="cellIs" dxfId="5261" priority="59" operator="equal">
      <formula>"P"</formula>
    </cfRule>
    <cfRule type="cellIs" dxfId="5260" priority="60" operator="equal">
      <formula>"J"</formula>
    </cfRule>
  </conditionalFormatting>
  <conditionalFormatting sqref="E18:E19 E21">
    <cfRule type="cellIs" dxfId="5259" priority="53" operator="equal">
      <formula>"NI"</formula>
    </cfRule>
    <cfRule type="cellIs" dxfId="5258" priority="54" operator="equal">
      <formula>"N"</formula>
    </cfRule>
    <cfRule type="cellIs" dxfId="5257" priority="55" operator="equal">
      <formula>"P"</formula>
    </cfRule>
    <cfRule type="cellIs" dxfId="5256" priority="56" operator="equal">
      <formula>"J"</formula>
    </cfRule>
  </conditionalFormatting>
  <conditionalFormatting sqref="E9:E11 E23:E25 E27:E28">
    <cfRule type="cellIs" dxfId="5255" priority="49" operator="equal">
      <formula>"NI"</formula>
    </cfRule>
    <cfRule type="cellIs" dxfId="5254" priority="50" operator="equal">
      <formula>"N"</formula>
    </cfRule>
    <cfRule type="cellIs" dxfId="5253" priority="51" operator="equal">
      <formula>"P"</formula>
    </cfRule>
    <cfRule type="cellIs" dxfId="5252" priority="52" operator="equal">
      <formula>"J"</formula>
    </cfRule>
  </conditionalFormatting>
  <conditionalFormatting sqref="E29">
    <cfRule type="cellIs" dxfId="5251" priority="45" operator="equal">
      <formula>"NI"</formula>
    </cfRule>
    <cfRule type="cellIs" dxfId="5250" priority="46" operator="equal">
      <formula>"N"</formula>
    </cfRule>
    <cfRule type="cellIs" dxfId="5249" priority="47" operator="equal">
      <formula>"P"</formula>
    </cfRule>
    <cfRule type="cellIs" dxfId="5248" priority="48" operator="equal">
      <formula>"J"</formula>
    </cfRule>
  </conditionalFormatting>
  <conditionalFormatting sqref="F18:F19 F21">
    <cfRule type="cellIs" dxfId="5247" priority="41" operator="equal">
      <formula>"NI"</formula>
    </cfRule>
    <cfRule type="cellIs" dxfId="5246" priority="42" operator="equal">
      <formula>"N"</formula>
    </cfRule>
    <cfRule type="cellIs" dxfId="5245" priority="43" operator="equal">
      <formula>"P"</formula>
    </cfRule>
    <cfRule type="cellIs" dxfId="5244" priority="44" operator="equal">
      <formula>"J"</formula>
    </cfRule>
  </conditionalFormatting>
  <conditionalFormatting sqref="F9:F11 F23:F25 F27:F28">
    <cfRule type="cellIs" dxfId="5243" priority="37" operator="equal">
      <formula>"NI"</formula>
    </cfRule>
    <cfRule type="cellIs" dxfId="5242" priority="38" operator="equal">
      <formula>"N"</formula>
    </cfRule>
    <cfRule type="cellIs" dxfId="5241" priority="39" operator="equal">
      <formula>"P"</formula>
    </cfRule>
    <cfRule type="cellIs" dxfId="5240" priority="40" operator="equal">
      <formula>"J"</formula>
    </cfRule>
  </conditionalFormatting>
  <conditionalFormatting sqref="F29">
    <cfRule type="cellIs" dxfId="5239" priority="33" operator="equal">
      <formula>"NI"</formula>
    </cfRule>
    <cfRule type="cellIs" dxfId="5238" priority="34" operator="equal">
      <formula>"N"</formula>
    </cfRule>
    <cfRule type="cellIs" dxfId="5237" priority="35" operator="equal">
      <formula>"P"</formula>
    </cfRule>
    <cfRule type="cellIs" dxfId="5236" priority="36" operator="equal">
      <formula>"J"</formula>
    </cfRule>
  </conditionalFormatting>
  <conditionalFormatting sqref="D20">
    <cfRule type="cellIs" dxfId="5235" priority="29" operator="equal">
      <formula>"NI"</formula>
    </cfRule>
    <cfRule type="cellIs" dxfId="5234" priority="30" operator="equal">
      <formula>"N"</formula>
    </cfRule>
    <cfRule type="cellIs" dxfId="5233" priority="31" operator="equal">
      <formula>"P"</formula>
    </cfRule>
    <cfRule type="cellIs" dxfId="5232" priority="32" operator="equal">
      <formula>"J"</formula>
    </cfRule>
  </conditionalFormatting>
  <conditionalFormatting sqref="E20">
    <cfRule type="cellIs" dxfId="5231" priority="25" operator="equal">
      <formula>"NI"</formula>
    </cfRule>
    <cfRule type="cellIs" dxfId="5230" priority="26" operator="equal">
      <formula>"N"</formula>
    </cfRule>
    <cfRule type="cellIs" dxfId="5229" priority="27" operator="equal">
      <formula>"P"</formula>
    </cfRule>
    <cfRule type="cellIs" dxfId="5228" priority="28" operator="equal">
      <formula>"J"</formula>
    </cfRule>
  </conditionalFormatting>
  <conditionalFormatting sqref="F20">
    <cfRule type="cellIs" dxfId="5227" priority="21" operator="equal">
      <formula>"NI"</formula>
    </cfRule>
    <cfRule type="cellIs" dxfId="5226" priority="22" operator="equal">
      <formula>"N"</formula>
    </cfRule>
    <cfRule type="cellIs" dxfId="5225" priority="23" operator="equal">
      <formula>"P"</formula>
    </cfRule>
    <cfRule type="cellIs" dxfId="5224" priority="24" operator="equal">
      <formula>"J"</formula>
    </cfRule>
  </conditionalFormatting>
  <conditionalFormatting sqref="G9:G11 G13:G16 G18:G21 G23:G25 G27:G28">
    <cfRule type="cellIs" dxfId="5223" priority="17" operator="equal">
      <formula>"NI"</formula>
    </cfRule>
    <cfRule type="cellIs" dxfId="5222" priority="18" operator="equal">
      <formula>"N"</formula>
    </cfRule>
    <cfRule type="cellIs" dxfId="5221" priority="19" operator="equal">
      <formula>"P"</formula>
    </cfRule>
    <cfRule type="cellIs" dxfId="5220" priority="20" operator="equal">
      <formula>"J"</formula>
    </cfRule>
  </conditionalFormatting>
  <conditionalFormatting sqref="G29">
    <cfRule type="cellIs" dxfId="5219" priority="13" operator="equal">
      <formula>"NI"</formula>
    </cfRule>
    <cfRule type="cellIs" dxfId="5218" priority="14" operator="equal">
      <formula>"N"</formula>
    </cfRule>
    <cfRule type="cellIs" dxfId="5217" priority="15" operator="equal">
      <formula>"P"</formula>
    </cfRule>
    <cfRule type="cellIs" dxfId="5216" priority="16" operator="equal">
      <formula>"J"</formula>
    </cfRule>
  </conditionalFormatting>
  <conditionalFormatting sqref="H18:H21">
    <cfRule type="cellIs" dxfId="5215" priority="9" operator="equal">
      <formula>"NI"</formula>
    </cfRule>
    <cfRule type="cellIs" dxfId="5214" priority="10" operator="equal">
      <formula>"N"</formula>
    </cfRule>
    <cfRule type="cellIs" dxfId="5213" priority="11" operator="equal">
      <formula>"P"</formula>
    </cfRule>
    <cfRule type="cellIs" dxfId="5212" priority="12" operator="equal">
      <formula>"J"</formula>
    </cfRule>
  </conditionalFormatting>
  <conditionalFormatting sqref="H9:H11 H13:H16 H23:H25 H27:H29">
    <cfRule type="cellIs" dxfId="5211" priority="5" operator="equal">
      <formula>"NI"</formula>
    </cfRule>
    <cfRule type="cellIs" dxfId="5210" priority="6" operator="equal">
      <formula>"N"</formula>
    </cfRule>
    <cfRule type="cellIs" dxfId="5209" priority="7" operator="equal">
      <formula>"P"</formula>
    </cfRule>
    <cfRule type="cellIs" dxfId="5208" priority="8" operator="equal">
      <formula>"J"</formula>
    </cfRule>
  </conditionalFormatting>
  <conditionalFormatting sqref="H29">
    <cfRule type="cellIs" dxfId="5207" priority="1" operator="equal">
      <formula>"NI"</formula>
    </cfRule>
    <cfRule type="cellIs" dxfId="5206" priority="2" operator="equal">
      <formula>"N"</formula>
    </cfRule>
    <cfRule type="cellIs" dxfId="5205" priority="3" operator="equal">
      <formula>"P"</formula>
    </cfRule>
    <cfRule type="cellIs" dxfId="520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0"/>
  <sheetViews>
    <sheetView workbookViewId="0">
      <selection activeCell="Q19" sqref="Q19"/>
    </sheetView>
  </sheetViews>
  <sheetFormatPr defaultColWidth="12.625" defaultRowHeight="14.25" x14ac:dyDescent="0.2"/>
  <cols>
    <col min="1" max="2" width="4.875" style="297" customWidth="1"/>
    <col min="3" max="3" width="54.875" style="297" customWidth="1"/>
    <col min="4" max="4" width="3.875" style="297" customWidth="1"/>
    <col min="5" max="5" width="3.75" style="297" customWidth="1"/>
    <col min="6" max="6" width="4.5" style="297" customWidth="1"/>
    <col min="7" max="8" width="4" style="297" customWidth="1"/>
    <col min="9" max="9" width="3.875" style="297" customWidth="1"/>
    <col min="10" max="10" width="3.375" style="297" customWidth="1"/>
    <col min="11" max="11" width="4.375" style="297" customWidth="1"/>
    <col min="12" max="12" width="3.5" style="297" customWidth="1"/>
    <col min="13" max="13" width="4.125" style="297" customWidth="1"/>
    <col min="14" max="14" width="4.5" style="297" customWidth="1"/>
    <col min="15" max="15" width="3.75" style="297" customWidth="1"/>
    <col min="16" max="16" width="2.25" style="297" customWidth="1"/>
    <col min="17" max="17" width="9.375" style="297" customWidth="1"/>
    <col min="18" max="18" width="10.5" style="297" customWidth="1"/>
    <col min="19" max="19" width="9.375" style="297" customWidth="1"/>
    <col min="20" max="20" width="14.75" style="297" customWidth="1"/>
    <col min="21" max="22" width="8" style="297" customWidth="1"/>
    <col min="23" max="23" width="19.625" style="297" customWidth="1"/>
    <col min="24" max="26" width="7.625" style="297" customWidth="1"/>
    <col min="27" max="1024" width="12.625" style="297" customWidth="1"/>
  </cols>
  <sheetData>
    <row r="1" spans="1:23" ht="3.75" customHeight="1" x14ac:dyDescent="0.2"/>
    <row r="2" spans="1:23" ht="18.75" customHeight="1" x14ac:dyDescent="0.3">
      <c r="A2" s="410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11" t="s">
        <v>243</v>
      </c>
      <c r="B4" s="408"/>
      <c r="C4" s="295" t="s">
        <v>136</v>
      </c>
      <c r="E4" s="142" t="s">
        <v>168</v>
      </c>
      <c r="I4" s="406" t="s">
        <v>256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11" t="s">
        <v>246</v>
      </c>
      <c r="B5" s="408"/>
      <c r="C5" s="296" t="s">
        <v>257</v>
      </c>
      <c r="E5" s="142" t="s">
        <v>263</v>
      </c>
      <c r="K5" s="407" t="s">
        <v>264</v>
      </c>
      <c r="L5" s="408"/>
      <c r="M5" s="408"/>
      <c r="N5" s="408"/>
      <c r="O5" s="408"/>
    </row>
    <row r="6" spans="1:23" ht="22.5" customHeight="1" x14ac:dyDescent="0.25">
      <c r="A6" s="41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14" t="s">
        <v>174</v>
      </c>
      <c r="R6" s="408"/>
      <c r="S6" s="408"/>
      <c r="T6" s="408"/>
    </row>
    <row r="7" spans="1:23" ht="15" customHeight="1" x14ac:dyDescent="0.25">
      <c r="A7" s="415" t="s">
        <v>175</v>
      </c>
      <c r="B7" s="341"/>
      <c r="C7" s="341"/>
      <c r="D7" s="143" t="s">
        <v>176</v>
      </c>
      <c r="E7" s="143" t="s">
        <v>177</v>
      </c>
      <c r="F7" s="143" t="s">
        <v>178</v>
      </c>
      <c r="G7" s="143" t="s">
        <v>179</v>
      </c>
      <c r="H7" s="143" t="s">
        <v>180</v>
      </c>
      <c r="I7" s="143" t="s">
        <v>181</v>
      </c>
      <c r="J7" s="143" t="s">
        <v>182</v>
      </c>
      <c r="K7" s="143" t="s">
        <v>183</v>
      </c>
      <c r="L7" s="143" t="s">
        <v>184</v>
      </c>
      <c r="M7" s="143" t="s">
        <v>185</v>
      </c>
      <c r="N7" s="143" t="s">
        <v>186</v>
      </c>
      <c r="O7" s="143" t="s">
        <v>187</v>
      </c>
      <c r="Q7" s="144" t="s">
        <v>188</v>
      </c>
      <c r="R7" s="144" t="s">
        <v>189</v>
      </c>
      <c r="S7" s="144" t="s">
        <v>190</v>
      </c>
      <c r="T7" s="144" t="s">
        <v>191</v>
      </c>
      <c r="V7" s="144" t="s">
        <v>192</v>
      </c>
      <c r="W7" s="298"/>
    </row>
    <row r="8" spans="1:23" ht="15" customHeight="1" x14ac:dyDescent="0.25">
      <c r="A8" s="409" t="s">
        <v>193</v>
      </c>
      <c r="B8" s="145" t="s">
        <v>194</v>
      </c>
      <c r="C8" s="146"/>
      <c r="D8" s="147">
        <v>2</v>
      </c>
      <c r="E8" s="147">
        <v>2</v>
      </c>
      <c r="F8" s="147">
        <v>2</v>
      </c>
      <c r="G8" s="147">
        <v>2</v>
      </c>
      <c r="H8" s="147">
        <v>2</v>
      </c>
      <c r="I8" s="147">
        <v>2</v>
      </c>
      <c r="J8" s="147">
        <v>2</v>
      </c>
      <c r="K8" s="147">
        <v>2</v>
      </c>
      <c r="L8" s="147">
        <v>2</v>
      </c>
      <c r="M8" s="147">
        <v>2</v>
      </c>
      <c r="N8" s="147">
        <v>2</v>
      </c>
      <c r="O8" s="147">
        <v>2</v>
      </c>
      <c r="Q8" s="148" t="s">
        <v>15</v>
      </c>
      <c r="R8" s="149">
        <v>45371</v>
      </c>
      <c r="S8" s="150">
        <v>0.4152777777777778</v>
      </c>
      <c r="T8" s="151" t="s">
        <v>203</v>
      </c>
      <c r="V8" s="72" t="s">
        <v>196</v>
      </c>
      <c r="W8" s="69" t="s">
        <v>197</v>
      </c>
    </row>
    <row r="9" spans="1:23" ht="15" customHeight="1" x14ac:dyDescent="0.25">
      <c r="A9" s="408"/>
      <c r="C9" s="88" t="s">
        <v>198</v>
      </c>
      <c r="D9" s="152"/>
      <c r="E9" s="152"/>
      <c r="F9" s="152"/>
      <c r="G9" s="152"/>
      <c r="H9" s="241"/>
      <c r="I9" s="153"/>
      <c r="J9" s="152"/>
      <c r="K9" s="152"/>
      <c r="L9" s="152"/>
      <c r="M9" s="152"/>
      <c r="N9" s="152"/>
      <c r="O9" s="152"/>
      <c r="Q9" s="154" t="s">
        <v>16</v>
      </c>
      <c r="R9" s="93">
        <v>45401</v>
      </c>
      <c r="S9" s="94">
        <v>0.39652777777777781</v>
      </c>
      <c r="T9" s="151" t="s">
        <v>203</v>
      </c>
      <c r="V9" s="72" t="s">
        <v>200</v>
      </c>
      <c r="W9" s="69" t="s">
        <v>201</v>
      </c>
    </row>
    <row r="10" spans="1:23" ht="15" customHeight="1" x14ac:dyDescent="0.25">
      <c r="A10" s="408"/>
      <c r="C10" s="155" t="s">
        <v>202</v>
      </c>
      <c r="D10" s="152"/>
      <c r="E10" s="152"/>
      <c r="F10" s="152"/>
      <c r="G10" s="152"/>
      <c r="H10" s="241"/>
      <c r="I10" s="153"/>
      <c r="J10" s="152"/>
      <c r="K10" s="152"/>
      <c r="L10" s="152"/>
      <c r="M10" s="152"/>
      <c r="N10" s="152"/>
      <c r="O10" s="152"/>
      <c r="Q10" s="154" t="s">
        <v>17</v>
      </c>
      <c r="R10" s="93">
        <v>45434</v>
      </c>
      <c r="S10" s="94">
        <v>0.37638888888888888</v>
      </c>
      <c r="T10" s="151" t="s">
        <v>203</v>
      </c>
      <c r="V10" s="75" t="s">
        <v>204</v>
      </c>
      <c r="W10" s="69" t="s">
        <v>205</v>
      </c>
    </row>
    <row r="11" spans="1:23" ht="15" customHeight="1" x14ac:dyDescent="0.25">
      <c r="A11" s="408"/>
      <c r="C11" s="99" t="s">
        <v>206</v>
      </c>
      <c r="D11" s="152" t="s">
        <v>200</v>
      </c>
      <c r="E11" s="152" t="s">
        <v>200</v>
      </c>
      <c r="F11" s="152" t="s">
        <v>200</v>
      </c>
      <c r="G11" s="152" t="s">
        <v>200</v>
      </c>
      <c r="H11" s="241" t="s">
        <v>200</v>
      </c>
      <c r="I11" s="153" t="s">
        <v>200</v>
      </c>
      <c r="J11" s="152" t="s">
        <v>200</v>
      </c>
      <c r="K11" s="152" t="s">
        <v>200</v>
      </c>
      <c r="L11" s="152" t="s">
        <v>200</v>
      </c>
      <c r="M11" s="152" t="s">
        <v>200</v>
      </c>
      <c r="N11" s="152" t="s">
        <v>200</v>
      </c>
      <c r="O11" s="152" t="s">
        <v>200</v>
      </c>
      <c r="Q11" s="154" t="s">
        <v>18</v>
      </c>
      <c r="R11" s="156">
        <v>45468</v>
      </c>
      <c r="S11" s="157">
        <v>0.74513888888888891</v>
      </c>
      <c r="T11" s="151" t="s">
        <v>203</v>
      </c>
      <c r="V11" s="75" t="s">
        <v>207</v>
      </c>
      <c r="W11" s="69" t="s">
        <v>208</v>
      </c>
    </row>
    <row r="12" spans="1:23" ht="15" customHeight="1" x14ac:dyDescent="0.25">
      <c r="A12" s="408"/>
      <c r="B12" s="145" t="s">
        <v>209</v>
      </c>
      <c r="C12" s="146"/>
      <c r="D12" s="147">
        <v>2</v>
      </c>
      <c r="E12" s="147">
        <v>2</v>
      </c>
      <c r="F12" s="147">
        <v>2</v>
      </c>
      <c r="G12" s="147">
        <v>2</v>
      </c>
      <c r="H12" s="147">
        <v>2</v>
      </c>
      <c r="I12" s="147">
        <v>2</v>
      </c>
      <c r="J12" s="147">
        <v>2</v>
      </c>
      <c r="K12" s="147">
        <v>2</v>
      </c>
      <c r="L12" s="147">
        <v>2</v>
      </c>
      <c r="M12" s="147">
        <v>2</v>
      </c>
      <c r="N12" s="147">
        <v>2</v>
      </c>
      <c r="O12" s="147">
        <v>2</v>
      </c>
      <c r="Q12" s="154" t="s">
        <v>19</v>
      </c>
      <c r="R12" s="93">
        <v>45511</v>
      </c>
      <c r="S12" s="94">
        <v>0.38958333333333328</v>
      </c>
      <c r="T12" s="151" t="s">
        <v>210</v>
      </c>
    </row>
    <row r="13" spans="1:23" ht="15" customHeight="1" x14ac:dyDescent="0.25">
      <c r="A13" s="408"/>
      <c r="C13" s="158" t="s">
        <v>258</v>
      </c>
      <c r="D13" s="152" t="s">
        <v>200</v>
      </c>
      <c r="E13" s="152" t="s">
        <v>196</v>
      </c>
      <c r="F13" s="152" t="s">
        <v>200</v>
      </c>
      <c r="G13" s="152" t="s">
        <v>200</v>
      </c>
      <c r="H13" s="241" t="s">
        <v>200</v>
      </c>
      <c r="I13" s="153" t="s">
        <v>196</v>
      </c>
      <c r="J13" s="152" t="s">
        <v>200</v>
      </c>
      <c r="K13" s="152" t="s">
        <v>200</v>
      </c>
      <c r="L13" s="152" t="s">
        <v>200</v>
      </c>
      <c r="M13" s="152" t="s">
        <v>200</v>
      </c>
      <c r="N13" s="152" t="s">
        <v>200</v>
      </c>
      <c r="O13" s="152" t="s">
        <v>200</v>
      </c>
      <c r="Q13" s="154" t="s">
        <v>20</v>
      </c>
      <c r="R13" s="159">
        <v>45532</v>
      </c>
      <c r="S13" s="159">
        <v>0.38958333333333328</v>
      </c>
      <c r="T13" s="151" t="s">
        <v>203</v>
      </c>
    </row>
    <row r="14" spans="1:23" ht="15" customHeight="1" x14ac:dyDescent="0.25">
      <c r="A14" s="408"/>
      <c r="C14" s="158" t="s">
        <v>217</v>
      </c>
      <c r="D14" s="152" t="s">
        <v>200</v>
      </c>
      <c r="E14" s="152" t="s">
        <v>200</v>
      </c>
      <c r="F14" s="152" t="s">
        <v>200</v>
      </c>
      <c r="G14" s="152" t="s">
        <v>200</v>
      </c>
      <c r="H14" s="241" t="s">
        <v>200</v>
      </c>
      <c r="I14" s="153" t="s">
        <v>200</v>
      </c>
      <c r="J14" s="152" t="s">
        <v>200</v>
      </c>
      <c r="K14" s="152" t="s">
        <v>200</v>
      </c>
      <c r="L14" s="152" t="s">
        <v>200</v>
      </c>
      <c r="M14" s="152" t="s">
        <v>200</v>
      </c>
      <c r="N14" s="152" t="s">
        <v>200</v>
      </c>
      <c r="O14" s="152" t="s">
        <v>200</v>
      </c>
      <c r="Q14" s="148" t="s">
        <v>21</v>
      </c>
      <c r="R14" s="159">
        <v>45566</v>
      </c>
      <c r="S14" s="159">
        <v>0.43333333333333329</v>
      </c>
      <c r="T14" s="151" t="s">
        <v>210</v>
      </c>
    </row>
    <row r="15" spans="1:23" ht="15" customHeight="1" x14ac:dyDescent="0.25">
      <c r="A15" s="408"/>
      <c r="C15" s="158" t="s">
        <v>218</v>
      </c>
      <c r="D15" s="152" t="s">
        <v>200</v>
      </c>
      <c r="E15" s="152" t="s">
        <v>200</v>
      </c>
      <c r="F15" s="152" t="s">
        <v>196</v>
      </c>
      <c r="G15" s="152" t="s">
        <v>200</v>
      </c>
      <c r="H15" s="241" t="s">
        <v>196</v>
      </c>
      <c r="I15" s="153" t="s">
        <v>196</v>
      </c>
      <c r="J15" s="152" t="s">
        <v>200</v>
      </c>
      <c r="K15" s="152" t="s">
        <v>196</v>
      </c>
      <c r="L15" s="152" t="s">
        <v>200</v>
      </c>
      <c r="M15" s="152" t="s">
        <v>200</v>
      </c>
      <c r="N15" s="152" t="s">
        <v>200</v>
      </c>
      <c r="O15" s="152" t="s">
        <v>200</v>
      </c>
      <c r="Q15" s="148" t="s">
        <v>22</v>
      </c>
      <c r="R15" s="159">
        <v>45589</v>
      </c>
      <c r="S15" s="159">
        <v>0.50347222222222221</v>
      </c>
      <c r="T15" s="151" t="s">
        <v>210</v>
      </c>
    </row>
    <row r="16" spans="1:23" ht="15" customHeight="1" x14ac:dyDescent="0.25">
      <c r="A16" s="408"/>
      <c r="C16" s="158" t="s">
        <v>214</v>
      </c>
      <c r="D16" s="152" t="s">
        <v>200</v>
      </c>
      <c r="E16" s="152" t="s">
        <v>200</v>
      </c>
      <c r="F16" s="152" t="s">
        <v>200</v>
      </c>
      <c r="G16" s="152" t="s">
        <v>200</v>
      </c>
      <c r="H16" s="241" t="s">
        <v>200</v>
      </c>
      <c r="I16" s="153" t="s">
        <v>196</v>
      </c>
      <c r="J16" s="152" t="s">
        <v>200</v>
      </c>
      <c r="K16" s="152" t="s">
        <v>200</v>
      </c>
      <c r="L16" s="152" t="s">
        <v>196</v>
      </c>
      <c r="M16" s="152" t="s">
        <v>200</v>
      </c>
      <c r="N16" s="152" t="s">
        <v>200</v>
      </c>
      <c r="O16" s="152" t="s">
        <v>200</v>
      </c>
      <c r="Q16" s="148" t="s">
        <v>23</v>
      </c>
      <c r="R16" s="159">
        <v>45638</v>
      </c>
      <c r="S16" s="159">
        <v>0.40625</v>
      </c>
      <c r="T16" s="151" t="s">
        <v>210</v>
      </c>
    </row>
    <row r="17" spans="1:21" ht="15" customHeight="1" x14ac:dyDescent="0.25">
      <c r="A17" s="408"/>
      <c r="B17" s="145" t="s">
        <v>220</v>
      </c>
      <c r="C17" s="146"/>
      <c r="D17" s="147">
        <v>2</v>
      </c>
      <c r="E17" s="147">
        <v>2</v>
      </c>
      <c r="F17" s="147">
        <v>2</v>
      </c>
      <c r="G17" s="147">
        <v>1</v>
      </c>
      <c r="H17" s="147">
        <v>1</v>
      </c>
      <c r="I17" s="147">
        <v>2</v>
      </c>
      <c r="J17" s="147">
        <v>2</v>
      </c>
      <c r="K17" s="147">
        <v>2</v>
      </c>
      <c r="L17" s="147">
        <v>2</v>
      </c>
      <c r="M17" s="147">
        <v>2</v>
      </c>
      <c r="N17" s="147">
        <v>2</v>
      </c>
      <c r="O17" s="147">
        <v>2</v>
      </c>
      <c r="Q17" s="148" t="s">
        <v>24</v>
      </c>
      <c r="R17" s="207">
        <v>45673</v>
      </c>
      <c r="S17" s="207">
        <v>0.39513888888888887</v>
      </c>
      <c r="T17" s="151" t="s">
        <v>210</v>
      </c>
    </row>
    <row r="18" spans="1:21" ht="15.75" customHeight="1" x14ac:dyDescent="0.25">
      <c r="A18" s="408"/>
      <c r="C18" s="166" t="s">
        <v>226</v>
      </c>
      <c r="D18" s="152" t="s">
        <v>200</v>
      </c>
      <c r="E18" s="152" t="s">
        <v>200</v>
      </c>
      <c r="F18" s="152" t="s">
        <v>200</v>
      </c>
      <c r="G18" s="152" t="s">
        <v>200</v>
      </c>
      <c r="H18" s="241" t="s">
        <v>200</v>
      </c>
      <c r="I18" s="153" t="s">
        <v>200</v>
      </c>
      <c r="J18" s="152" t="s">
        <v>200</v>
      </c>
      <c r="K18" s="152" t="s">
        <v>200</v>
      </c>
      <c r="L18" s="152" t="s">
        <v>200</v>
      </c>
      <c r="M18" s="152" t="s">
        <v>200</v>
      </c>
      <c r="N18" s="152" t="s">
        <v>200</v>
      </c>
      <c r="O18" s="152" t="s">
        <v>200</v>
      </c>
      <c r="Q18" s="148" t="s">
        <v>25</v>
      </c>
      <c r="R18" s="207">
        <v>45687</v>
      </c>
      <c r="S18" s="207" t="s">
        <v>265</v>
      </c>
      <c r="T18" s="151" t="s">
        <v>213</v>
      </c>
    </row>
    <row r="19" spans="1:21" ht="15.75" customHeight="1" x14ac:dyDescent="0.25">
      <c r="A19" s="408"/>
      <c r="C19" s="166" t="s">
        <v>227</v>
      </c>
      <c r="D19" s="152" t="s">
        <v>200</v>
      </c>
      <c r="E19" s="152" t="s">
        <v>200</v>
      </c>
      <c r="F19" s="152" t="s">
        <v>200</v>
      </c>
      <c r="G19" s="152" t="s">
        <v>200</v>
      </c>
      <c r="H19" s="241" t="s">
        <v>200</v>
      </c>
      <c r="I19" s="153" t="s">
        <v>200</v>
      </c>
      <c r="J19" s="152" t="s">
        <v>200</v>
      </c>
      <c r="K19" s="152" t="s">
        <v>200</v>
      </c>
      <c r="L19" s="152" t="s">
        <v>200</v>
      </c>
      <c r="M19" s="152" t="s">
        <v>200</v>
      </c>
      <c r="N19" s="152" t="s">
        <v>200</v>
      </c>
      <c r="O19" s="152" t="s">
        <v>196</v>
      </c>
      <c r="Q19" s="148" t="s">
        <v>26</v>
      </c>
      <c r="R19" s="207"/>
      <c r="S19" s="207"/>
      <c r="T19" s="151"/>
    </row>
    <row r="20" spans="1:21" ht="15.75" customHeight="1" x14ac:dyDescent="0.25">
      <c r="A20" s="408"/>
      <c r="C20" s="166" t="s">
        <v>261</v>
      </c>
      <c r="D20" s="152" t="s">
        <v>196</v>
      </c>
      <c r="E20" s="152" t="s">
        <v>196</v>
      </c>
      <c r="F20" s="152" t="s">
        <v>196</v>
      </c>
      <c r="G20" s="152" t="s">
        <v>200</v>
      </c>
      <c r="H20" s="241" t="s">
        <v>200</v>
      </c>
      <c r="I20" s="153" t="s">
        <v>200</v>
      </c>
      <c r="J20" s="152" t="s">
        <v>200</v>
      </c>
      <c r="K20" s="152" t="s">
        <v>200</v>
      </c>
      <c r="L20" s="152" t="s">
        <v>200</v>
      </c>
      <c r="M20" s="152" t="s">
        <v>200</v>
      </c>
      <c r="N20" s="152" t="s">
        <v>200</v>
      </c>
      <c r="O20" s="152" t="s">
        <v>200</v>
      </c>
    </row>
    <row r="21" spans="1:21" ht="15.75" customHeight="1" x14ac:dyDescent="0.25">
      <c r="A21" s="408"/>
      <c r="B21" s="145" t="s">
        <v>229</v>
      </c>
      <c r="C21" s="146"/>
      <c r="D21" s="147">
        <v>2</v>
      </c>
      <c r="E21" s="147">
        <v>2</v>
      </c>
      <c r="F21" s="147">
        <v>2</v>
      </c>
      <c r="G21" s="147">
        <v>2</v>
      </c>
      <c r="H21" s="147">
        <v>2</v>
      </c>
      <c r="I21" s="147">
        <v>2</v>
      </c>
      <c r="J21" s="147">
        <v>2</v>
      </c>
      <c r="K21" s="147">
        <v>2</v>
      </c>
      <c r="L21" s="147">
        <v>2</v>
      </c>
      <c r="M21" s="147">
        <v>2</v>
      </c>
      <c r="N21" s="147">
        <v>2</v>
      </c>
      <c r="O21" s="147">
        <v>2</v>
      </c>
    </row>
    <row r="22" spans="1:21" ht="15.75" customHeight="1" x14ac:dyDescent="0.25">
      <c r="A22" s="408"/>
      <c r="C22" s="165" t="s">
        <v>262</v>
      </c>
      <c r="D22" s="152" t="s">
        <v>200</v>
      </c>
      <c r="E22" s="152" t="s">
        <v>200</v>
      </c>
      <c r="F22" s="152" t="s">
        <v>200</v>
      </c>
      <c r="G22" s="152" t="s">
        <v>200</v>
      </c>
      <c r="H22" s="241" t="s">
        <v>200</v>
      </c>
      <c r="I22" s="153" t="s">
        <v>200</v>
      </c>
      <c r="J22" s="152" t="s">
        <v>200</v>
      </c>
      <c r="K22" s="152" t="s">
        <v>200</v>
      </c>
      <c r="L22" s="152" t="s">
        <v>200</v>
      </c>
      <c r="M22" s="152" t="s">
        <v>200</v>
      </c>
      <c r="N22" s="152" t="s">
        <v>200</v>
      </c>
      <c r="O22" s="152" t="s">
        <v>200</v>
      </c>
      <c r="Q22" s="417"/>
      <c r="R22" s="341"/>
      <c r="S22" s="341"/>
      <c r="T22" s="341"/>
      <c r="U22" s="323"/>
    </row>
    <row r="23" spans="1:21" ht="15.75" customHeight="1" x14ac:dyDescent="0.25">
      <c r="A23" s="408"/>
      <c r="C23" s="166" t="s">
        <v>231</v>
      </c>
      <c r="D23" s="152" t="s">
        <v>200</v>
      </c>
      <c r="E23" s="152" t="s">
        <v>200</v>
      </c>
      <c r="F23" s="152" t="s">
        <v>200</v>
      </c>
      <c r="G23" s="152" t="s">
        <v>200</v>
      </c>
      <c r="H23" s="241" t="s">
        <v>200</v>
      </c>
      <c r="I23" s="153" t="s">
        <v>200</v>
      </c>
      <c r="J23" s="152" t="s">
        <v>200</v>
      </c>
      <c r="K23" s="152" t="s">
        <v>200</v>
      </c>
      <c r="L23" s="152" t="s">
        <v>200</v>
      </c>
      <c r="M23" s="152" t="s">
        <v>200</v>
      </c>
      <c r="N23" s="152" t="s">
        <v>200</v>
      </c>
      <c r="O23" s="152" t="s">
        <v>200</v>
      </c>
      <c r="Q23" s="417"/>
      <c r="R23" s="341"/>
      <c r="S23" s="341"/>
      <c r="T23" s="341"/>
      <c r="U23" s="323"/>
    </row>
    <row r="24" spans="1:21" ht="15.75" customHeight="1" x14ac:dyDescent="0.25">
      <c r="A24" s="333"/>
      <c r="C24" s="166" t="s">
        <v>254</v>
      </c>
      <c r="D24" s="152" t="s">
        <v>200</v>
      </c>
      <c r="E24" s="152" t="s">
        <v>200</v>
      </c>
      <c r="F24" s="152" t="s">
        <v>200</v>
      </c>
      <c r="G24" s="152" t="s">
        <v>200</v>
      </c>
      <c r="H24" s="241" t="s">
        <v>200</v>
      </c>
      <c r="I24" s="153" t="s">
        <v>200</v>
      </c>
      <c r="J24" s="152" t="s">
        <v>200</v>
      </c>
      <c r="K24" s="152" t="s">
        <v>200</v>
      </c>
      <c r="L24" s="152" t="s">
        <v>200</v>
      </c>
      <c r="M24" s="152" t="s">
        <v>200</v>
      </c>
      <c r="N24" s="152" t="s">
        <v>200</v>
      </c>
      <c r="O24" s="152" t="s">
        <v>200</v>
      </c>
      <c r="Q24" s="417"/>
      <c r="R24" s="341"/>
      <c r="S24" s="341"/>
      <c r="T24" s="341"/>
      <c r="U24" s="323"/>
    </row>
    <row r="25" spans="1:21" ht="15.75" customHeight="1" x14ac:dyDescent="0.25">
      <c r="A25" s="416" t="s">
        <v>233</v>
      </c>
      <c r="B25" s="341"/>
      <c r="C25" s="341"/>
      <c r="D25" s="167">
        <v>2</v>
      </c>
      <c r="E25" s="167">
        <v>2</v>
      </c>
      <c r="F25" s="167">
        <v>2</v>
      </c>
      <c r="G25" s="167">
        <v>2</v>
      </c>
      <c r="H25" s="167">
        <v>2</v>
      </c>
      <c r="I25" s="167">
        <v>2</v>
      </c>
      <c r="J25" s="167">
        <v>2</v>
      </c>
      <c r="K25" s="167">
        <v>2</v>
      </c>
      <c r="L25" s="167">
        <v>2</v>
      </c>
      <c r="M25" s="167">
        <v>2</v>
      </c>
      <c r="N25" s="167">
        <v>2</v>
      </c>
      <c r="O25" s="167">
        <v>2</v>
      </c>
      <c r="Q25" s="417"/>
      <c r="R25" s="341"/>
      <c r="S25" s="341"/>
      <c r="T25" s="341"/>
      <c r="U25" s="323"/>
    </row>
    <row r="26" spans="1:21" ht="15.75" customHeight="1" x14ac:dyDescent="0.25">
      <c r="A26" s="146"/>
      <c r="C26" s="165" t="s">
        <v>83</v>
      </c>
      <c r="D26" s="152" t="s">
        <v>200</v>
      </c>
      <c r="E26" s="152" t="s">
        <v>200</v>
      </c>
      <c r="F26" s="152" t="s">
        <v>200</v>
      </c>
      <c r="G26" s="152" t="s">
        <v>200</v>
      </c>
      <c r="H26" s="241" t="s">
        <v>200</v>
      </c>
      <c r="I26" s="153" t="s">
        <v>200</v>
      </c>
      <c r="J26" s="152" t="s">
        <v>200</v>
      </c>
      <c r="K26" s="152" t="s">
        <v>200</v>
      </c>
      <c r="L26" s="152" t="s">
        <v>200</v>
      </c>
      <c r="M26" s="152" t="s">
        <v>200</v>
      </c>
      <c r="N26" s="152" t="s">
        <v>200</v>
      </c>
      <c r="O26" s="152" t="s">
        <v>200</v>
      </c>
      <c r="Q26" s="417"/>
      <c r="R26" s="341"/>
      <c r="S26" s="341"/>
      <c r="T26" s="341"/>
      <c r="U26" s="323"/>
    </row>
    <row r="27" spans="1:21" ht="15.75" customHeight="1" x14ac:dyDescent="0.25">
      <c r="A27" s="146"/>
      <c r="C27" s="166" t="s">
        <v>234</v>
      </c>
      <c r="D27" s="152"/>
      <c r="E27" s="152"/>
      <c r="F27" s="152"/>
      <c r="G27" s="152"/>
      <c r="H27" s="241"/>
      <c r="I27" s="153"/>
      <c r="J27" s="152"/>
      <c r="K27" s="152"/>
      <c r="L27" s="152"/>
      <c r="M27" s="152"/>
      <c r="N27" s="152"/>
      <c r="O27" s="152"/>
      <c r="Q27" s="417"/>
      <c r="R27" s="341"/>
      <c r="S27" s="341"/>
      <c r="T27" s="341"/>
      <c r="U27" s="323"/>
    </row>
    <row r="28" spans="1:21" ht="15.75" customHeight="1" x14ac:dyDescent="0.25">
      <c r="A28" s="146"/>
      <c r="C28" s="158" t="s">
        <v>85</v>
      </c>
      <c r="D28" s="152"/>
      <c r="E28" s="152"/>
      <c r="F28" s="152"/>
      <c r="G28" s="138"/>
      <c r="H28" s="241"/>
      <c r="I28" s="168"/>
      <c r="J28" s="152"/>
      <c r="K28" s="152"/>
      <c r="L28" s="152" t="s">
        <v>200</v>
      </c>
      <c r="M28" s="152"/>
      <c r="N28" s="152"/>
      <c r="O28" s="152"/>
      <c r="Q28" s="417"/>
      <c r="R28" s="341"/>
      <c r="S28" s="341"/>
      <c r="T28" s="341"/>
      <c r="U28" s="323"/>
    </row>
    <row r="29" spans="1:21" ht="15.75" customHeight="1" x14ac:dyDescent="0.25">
      <c r="A29" s="418" t="s">
        <v>235</v>
      </c>
      <c r="B29" s="341"/>
      <c r="C29" s="341"/>
      <c r="D29" s="169" t="s">
        <v>237</v>
      </c>
      <c r="E29" s="169" t="s">
        <v>240</v>
      </c>
      <c r="F29" s="169" t="s">
        <v>240</v>
      </c>
      <c r="G29" s="169" t="s">
        <v>266</v>
      </c>
      <c r="H29" s="169" t="s">
        <v>238</v>
      </c>
      <c r="I29" s="169" t="s">
        <v>238</v>
      </c>
      <c r="J29" s="169" t="s">
        <v>238</v>
      </c>
      <c r="K29" s="169" t="s">
        <v>236</v>
      </c>
      <c r="L29" s="169" t="s">
        <v>236</v>
      </c>
      <c r="M29" s="171" t="s">
        <v>236</v>
      </c>
      <c r="N29" s="171" t="s">
        <v>240</v>
      </c>
      <c r="O29" s="171" t="s">
        <v>240</v>
      </c>
      <c r="Q29" s="417"/>
      <c r="R29" s="341"/>
      <c r="S29" s="341"/>
      <c r="T29" s="341"/>
      <c r="U29" s="323"/>
    </row>
    <row r="30" spans="1:21" ht="15.75" customHeight="1" x14ac:dyDescent="0.2">
      <c r="A30" s="172" t="s">
        <v>241</v>
      </c>
      <c r="Q30" s="417"/>
      <c r="R30" s="341"/>
      <c r="S30" s="341"/>
      <c r="T30" s="341"/>
      <c r="U30" s="323"/>
    </row>
    <row r="31" spans="1:21" ht="15.75" customHeight="1" x14ac:dyDescent="0.2">
      <c r="Q31" s="417"/>
      <c r="R31" s="341"/>
      <c r="S31" s="341"/>
      <c r="T31" s="341"/>
      <c r="U31" s="323"/>
    </row>
    <row r="32" spans="1:21" ht="15.75" customHeight="1" x14ac:dyDescent="0.2">
      <c r="Q32" s="417"/>
      <c r="R32" s="341"/>
      <c r="S32" s="341"/>
      <c r="T32" s="341"/>
      <c r="U32" s="323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22">
    <mergeCell ref="Q32:U32"/>
    <mergeCell ref="A6:O6"/>
    <mergeCell ref="Q6:T6"/>
    <mergeCell ref="A7:C7"/>
    <mergeCell ref="Q31:U31"/>
    <mergeCell ref="A5:B5"/>
    <mergeCell ref="A8:A24"/>
    <mergeCell ref="Q22:U22"/>
    <mergeCell ref="Q27:U27"/>
    <mergeCell ref="Q30:U30"/>
    <mergeCell ref="A2:O2"/>
    <mergeCell ref="Q29:U29"/>
    <mergeCell ref="Q23:U23"/>
    <mergeCell ref="A29:C29"/>
    <mergeCell ref="Q26:U26"/>
    <mergeCell ref="A4:B4"/>
    <mergeCell ref="A25:C25"/>
    <mergeCell ref="Q25:U25"/>
    <mergeCell ref="Q28:U28"/>
    <mergeCell ref="I4:O4"/>
    <mergeCell ref="K5:O5"/>
    <mergeCell ref="Q24:U24"/>
  </mergeCells>
  <conditionalFormatting sqref="D18:O20 M13:O16 M22:N24 M26:N26">
    <cfRule type="cellIs" dxfId="5203" priority="133" operator="equal">
      <formula>"NI"</formula>
    </cfRule>
    <cfRule type="cellIs" dxfId="5202" priority="134" operator="equal">
      <formula>"N"</formula>
    </cfRule>
    <cfRule type="cellIs" dxfId="5201" priority="135" operator="equal">
      <formula>"P"</formula>
    </cfRule>
    <cfRule type="cellIs" dxfId="5200" priority="136" operator="equal">
      <formula>"J"</formula>
    </cfRule>
  </conditionalFormatting>
  <conditionalFormatting sqref="M27:M28">
    <cfRule type="cellIs" dxfId="5199" priority="137" operator="equal">
      <formula>"NI"</formula>
    </cfRule>
    <cfRule type="cellIs" dxfId="5198" priority="138" operator="equal">
      <formula>"N"</formula>
    </cfRule>
    <cfRule type="cellIs" dxfId="5197" priority="139" operator="equal">
      <formula>"P"</formula>
    </cfRule>
    <cfRule type="cellIs" dxfId="5196" priority="140" operator="equal">
      <formula>"J"</formula>
    </cfRule>
  </conditionalFormatting>
  <conditionalFormatting sqref="M9:M10">
    <cfRule type="cellIs" dxfId="5195" priority="141" operator="equal">
      <formula>"NI"</formula>
    </cfRule>
    <cfRule type="cellIs" dxfId="5194" priority="142" operator="equal">
      <formula>"N"</formula>
    </cfRule>
    <cfRule type="cellIs" dxfId="5193" priority="143" operator="equal">
      <formula>"P"</formula>
    </cfRule>
    <cfRule type="cellIs" dxfId="5192" priority="144" operator="equal">
      <formula>"J"</formula>
    </cfRule>
  </conditionalFormatting>
  <conditionalFormatting sqref="M11">
    <cfRule type="cellIs" dxfId="5191" priority="145" operator="equal">
      <formula>"NI"</formula>
    </cfRule>
    <cfRule type="cellIs" dxfId="5190" priority="146" operator="equal">
      <formula>"N"</formula>
    </cfRule>
    <cfRule type="cellIs" dxfId="5189" priority="147" operator="equal">
      <formula>"P"</formula>
    </cfRule>
    <cfRule type="cellIs" dxfId="5188" priority="148" operator="equal">
      <formula>"J"</formula>
    </cfRule>
  </conditionalFormatting>
  <conditionalFormatting sqref="N27:N28">
    <cfRule type="cellIs" dxfId="5187" priority="149" operator="equal">
      <formula>"NI"</formula>
    </cfRule>
    <cfRule type="cellIs" dxfId="5186" priority="150" operator="equal">
      <formula>"N"</formula>
    </cfRule>
    <cfRule type="cellIs" dxfId="5185" priority="151" operator="equal">
      <formula>"P"</formula>
    </cfRule>
    <cfRule type="cellIs" dxfId="5184" priority="152" operator="equal">
      <formula>"J"</formula>
    </cfRule>
  </conditionalFormatting>
  <conditionalFormatting sqref="N9:N11">
    <cfRule type="cellIs" dxfId="5183" priority="153" operator="equal">
      <formula>"NI"</formula>
    </cfRule>
    <cfRule type="cellIs" dxfId="5182" priority="154" operator="equal">
      <formula>"N"</formula>
    </cfRule>
    <cfRule type="cellIs" dxfId="5181" priority="155" operator="equal">
      <formula>"P"</formula>
    </cfRule>
    <cfRule type="cellIs" dxfId="5180" priority="156" operator="equal">
      <formula>"J"</formula>
    </cfRule>
  </conditionalFormatting>
  <conditionalFormatting sqref="O9:O11 O22:O24 O26:O28">
    <cfRule type="cellIs" dxfId="5179" priority="157" operator="equal">
      <formula>"NI"</formula>
    </cfRule>
    <cfRule type="cellIs" dxfId="5178" priority="158" operator="equal">
      <formula>"N"</formula>
    </cfRule>
    <cfRule type="cellIs" dxfId="5177" priority="159" operator="equal">
      <formula>"P"</formula>
    </cfRule>
    <cfRule type="cellIs" dxfId="5176" priority="160" operator="equal">
      <formula>"J"</formula>
    </cfRule>
  </conditionalFormatting>
  <conditionalFormatting sqref="I13:I16">
    <cfRule type="cellIs" dxfId="5175" priority="69" operator="equal">
      <formula>"NI"</formula>
    </cfRule>
    <cfRule type="cellIs" dxfId="5174" priority="70" operator="equal">
      <formula>"N"</formula>
    </cfRule>
    <cfRule type="cellIs" dxfId="5173" priority="71" operator="equal">
      <formula>"P"</formula>
    </cfRule>
    <cfRule type="cellIs" dxfId="5172" priority="72" operator="equal">
      <formula>"J"</formula>
    </cfRule>
  </conditionalFormatting>
  <conditionalFormatting sqref="I9:I11 I22:I24 I26:I28">
    <cfRule type="cellIs" dxfId="5171" priority="65" operator="equal">
      <formula>"NI"</formula>
    </cfRule>
    <cfRule type="cellIs" dxfId="5170" priority="66" operator="equal">
      <formula>"N"</formula>
    </cfRule>
    <cfRule type="cellIs" dxfId="5169" priority="67" operator="equal">
      <formula>"P"</formula>
    </cfRule>
    <cfRule type="cellIs" dxfId="5168" priority="68" operator="equal">
      <formula>"J"</formula>
    </cfRule>
  </conditionalFormatting>
  <conditionalFormatting sqref="J13:J16">
    <cfRule type="cellIs" dxfId="5167" priority="61" operator="equal">
      <formula>"NI"</formula>
    </cfRule>
    <cfRule type="cellIs" dxfId="5166" priority="62" operator="equal">
      <formula>"N"</formula>
    </cfRule>
    <cfRule type="cellIs" dxfId="5165" priority="63" operator="equal">
      <formula>"P"</formula>
    </cfRule>
    <cfRule type="cellIs" dxfId="5164" priority="64" operator="equal">
      <formula>"J"</formula>
    </cfRule>
  </conditionalFormatting>
  <conditionalFormatting sqref="J9:J11 J22:J24 J26:J28">
    <cfRule type="cellIs" dxfId="5163" priority="57" operator="equal">
      <formula>"NI"</formula>
    </cfRule>
    <cfRule type="cellIs" dxfId="5162" priority="58" operator="equal">
      <formula>"N"</formula>
    </cfRule>
    <cfRule type="cellIs" dxfId="5161" priority="59" operator="equal">
      <formula>"P"</formula>
    </cfRule>
    <cfRule type="cellIs" dxfId="5160" priority="60" operator="equal">
      <formula>"J"</formula>
    </cfRule>
  </conditionalFormatting>
  <conditionalFormatting sqref="K13:K16">
    <cfRule type="cellIs" dxfId="5159" priority="53" operator="equal">
      <formula>"NI"</formula>
    </cfRule>
    <cfRule type="cellIs" dxfId="5158" priority="54" operator="equal">
      <formula>"N"</formula>
    </cfRule>
    <cfRule type="cellIs" dxfId="5157" priority="55" operator="equal">
      <formula>"P"</formula>
    </cfRule>
    <cfRule type="cellIs" dxfId="5156" priority="56" operator="equal">
      <formula>"J"</formula>
    </cfRule>
  </conditionalFormatting>
  <conditionalFormatting sqref="K9:K11 K22:K24 K26:K28">
    <cfRule type="cellIs" dxfId="5155" priority="49" operator="equal">
      <formula>"NI"</formula>
    </cfRule>
    <cfRule type="cellIs" dxfId="5154" priority="50" operator="equal">
      <formula>"N"</formula>
    </cfRule>
    <cfRule type="cellIs" dxfId="5153" priority="51" operator="equal">
      <formula>"P"</formula>
    </cfRule>
    <cfRule type="cellIs" dxfId="5152" priority="52" operator="equal">
      <formula>"J"</formula>
    </cfRule>
  </conditionalFormatting>
  <conditionalFormatting sqref="L13:L16">
    <cfRule type="cellIs" dxfId="5151" priority="45" operator="equal">
      <formula>"NI"</formula>
    </cfRule>
    <cfRule type="cellIs" dxfId="5150" priority="46" operator="equal">
      <formula>"N"</formula>
    </cfRule>
    <cfRule type="cellIs" dxfId="5149" priority="47" operator="equal">
      <formula>"P"</formula>
    </cfRule>
    <cfRule type="cellIs" dxfId="5148" priority="48" operator="equal">
      <formula>"J"</formula>
    </cfRule>
  </conditionalFormatting>
  <conditionalFormatting sqref="L9:L11 L22:L24 L26:L28">
    <cfRule type="cellIs" dxfId="5147" priority="41" operator="equal">
      <formula>"NI"</formula>
    </cfRule>
    <cfRule type="cellIs" dxfId="5146" priority="42" operator="equal">
      <formula>"N"</formula>
    </cfRule>
    <cfRule type="cellIs" dxfId="5145" priority="43" operator="equal">
      <formula>"P"</formula>
    </cfRule>
    <cfRule type="cellIs" dxfId="5144" priority="44" operator="equal">
      <formula>"J"</formula>
    </cfRule>
  </conditionalFormatting>
  <conditionalFormatting sqref="D13:D16">
    <cfRule type="cellIs" dxfId="5143" priority="37" operator="equal">
      <formula>"NI"</formula>
    </cfRule>
    <cfRule type="cellIs" dxfId="5142" priority="38" operator="equal">
      <formula>"N"</formula>
    </cfRule>
    <cfRule type="cellIs" dxfId="5141" priority="39" operator="equal">
      <formula>"P"</formula>
    </cfRule>
    <cfRule type="cellIs" dxfId="5140" priority="40" operator="equal">
      <formula>"J"</formula>
    </cfRule>
  </conditionalFormatting>
  <conditionalFormatting sqref="D9:D11 D22:D24 D26:D28">
    <cfRule type="cellIs" dxfId="5139" priority="33" operator="equal">
      <formula>"NI"</formula>
    </cfRule>
    <cfRule type="cellIs" dxfId="5138" priority="34" operator="equal">
      <formula>"N"</formula>
    </cfRule>
    <cfRule type="cellIs" dxfId="5137" priority="35" operator="equal">
      <formula>"P"</formula>
    </cfRule>
    <cfRule type="cellIs" dxfId="5136" priority="36" operator="equal">
      <formula>"J"</formula>
    </cfRule>
  </conditionalFormatting>
  <conditionalFormatting sqref="E13:E16">
    <cfRule type="cellIs" dxfId="5135" priority="29" operator="equal">
      <formula>"NI"</formula>
    </cfRule>
    <cfRule type="cellIs" dxfId="5134" priority="30" operator="equal">
      <formula>"N"</formula>
    </cfRule>
    <cfRule type="cellIs" dxfId="5133" priority="31" operator="equal">
      <formula>"P"</formula>
    </cfRule>
    <cfRule type="cellIs" dxfId="5132" priority="32" operator="equal">
      <formula>"J"</formula>
    </cfRule>
  </conditionalFormatting>
  <conditionalFormatting sqref="E9:E11 E22:E24 E26:E28">
    <cfRule type="cellIs" dxfId="5131" priority="25" operator="equal">
      <formula>"NI"</formula>
    </cfRule>
    <cfRule type="cellIs" dxfId="5130" priority="26" operator="equal">
      <formula>"N"</formula>
    </cfRule>
    <cfRule type="cellIs" dxfId="5129" priority="27" operator="equal">
      <formula>"P"</formula>
    </cfRule>
    <cfRule type="cellIs" dxfId="5128" priority="28" operator="equal">
      <formula>"J"</formula>
    </cfRule>
  </conditionalFormatting>
  <conditionalFormatting sqref="F13:F16">
    <cfRule type="cellIs" dxfId="5127" priority="21" operator="equal">
      <formula>"NI"</formula>
    </cfRule>
    <cfRule type="cellIs" dxfId="5126" priority="22" operator="equal">
      <formula>"N"</formula>
    </cfRule>
    <cfRule type="cellIs" dxfId="5125" priority="23" operator="equal">
      <formula>"P"</formula>
    </cfRule>
    <cfRule type="cellIs" dxfId="5124" priority="24" operator="equal">
      <formula>"J"</formula>
    </cfRule>
  </conditionalFormatting>
  <conditionalFormatting sqref="F9:F11 F22:F24 F26:F28">
    <cfRule type="cellIs" dxfId="5123" priority="17" operator="equal">
      <formula>"NI"</formula>
    </cfRule>
    <cfRule type="cellIs" dxfId="5122" priority="18" operator="equal">
      <formula>"N"</formula>
    </cfRule>
    <cfRule type="cellIs" dxfId="5121" priority="19" operator="equal">
      <formula>"P"</formula>
    </cfRule>
    <cfRule type="cellIs" dxfId="5120" priority="20" operator="equal">
      <formula>"J"</formula>
    </cfRule>
  </conditionalFormatting>
  <conditionalFormatting sqref="G9:G11 G13:G16 G22:G24 G26:G27">
    <cfRule type="cellIs" dxfId="5119" priority="13" operator="equal">
      <formula>"NI"</formula>
    </cfRule>
    <cfRule type="cellIs" dxfId="5118" priority="14" operator="equal">
      <formula>"N"</formula>
    </cfRule>
    <cfRule type="cellIs" dxfId="5117" priority="15" operator="equal">
      <formula>"P"</formula>
    </cfRule>
    <cfRule type="cellIs" dxfId="5116" priority="16" operator="equal">
      <formula>"J"</formula>
    </cfRule>
  </conditionalFormatting>
  <conditionalFormatting sqref="G28">
    <cfRule type="cellIs" dxfId="5115" priority="9" operator="equal">
      <formula>"NI"</formula>
    </cfRule>
    <cfRule type="cellIs" dxfId="5114" priority="10" operator="equal">
      <formula>"N"</formula>
    </cfRule>
    <cfRule type="cellIs" dxfId="5113" priority="11" operator="equal">
      <formula>"P"</formula>
    </cfRule>
    <cfRule type="cellIs" dxfId="5112" priority="12" operator="equal">
      <formula>"J"</formula>
    </cfRule>
  </conditionalFormatting>
  <conditionalFormatting sqref="H13:H16">
    <cfRule type="cellIs" dxfId="5111" priority="5" operator="equal">
      <formula>"NI"</formula>
    </cfRule>
    <cfRule type="cellIs" dxfId="5110" priority="6" operator="equal">
      <formula>"N"</formula>
    </cfRule>
    <cfRule type="cellIs" dxfId="5109" priority="7" operator="equal">
      <formula>"P"</formula>
    </cfRule>
    <cfRule type="cellIs" dxfId="5108" priority="8" operator="equal">
      <formula>"J"</formula>
    </cfRule>
  </conditionalFormatting>
  <conditionalFormatting sqref="H9:H11 H22:H24 H26:H28">
    <cfRule type="cellIs" dxfId="5107" priority="1" operator="equal">
      <formula>"NI"</formula>
    </cfRule>
    <cfRule type="cellIs" dxfId="5106" priority="2" operator="equal">
      <formula>"N"</formula>
    </cfRule>
    <cfRule type="cellIs" dxfId="5105" priority="3" operator="equal">
      <formula>"P"</formula>
    </cfRule>
    <cfRule type="cellIs" dxfId="510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1"/>
  <sheetViews>
    <sheetView workbookViewId="0">
      <selection activeCell="R12" sqref="R12:T12"/>
    </sheetView>
  </sheetViews>
  <sheetFormatPr defaultColWidth="12.625" defaultRowHeight="14.25" x14ac:dyDescent="0.2"/>
  <cols>
    <col min="1" max="2" width="4.875" style="297" customWidth="1"/>
    <col min="3" max="3" width="54.875" style="297" customWidth="1"/>
    <col min="4" max="4" width="3.875" style="297" customWidth="1"/>
    <col min="5" max="5" width="3.75" style="297" customWidth="1"/>
    <col min="6" max="6" width="4.5" style="297" customWidth="1"/>
    <col min="7" max="8" width="4" style="297" customWidth="1"/>
    <col min="9" max="9" width="3.875" style="297" customWidth="1"/>
    <col min="10" max="10" width="3.375" style="297" customWidth="1"/>
    <col min="11" max="11" width="4.375" style="297" customWidth="1"/>
    <col min="12" max="12" width="3.5" style="297" customWidth="1"/>
    <col min="13" max="13" width="4.125" style="297" customWidth="1"/>
    <col min="14" max="14" width="4.5" style="297" customWidth="1"/>
    <col min="15" max="15" width="3.75" style="297" customWidth="1"/>
    <col min="16" max="16" width="2.25" style="297" customWidth="1"/>
    <col min="17" max="17" width="9.375" style="297" customWidth="1"/>
    <col min="18" max="18" width="10.5" style="297" customWidth="1"/>
    <col min="19" max="19" width="9.375" style="297" customWidth="1"/>
    <col min="20" max="20" width="14.75" style="297" customWidth="1"/>
    <col min="21" max="22" width="8" style="297" customWidth="1"/>
    <col min="23" max="23" width="19.625" style="297" customWidth="1"/>
    <col min="24" max="26" width="7.625" style="297" customWidth="1"/>
    <col min="27" max="1024" width="12.625" style="297" customWidth="1"/>
  </cols>
  <sheetData>
    <row r="1" spans="1:23" ht="3.75" customHeight="1" x14ac:dyDescent="0.2"/>
    <row r="2" spans="1:23" ht="18.75" customHeight="1" x14ac:dyDescent="0.3">
      <c r="A2" s="410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11" t="s">
        <v>243</v>
      </c>
      <c r="B4" s="408"/>
      <c r="C4" s="295" t="s">
        <v>136</v>
      </c>
      <c r="E4" s="142" t="s">
        <v>168</v>
      </c>
      <c r="I4" s="406" t="s">
        <v>256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11" t="s">
        <v>246</v>
      </c>
      <c r="B5" s="408"/>
      <c r="C5" s="296" t="s">
        <v>257</v>
      </c>
      <c r="E5" s="142" t="s">
        <v>263</v>
      </c>
      <c r="K5" s="407" t="s">
        <v>264</v>
      </c>
      <c r="L5" s="408"/>
      <c r="M5" s="408"/>
      <c r="N5" s="408"/>
      <c r="O5" s="408"/>
    </row>
    <row r="6" spans="1:23" ht="22.5" customHeight="1" x14ac:dyDescent="0.25">
      <c r="A6" s="41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14" t="s">
        <v>174</v>
      </c>
      <c r="R6" s="408"/>
      <c r="S6" s="408"/>
      <c r="T6" s="408"/>
    </row>
    <row r="7" spans="1:23" ht="15" customHeight="1" x14ac:dyDescent="0.25">
      <c r="A7" s="415" t="s">
        <v>175</v>
      </c>
      <c r="B7" s="341"/>
      <c r="C7" s="341"/>
      <c r="D7" s="143" t="s">
        <v>176</v>
      </c>
      <c r="E7" s="143" t="s">
        <v>177</v>
      </c>
      <c r="F7" s="143" t="s">
        <v>178</v>
      </c>
      <c r="G7" s="143" t="s">
        <v>179</v>
      </c>
      <c r="H7" s="143" t="s">
        <v>180</v>
      </c>
      <c r="I7" s="143" t="s">
        <v>181</v>
      </c>
      <c r="J7" s="143" t="s">
        <v>182</v>
      </c>
      <c r="K7" s="143" t="s">
        <v>183</v>
      </c>
      <c r="L7" s="143" t="s">
        <v>184</v>
      </c>
      <c r="M7" s="143" t="s">
        <v>185</v>
      </c>
      <c r="N7" s="143" t="s">
        <v>186</v>
      </c>
      <c r="O7" s="143" t="s">
        <v>187</v>
      </c>
      <c r="Q7" s="144" t="s">
        <v>188</v>
      </c>
      <c r="R7" s="144" t="s">
        <v>189</v>
      </c>
      <c r="S7" s="144" t="s">
        <v>190</v>
      </c>
      <c r="T7" s="144" t="s">
        <v>191</v>
      </c>
      <c r="V7" s="144" t="s">
        <v>192</v>
      </c>
      <c r="W7" s="298"/>
    </row>
    <row r="8" spans="1:23" ht="15" customHeight="1" x14ac:dyDescent="0.25">
      <c r="A8" s="409" t="s">
        <v>193</v>
      </c>
      <c r="B8" s="145" t="s">
        <v>194</v>
      </c>
      <c r="C8" s="146"/>
      <c r="D8" s="147">
        <v>2</v>
      </c>
      <c r="E8" s="147">
        <v>2</v>
      </c>
      <c r="F8" s="147">
        <v>2</v>
      </c>
      <c r="G8" s="147">
        <v>2</v>
      </c>
      <c r="H8" s="147">
        <v>2</v>
      </c>
      <c r="I8" s="147">
        <v>2</v>
      </c>
      <c r="J8" s="147">
        <v>2</v>
      </c>
      <c r="K8" s="147">
        <v>2</v>
      </c>
      <c r="L8" s="147">
        <v>2</v>
      </c>
      <c r="M8" s="147">
        <v>2</v>
      </c>
      <c r="N8" s="147">
        <v>2</v>
      </c>
      <c r="O8" s="147">
        <v>2</v>
      </c>
      <c r="Q8" s="148" t="s">
        <v>15</v>
      </c>
      <c r="R8" s="149">
        <v>45371</v>
      </c>
      <c r="S8" s="150">
        <v>0.41666666666666669</v>
      </c>
      <c r="T8" s="151" t="s">
        <v>249</v>
      </c>
      <c r="V8" s="72" t="s">
        <v>196</v>
      </c>
      <c r="W8" s="69" t="s">
        <v>197</v>
      </c>
    </row>
    <row r="9" spans="1:23" ht="15" customHeight="1" x14ac:dyDescent="0.25">
      <c r="A9" s="408"/>
      <c r="C9" s="88" t="s">
        <v>198</v>
      </c>
      <c r="D9" s="152"/>
      <c r="E9" s="152"/>
      <c r="F9" s="152"/>
      <c r="G9" s="152"/>
      <c r="H9" s="241"/>
      <c r="I9" s="153"/>
      <c r="J9" s="152"/>
      <c r="K9" s="152"/>
      <c r="L9" s="152"/>
      <c r="M9" s="152"/>
      <c r="N9" s="152"/>
      <c r="O9" s="152"/>
      <c r="Q9" s="154" t="s">
        <v>16</v>
      </c>
      <c r="R9" s="93">
        <v>45401</v>
      </c>
      <c r="S9" s="94">
        <v>0.42638888888888887</v>
      </c>
      <c r="T9" s="151" t="s">
        <v>249</v>
      </c>
      <c r="V9" s="72" t="s">
        <v>200</v>
      </c>
      <c r="W9" s="69" t="s">
        <v>201</v>
      </c>
    </row>
    <row r="10" spans="1:23" ht="15" customHeight="1" x14ac:dyDescent="0.25">
      <c r="A10" s="408"/>
      <c r="C10" s="155" t="s">
        <v>202</v>
      </c>
      <c r="D10" s="152"/>
      <c r="E10" s="152"/>
      <c r="F10" s="152"/>
      <c r="G10" s="152"/>
      <c r="H10" s="241"/>
      <c r="I10" s="153"/>
      <c r="J10" s="152"/>
      <c r="K10" s="152"/>
      <c r="L10" s="152"/>
      <c r="M10" s="152"/>
      <c r="N10" s="152"/>
      <c r="O10" s="152"/>
      <c r="Q10" s="154" t="s">
        <v>17</v>
      </c>
      <c r="R10" s="93">
        <v>45434</v>
      </c>
      <c r="S10" s="94">
        <v>0.37638888888888888</v>
      </c>
      <c r="T10" s="151" t="s">
        <v>249</v>
      </c>
      <c r="V10" s="75" t="s">
        <v>204</v>
      </c>
      <c r="W10" s="69" t="s">
        <v>205</v>
      </c>
    </row>
    <row r="11" spans="1:23" ht="15" customHeight="1" x14ac:dyDescent="0.25">
      <c r="A11" s="408"/>
      <c r="C11" s="99" t="s">
        <v>206</v>
      </c>
      <c r="D11" s="152" t="s">
        <v>200</v>
      </c>
      <c r="E11" s="152" t="s">
        <v>200</v>
      </c>
      <c r="F11" s="152" t="s">
        <v>200</v>
      </c>
      <c r="G11" s="152" t="s">
        <v>200</v>
      </c>
      <c r="H11" s="241" t="s">
        <v>200</v>
      </c>
      <c r="I11" s="153" t="s">
        <v>200</v>
      </c>
      <c r="J11" s="152" t="s">
        <v>200</v>
      </c>
      <c r="K11" s="152" t="s">
        <v>200</v>
      </c>
      <c r="L11" s="152" t="s">
        <v>200</v>
      </c>
      <c r="M11" s="152" t="s">
        <v>200</v>
      </c>
      <c r="N11" s="152" t="s">
        <v>200</v>
      </c>
      <c r="O11" s="152" t="s">
        <v>200</v>
      </c>
      <c r="Q11" s="154" t="s">
        <v>18</v>
      </c>
      <c r="R11" s="156">
        <v>45468</v>
      </c>
      <c r="S11" s="157">
        <v>0.74583333333333335</v>
      </c>
      <c r="T11" s="151" t="s">
        <v>249</v>
      </c>
      <c r="V11" s="75" t="s">
        <v>207</v>
      </c>
      <c r="W11" s="69" t="s">
        <v>208</v>
      </c>
    </row>
    <row r="12" spans="1:23" ht="15" customHeight="1" x14ac:dyDescent="0.25">
      <c r="A12" s="408"/>
      <c r="B12" s="145" t="s">
        <v>209</v>
      </c>
      <c r="C12" s="146"/>
      <c r="D12" s="147">
        <v>2</v>
      </c>
      <c r="E12" s="147">
        <v>2</v>
      </c>
      <c r="F12" s="147">
        <v>2</v>
      </c>
      <c r="G12" s="147">
        <v>2</v>
      </c>
      <c r="H12" s="147">
        <v>2</v>
      </c>
      <c r="I12" s="147">
        <v>2</v>
      </c>
      <c r="J12" s="147">
        <v>2</v>
      </c>
      <c r="K12" s="147">
        <v>2</v>
      </c>
      <c r="L12" s="147">
        <v>2</v>
      </c>
      <c r="M12" s="147">
        <v>2</v>
      </c>
      <c r="N12" s="147">
        <v>2</v>
      </c>
      <c r="O12" s="147">
        <v>2</v>
      </c>
      <c r="Q12" s="154" t="s">
        <v>19</v>
      </c>
      <c r="R12" s="93">
        <v>45511</v>
      </c>
      <c r="S12" s="94">
        <v>0.37291666666666667</v>
      </c>
      <c r="T12" s="151" t="s">
        <v>210</v>
      </c>
    </row>
    <row r="13" spans="1:23" ht="15" customHeight="1" x14ac:dyDescent="0.25">
      <c r="A13" s="408"/>
      <c r="C13" s="158" t="s">
        <v>258</v>
      </c>
      <c r="D13" s="152" t="s">
        <v>200</v>
      </c>
      <c r="E13" s="152" t="s">
        <v>200</v>
      </c>
      <c r="F13" s="152" t="s">
        <v>200</v>
      </c>
      <c r="G13" s="152" t="s">
        <v>200</v>
      </c>
      <c r="H13" s="241" t="s">
        <v>200</v>
      </c>
      <c r="I13" s="153" t="s">
        <v>200</v>
      </c>
      <c r="J13" s="152" t="s">
        <v>200</v>
      </c>
      <c r="K13" s="152" t="s">
        <v>200</v>
      </c>
      <c r="L13" s="152" t="s">
        <v>200</v>
      </c>
      <c r="M13" s="152" t="s">
        <v>200</v>
      </c>
      <c r="N13" s="152" t="s">
        <v>200</v>
      </c>
      <c r="O13" s="152" t="s">
        <v>200</v>
      </c>
      <c r="Q13" s="154" t="s">
        <v>20</v>
      </c>
      <c r="R13" s="159">
        <v>45532</v>
      </c>
      <c r="S13" s="160">
        <v>0.38680555555555562</v>
      </c>
      <c r="T13" s="151" t="s">
        <v>249</v>
      </c>
    </row>
    <row r="14" spans="1:23" ht="15" customHeight="1" x14ac:dyDescent="0.25">
      <c r="A14" s="408"/>
      <c r="C14" s="158" t="s">
        <v>217</v>
      </c>
      <c r="D14" s="152" t="s">
        <v>200</v>
      </c>
      <c r="E14" s="152" t="s">
        <v>200</v>
      </c>
      <c r="F14" s="152" t="s">
        <v>200</v>
      </c>
      <c r="G14" s="152" t="s">
        <v>200</v>
      </c>
      <c r="H14" s="241" t="s">
        <v>200</v>
      </c>
      <c r="I14" s="153" t="s">
        <v>196</v>
      </c>
      <c r="J14" s="152" t="s">
        <v>200</v>
      </c>
      <c r="K14" s="152" t="s">
        <v>200</v>
      </c>
      <c r="L14" s="152" t="s">
        <v>196</v>
      </c>
      <c r="M14" s="152" t="s">
        <v>200</v>
      </c>
      <c r="N14" s="152" t="s">
        <v>200</v>
      </c>
      <c r="O14" s="152" t="s">
        <v>200</v>
      </c>
      <c r="Q14" s="154" t="s">
        <v>21</v>
      </c>
      <c r="R14" s="162">
        <v>45566</v>
      </c>
      <c r="S14" s="163">
        <v>0.43402777777777779</v>
      </c>
      <c r="T14" s="151" t="s">
        <v>210</v>
      </c>
    </row>
    <row r="15" spans="1:23" ht="15" customHeight="1" x14ac:dyDescent="0.25">
      <c r="A15" s="408"/>
      <c r="C15" s="158" t="s">
        <v>218</v>
      </c>
      <c r="D15" s="152" t="s">
        <v>200</v>
      </c>
      <c r="E15" s="152" t="s">
        <v>200</v>
      </c>
      <c r="F15" s="152" t="s">
        <v>196</v>
      </c>
      <c r="G15" s="152" t="s">
        <v>200</v>
      </c>
      <c r="H15" s="241" t="s">
        <v>200</v>
      </c>
      <c r="I15" s="153" t="s">
        <v>196</v>
      </c>
      <c r="J15" s="152" t="s">
        <v>200</v>
      </c>
      <c r="K15" s="152" t="s">
        <v>200</v>
      </c>
      <c r="L15" s="152" t="s">
        <v>196</v>
      </c>
      <c r="M15" s="152" t="s">
        <v>200</v>
      </c>
      <c r="N15" s="152" t="s">
        <v>196</v>
      </c>
      <c r="O15" s="152" t="s">
        <v>200</v>
      </c>
      <c r="Q15" s="154" t="s">
        <v>22</v>
      </c>
      <c r="R15" s="159">
        <v>45589</v>
      </c>
      <c r="S15" s="159">
        <v>0.50416666666666665</v>
      </c>
      <c r="T15" s="151" t="s">
        <v>210</v>
      </c>
    </row>
    <row r="16" spans="1:23" ht="15" customHeight="1" x14ac:dyDescent="0.25">
      <c r="A16" s="408"/>
      <c r="C16" s="158" t="s">
        <v>214</v>
      </c>
      <c r="D16" s="152" t="s">
        <v>200</v>
      </c>
      <c r="E16" s="152" t="s">
        <v>200</v>
      </c>
      <c r="F16" s="152" t="s">
        <v>200</v>
      </c>
      <c r="G16" s="152" t="s">
        <v>200</v>
      </c>
      <c r="H16" s="241" t="s">
        <v>200</v>
      </c>
      <c r="I16" s="153" t="s">
        <v>200</v>
      </c>
      <c r="J16" s="152" t="s">
        <v>200</v>
      </c>
      <c r="K16" s="152" t="s">
        <v>200</v>
      </c>
      <c r="L16" s="152" t="s">
        <v>200</v>
      </c>
      <c r="M16" s="152" t="s">
        <v>200</v>
      </c>
      <c r="N16" s="152" t="s">
        <v>200</v>
      </c>
      <c r="O16" s="152" t="s">
        <v>200</v>
      </c>
      <c r="Q16" s="154" t="s">
        <v>23</v>
      </c>
      <c r="R16" s="162">
        <v>45638</v>
      </c>
      <c r="S16" s="163">
        <v>0.40833333333333333</v>
      </c>
      <c r="T16" s="164" t="s">
        <v>210</v>
      </c>
    </row>
    <row r="17" spans="1:21" ht="15" customHeight="1" x14ac:dyDescent="0.25">
      <c r="A17" s="408"/>
      <c r="B17" s="145" t="s">
        <v>220</v>
      </c>
      <c r="C17" s="146"/>
      <c r="D17" s="147">
        <v>2</v>
      </c>
      <c r="E17" s="147">
        <v>2</v>
      </c>
      <c r="F17" s="147">
        <v>2</v>
      </c>
      <c r="G17" s="147">
        <v>2</v>
      </c>
      <c r="H17" s="147">
        <v>2</v>
      </c>
      <c r="I17" s="147">
        <v>2</v>
      </c>
      <c r="J17" s="147">
        <v>2</v>
      </c>
      <c r="K17" s="147">
        <v>2</v>
      </c>
      <c r="L17" s="147">
        <v>2</v>
      </c>
      <c r="M17" s="147">
        <v>2</v>
      </c>
      <c r="N17" s="147">
        <v>2</v>
      </c>
      <c r="O17" s="147">
        <v>2</v>
      </c>
      <c r="Q17" s="154" t="s">
        <v>24</v>
      </c>
      <c r="R17" s="162">
        <v>45673</v>
      </c>
      <c r="S17" s="163">
        <v>0.39652777777777781</v>
      </c>
      <c r="T17" s="164" t="s">
        <v>210</v>
      </c>
    </row>
    <row r="18" spans="1:21" ht="15" customHeight="1" x14ac:dyDescent="0.25">
      <c r="A18" s="408"/>
      <c r="C18" s="158" t="s">
        <v>259</v>
      </c>
      <c r="D18" s="152" t="s">
        <v>200</v>
      </c>
      <c r="E18" s="152" t="s">
        <v>196</v>
      </c>
      <c r="F18" s="152" t="s">
        <v>196</v>
      </c>
      <c r="G18" s="152" t="s">
        <v>200</v>
      </c>
      <c r="H18" s="241" t="s">
        <v>200</v>
      </c>
      <c r="I18" s="153" t="s">
        <v>200</v>
      </c>
      <c r="J18" s="152" t="s">
        <v>200</v>
      </c>
      <c r="K18" s="152" t="s">
        <v>200</v>
      </c>
      <c r="L18" s="152" t="s">
        <v>200</v>
      </c>
      <c r="M18" s="152" t="s">
        <v>200</v>
      </c>
      <c r="N18" s="152" t="s">
        <v>200</v>
      </c>
      <c r="O18" s="152" t="s">
        <v>200</v>
      </c>
      <c r="Q18" s="154" t="s">
        <v>25</v>
      </c>
      <c r="R18" s="162"/>
      <c r="S18" s="163"/>
      <c r="T18" s="164"/>
    </row>
    <row r="19" spans="1:21" ht="15.75" customHeight="1" x14ac:dyDescent="0.25">
      <c r="A19" s="408"/>
      <c r="C19" s="158" t="s">
        <v>226</v>
      </c>
      <c r="D19" s="152" t="s">
        <v>200</v>
      </c>
      <c r="E19" s="152" t="s">
        <v>200</v>
      </c>
      <c r="F19" s="152" t="s">
        <v>200</v>
      </c>
      <c r="G19" s="152" t="s">
        <v>200</v>
      </c>
      <c r="H19" s="241" t="s">
        <v>200</v>
      </c>
      <c r="I19" s="153" t="s">
        <v>200</v>
      </c>
      <c r="J19" s="152" t="s">
        <v>200</v>
      </c>
      <c r="K19" s="152" t="s">
        <v>200</v>
      </c>
      <c r="L19" s="152" t="s">
        <v>200</v>
      </c>
      <c r="M19" s="152" t="s">
        <v>200</v>
      </c>
      <c r="N19" s="152" t="s">
        <v>200</v>
      </c>
      <c r="O19" s="152" t="s">
        <v>200</v>
      </c>
      <c r="Q19" s="154" t="s">
        <v>26</v>
      </c>
      <c r="R19" s="162">
        <v>45712</v>
      </c>
      <c r="S19" s="163">
        <v>0.72083333333333333</v>
      </c>
      <c r="T19" s="164" t="s">
        <v>213</v>
      </c>
    </row>
    <row r="20" spans="1:21" ht="15.75" customHeight="1" thickBot="1" x14ac:dyDescent="0.3">
      <c r="A20" s="408"/>
      <c r="C20" s="158" t="s">
        <v>227</v>
      </c>
      <c r="D20" s="152" t="s">
        <v>200</v>
      </c>
      <c r="E20" s="152" t="s">
        <v>200</v>
      </c>
      <c r="F20" s="152" t="s">
        <v>200</v>
      </c>
      <c r="G20" s="152" t="s">
        <v>200</v>
      </c>
      <c r="H20" s="241" t="s">
        <v>200</v>
      </c>
      <c r="I20" s="153" t="s">
        <v>200</v>
      </c>
      <c r="J20" s="152" t="s">
        <v>200</v>
      </c>
      <c r="K20" s="152" t="s">
        <v>200</v>
      </c>
      <c r="L20" s="152" t="s">
        <v>200</v>
      </c>
      <c r="M20" s="152" t="s">
        <v>200</v>
      </c>
      <c r="N20" s="152" t="s">
        <v>200</v>
      </c>
      <c r="O20" s="152" t="s">
        <v>196</v>
      </c>
      <c r="Q20" s="142"/>
    </row>
    <row r="21" spans="1:21" ht="15.75" customHeight="1" x14ac:dyDescent="0.25">
      <c r="A21" s="408"/>
      <c r="C21" s="69" t="s">
        <v>267</v>
      </c>
      <c r="D21" s="152" t="s">
        <v>196</v>
      </c>
      <c r="E21" s="152" t="s">
        <v>196</v>
      </c>
      <c r="F21" s="152" t="s">
        <v>196</v>
      </c>
      <c r="G21" s="152" t="s">
        <v>200</v>
      </c>
      <c r="H21" s="241" t="s">
        <v>200</v>
      </c>
      <c r="I21" s="153" t="s">
        <v>200</v>
      </c>
      <c r="J21" s="152" t="s">
        <v>200</v>
      </c>
      <c r="K21" s="152" t="s">
        <v>200</v>
      </c>
      <c r="L21" s="152" t="s">
        <v>200</v>
      </c>
      <c r="M21" s="152" t="s">
        <v>200</v>
      </c>
      <c r="N21" s="152" t="s">
        <v>200</v>
      </c>
      <c r="O21" s="152" t="s">
        <v>200</v>
      </c>
      <c r="Q21" s="412"/>
      <c r="R21" s="397"/>
      <c r="S21" s="397"/>
      <c r="T21" s="397"/>
      <c r="U21" s="398"/>
    </row>
    <row r="22" spans="1:21" ht="15.75" customHeight="1" x14ac:dyDescent="0.25">
      <c r="A22" s="408"/>
      <c r="B22" s="145" t="s">
        <v>229</v>
      </c>
      <c r="C22" s="146"/>
      <c r="D22" s="147">
        <v>2</v>
      </c>
      <c r="E22" s="147">
        <v>2</v>
      </c>
      <c r="F22" s="147">
        <v>2</v>
      </c>
      <c r="G22" s="147">
        <v>2</v>
      </c>
      <c r="H22" s="147">
        <v>2</v>
      </c>
      <c r="I22" s="147">
        <v>2</v>
      </c>
      <c r="J22" s="147">
        <v>2</v>
      </c>
      <c r="K22" s="147">
        <v>2</v>
      </c>
      <c r="L22" s="147">
        <v>2</v>
      </c>
      <c r="M22" s="147">
        <v>2</v>
      </c>
      <c r="N22" s="147">
        <v>2</v>
      </c>
      <c r="O22" s="147">
        <v>2</v>
      </c>
      <c r="Q22" s="405"/>
      <c r="R22" s="381"/>
      <c r="S22" s="381"/>
      <c r="T22" s="381"/>
      <c r="U22" s="403"/>
    </row>
    <row r="23" spans="1:21" ht="15.75" customHeight="1" x14ac:dyDescent="0.25">
      <c r="A23" s="408"/>
      <c r="C23" s="165" t="s">
        <v>262</v>
      </c>
      <c r="D23" s="152" t="s">
        <v>200</v>
      </c>
      <c r="E23" s="152" t="s">
        <v>200</v>
      </c>
      <c r="F23" s="152" t="s">
        <v>200</v>
      </c>
      <c r="G23" s="152" t="s">
        <v>200</v>
      </c>
      <c r="H23" s="241" t="s">
        <v>200</v>
      </c>
      <c r="I23" s="153" t="s">
        <v>200</v>
      </c>
      <c r="J23" s="152" t="s">
        <v>200</v>
      </c>
      <c r="K23" s="152" t="s">
        <v>200</v>
      </c>
      <c r="L23" s="152" t="s">
        <v>200</v>
      </c>
      <c r="M23" s="152" t="s">
        <v>200</v>
      </c>
      <c r="N23" s="152" t="s">
        <v>200</v>
      </c>
      <c r="O23" s="152" t="s">
        <v>200</v>
      </c>
      <c r="Q23" s="405"/>
      <c r="R23" s="381"/>
      <c r="S23" s="381"/>
      <c r="T23" s="381"/>
      <c r="U23" s="403"/>
    </row>
    <row r="24" spans="1:21" ht="15.75" customHeight="1" x14ac:dyDescent="0.25">
      <c r="A24" s="408"/>
      <c r="C24" s="166" t="s">
        <v>231</v>
      </c>
      <c r="D24" s="152" t="s">
        <v>200</v>
      </c>
      <c r="E24" s="152" t="s">
        <v>200</v>
      </c>
      <c r="F24" s="152" t="s">
        <v>200</v>
      </c>
      <c r="G24" s="152" t="s">
        <v>200</v>
      </c>
      <c r="H24" s="241" t="s">
        <v>200</v>
      </c>
      <c r="I24" s="153" t="s">
        <v>200</v>
      </c>
      <c r="J24" s="152" t="s">
        <v>200</v>
      </c>
      <c r="K24" s="152" t="s">
        <v>200</v>
      </c>
      <c r="L24" s="152" t="s">
        <v>200</v>
      </c>
      <c r="M24" s="152" t="s">
        <v>200</v>
      </c>
      <c r="N24" s="152" t="s">
        <v>200</v>
      </c>
      <c r="O24" s="152" t="s">
        <v>200</v>
      </c>
      <c r="Q24" s="405"/>
      <c r="R24" s="381"/>
      <c r="S24" s="381"/>
      <c r="T24" s="381"/>
      <c r="U24" s="403"/>
    </row>
    <row r="25" spans="1:21" ht="15.75" customHeight="1" x14ac:dyDescent="0.25">
      <c r="A25" s="333"/>
      <c r="C25" s="166" t="s">
        <v>254</v>
      </c>
      <c r="D25" s="152" t="s">
        <v>200</v>
      </c>
      <c r="E25" s="152" t="s">
        <v>200</v>
      </c>
      <c r="F25" s="152" t="s">
        <v>200</v>
      </c>
      <c r="G25" s="152" t="s">
        <v>200</v>
      </c>
      <c r="H25" s="241" t="s">
        <v>200</v>
      </c>
      <c r="I25" s="153" t="s">
        <v>200</v>
      </c>
      <c r="J25" s="152" t="s">
        <v>200</v>
      </c>
      <c r="K25" s="152" t="s">
        <v>200</v>
      </c>
      <c r="L25" s="152" t="s">
        <v>200</v>
      </c>
      <c r="M25" s="152" t="s">
        <v>200</v>
      </c>
      <c r="N25" s="152" t="s">
        <v>200</v>
      </c>
      <c r="O25" s="152" t="s">
        <v>200</v>
      </c>
      <c r="Q25" s="405"/>
      <c r="R25" s="381"/>
      <c r="S25" s="381"/>
      <c r="T25" s="381"/>
      <c r="U25" s="403"/>
    </row>
    <row r="26" spans="1:21" ht="15.75" customHeight="1" x14ac:dyDescent="0.25">
      <c r="A26" s="419" t="s">
        <v>233</v>
      </c>
      <c r="B26" s="341"/>
      <c r="C26" s="323"/>
      <c r="D26" s="167">
        <v>2</v>
      </c>
      <c r="E26" s="167">
        <v>2</v>
      </c>
      <c r="F26" s="167">
        <v>2</v>
      </c>
      <c r="G26" s="167">
        <v>2</v>
      </c>
      <c r="H26" s="167">
        <v>2</v>
      </c>
      <c r="I26" s="167">
        <v>2</v>
      </c>
      <c r="J26" s="167">
        <v>2</v>
      </c>
      <c r="K26" s="167">
        <v>2</v>
      </c>
      <c r="L26" s="167">
        <v>2</v>
      </c>
      <c r="M26" s="167">
        <v>2</v>
      </c>
      <c r="N26" s="167">
        <v>2</v>
      </c>
      <c r="O26" s="167">
        <v>2</v>
      </c>
      <c r="Q26" s="405"/>
      <c r="R26" s="381"/>
      <c r="S26" s="381"/>
      <c r="T26" s="381"/>
      <c r="U26" s="403"/>
    </row>
    <row r="27" spans="1:21" ht="15.75" customHeight="1" x14ac:dyDescent="0.25">
      <c r="A27" s="146"/>
      <c r="B27" s="297" t="s">
        <v>233</v>
      </c>
      <c r="C27" s="165" t="s">
        <v>83</v>
      </c>
      <c r="D27" s="152" t="s">
        <v>200</v>
      </c>
      <c r="E27" s="152" t="s">
        <v>200</v>
      </c>
      <c r="F27" s="152" t="s">
        <v>200</v>
      </c>
      <c r="G27" s="152" t="s">
        <v>200</v>
      </c>
      <c r="H27" s="241" t="s">
        <v>200</v>
      </c>
      <c r="I27" s="153" t="s">
        <v>200</v>
      </c>
      <c r="J27" s="152" t="s">
        <v>200</v>
      </c>
      <c r="K27" s="152" t="s">
        <v>200</v>
      </c>
      <c r="L27" s="152" t="s">
        <v>200</v>
      </c>
      <c r="M27" s="152" t="s">
        <v>200</v>
      </c>
      <c r="N27" s="152" t="s">
        <v>200</v>
      </c>
      <c r="O27" s="152" t="s">
        <v>200</v>
      </c>
      <c r="Q27" s="405"/>
      <c r="R27" s="381"/>
      <c r="S27" s="381"/>
      <c r="T27" s="381"/>
      <c r="U27" s="403"/>
    </row>
    <row r="28" spans="1:21" ht="15.75" customHeight="1" x14ac:dyDescent="0.25">
      <c r="A28" s="146"/>
      <c r="C28" s="166" t="s">
        <v>234</v>
      </c>
      <c r="D28" s="152"/>
      <c r="E28" s="152"/>
      <c r="F28" s="152"/>
      <c r="G28" s="152"/>
      <c r="H28" s="241"/>
      <c r="I28" s="153"/>
      <c r="J28" s="152"/>
      <c r="K28" s="152"/>
      <c r="L28" s="152"/>
      <c r="M28" s="152"/>
      <c r="N28" s="152"/>
      <c r="O28" s="152"/>
      <c r="Q28" s="405"/>
      <c r="R28" s="381"/>
      <c r="S28" s="381"/>
      <c r="T28" s="381"/>
      <c r="U28" s="403"/>
    </row>
    <row r="29" spans="1:21" ht="15.75" customHeight="1" x14ac:dyDescent="0.25">
      <c r="A29" s="146"/>
      <c r="C29" s="158" t="s">
        <v>85</v>
      </c>
      <c r="D29" s="241" t="s">
        <v>200</v>
      </c>
      <c r="E29" s="168"/>
      <c r="F29" s="168"/>
      <c r="G29" s="138"/>
      <c r="H29" s="241" t="s">
        <v>200</v>
      </c>
      <c r="I29" s="168"/>
      <c r="J29" s="152"/>
      <c r="K29" s="152"/>
      <c r="L29" s="168" t="s">
        <v>200</v>
      </c>
      <c r="M29" s="152"/>
      <c r="N29" s="152"/>
      <c r="O29" s="152"/>
      <c r="Q29" s="405"/>
      <c r="R29" s="381"/>
      <c r="S29" s="381"/>
      <c r="T29" s="381"/>
      <c r="U29" s="403"/>
    </row>
    <row r="30" spans="1:21" ht="15.75" customHeight="1" x14ac:dyDescent="0.25">
      <c r="A30" s="300"/>
      <c r="B30" s="300"/>
      <c r="C30" s="300" t="s">
        <v>235</v>
      </c>
      <c r="D30" s="169" t="s">
        <v>240</v>
      </c>
      <c r="E30" s="169" t="s">
        <v>240</v>
      </c>
      <c r="F30" s="169" t="s">
        <v>240</v>
      </c>
      <c r="G30" s="169" t="s">
        <v>238</v>
      </c>
      <c r="H30" s="169" t="s">
        <v>238</v>
      </c>
      <c r="I30" s="170" t="s">
        <v>238</v>
      </c>
      <c r="J30" s="170" t="s">
        <v>238</v>
      </c>
      <c r="K30" s="170" t="s">
        <v>255</v>
      </c>
      <c r="L30" s="169" t="s">
        <v>238</v>
      </c>
      <c r="M30" s="171" t="s">
        <v>239</v>
      </c>
      <c r="N30" s="171"/>
      <c r="O30" s="171" t="s">
        <v>240</v>
      </c>
      <c r="Q30" s="405"/>
      <c r="R30" s="381"/>
      <c r="S30" s="381"/>
      <c r="T30" s="381"/>
      <c r="U30" s="403"/>
    </row>
    <row r="31" spans="1:21" ht="15.75" customHeight="1" x14ac:dyDescent="0.2">
      <c r="A31" s="172" t="s">
        <v>241</v>
      </c>
    </row>
    <row r="32" spans="1:2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20">
    <mergeCell ref="Q30:U30"/>
    <mergeCell ref="A4:B4"/>
    <mergeCell ref="A6:O6"/>
    <mergeCell ref="Q6:T6"/>
    <mergeCell ref="A7:C7"/>
    <mergeCell ref="A26:C26"/>
    <mergeCell ref="A8:A25"/>
    <mergeCell ref="A2:O2"/>
    <mergeCell ref="Q29:U29"/>
    <mergeCell ref="Q23:U23"/>
    <mergeCell ref="Q26:U26"/>
    <mergeCell ref="A5:B5"/>
    <mergeCell ref="Q22:U22"/>
    <mergeCell ref="Q27:U27"/>
    <mergeCell ref="Q25:U25"/>
    <mergeCell ref="Q21:U21"/>
    <mergeCell ref="Q28:U28"/>
    <mergeCell ref="I4:O4"/>
    <mergeCell ref="K5:O5"/>
    <mergeCell ref="Q24:U24"/>
  </mergeCells>
  <conditionalFormatting sqref="D13:F16 I13:O16 I18:J21 M18:O21 M23:N25 M27:N27">
    <cfRule type="cellIs" dxfId="5103" priority="157" operator="equal">
      <formula>"NI"</formula>
    </cfRule>
    <cfRule type="cellIs" dxfId="5102" priority="158" operator="equal">
      <formula>"N"</formula>
    </cfRule>
    <cfRule type="cellIs" dxfId="5101" priority="159" operator="equal">
      <formula>"P"</formula>
    </cfRule>
    <cfRule type="cellIs" dxfId="5100" priority="160" operator="equal">
      <formula>"J"</formula>
    </cfRule>
  </conditionalFormatting>
  <conditionalFormatting sqref="M28:M29">
    <cfRule type="cellIs" dxfId="5099" priority="161" operator="equal">
      <formula>"NI"</formula>
    </cfRule>
    <cfRule type="cellIs" dxfId="5098" priority="162" operator="equal">
      <formula>"N"</formula>
    </cfRule>
    <cfRule type="cellIs" dxfId="5097" priority="163" operator="equal">
      <formula>"P"</formula>
    </cfRule>
    <cfRule type="cellIs" dxfId="5096" priority="164" operator="equal">
      <formula>"J"</formula>
    </cfRule>
  </conditionalFormatting>
  <conditionalFormatting sqref="M9:M10">
    <cfRule type="cellIs" dxfId="5095" priority="165" operator="equal">
      <formula>"NI"</formula>
    </cfRule>
    <cfRule type="cellIs" dxfId="5094" priority="166" operator="equal">
      <formula>"N"</formula>
    </cfRule>
    <cfRule type="cellIs" dxfId="5093" priority="167" operator="equal">
      <formula>"P"</formula>
    </cfRule>
    <cfRule type="cellIs" dxfId="5092" priority="168" operator="equal">
      <formula>"J"</formula>
    </cfRule>
  </conditionalFormatting>
  <conditionalFormatting sqref="M11">
    <cfRule type="cellIs" dxfId="5091" priority="169" operator="equal">
      <formula>"NI"</formula>
    </cfRule>
    <cfRule type="cellIs" dxfId="5090" priority="170" operator="equal">
      <formula>"N"</formula>
    </cfRule>
    <cfRule type="cellIs" dxfId="5089" priority="171" operator="equal">
      <formula>"P"</formula>
    </cfRule>
    <cfRule type="cellIs" dxfId="5088" priority="172" operator="equal">
      <formula>"J"</formula>
    </cfRule>
  </conditionalFormatting>
  <conditionalFormatting sqref="N28:N29">
    <cfRule type="cellIs" dxfId="5087" priority="181" operator="equal">
      <formula>"NI"</formula>
    </cfRule>
    <cfRule type="cellIs" dxfId="5086" priority="182" operator="equal">
      <formula>"N"</formula>
    </cfRule>
    <cfRule type="cellIs" dxfId="5085" priority="183" operator="equal">
      <formula>"P"</formula>
    </cfRule>
    <cfRule type="cellIs" dxfId="5084" priority="184" operator="equal">
      <formula>"J"</formula>
    </cfRule>
  </conditionalFormatting>
  <conditionalFormatting sqref="N9:N11">
    <cfRule type="cellIs" dxfId="5083" priority="185" operator="equal">
      <formula>"NI"</formula>
    </cfRule>
    <cfRule type="cellIs" dxfId="5082" priority="186" operator="equal">
      <formula>"N"</formula>
    </cfRule>
    <cfRule type="cellIs" dxfId="5081" priority="187" operator="equal">
      <formula>"P"</formula>
    </cfRule>
    <cfRule type="cellIs" dxfId="5080" priority="188" operator="equal">
      <formula>"J"</formula>
    </cfRule>
  </conditionalFormatting>
  <conditionalFormatting sqref="O9:O11 O23:O25 O27:O29">
    <cfRule type="cellIs" dxfId="5079" priority="189" operator="equal">
      <formula>"NI"</formula>
    </cfRule>
    <cfRule type="cellIs" dxfId="5078" priority="190" operator="equal">
      <formula>"N"</formula>
    </cfRule>
    <cfRule type="cellIs" dxfId="5077" priority="191" operator="equal">
      <formula>"P"</formula>
    </cfRule>
    <cfRule type="cellIs" dxfId="5076" priority="192" operator="equal">
      <formula>"J"</formula>
    </cfRule>
  </conditionalFormatting>
  <conditionalFormatting sqref="K9:K10 K28:K29">
    <cfRule type="cellIs" dxfId="5075" priority="145" operator="equal">
      <formula>"NI"</formula>
    </cfRule>
    <cfRule type="cellIs" dxfId="5074" priority="146" operator="equal">
      <formula>"N"</formula>
    </cfRule>
    <cfRule type="cellIs" dxfId="5073" priority="147" operator="equal">
      <formula>"P"</formula>
    </cfRule>
    <cfRule type="cellIs" dxfId="5072" priority="148" operator="equal">
      <formula>"J"</formula>
    </cfRule>
  </conditionalFormatting>
  <conditionalFormatting sqref="I9:I11 I23:I25 I27:I29">
    <cfRule type="cellIs" dxfId="5071" priority="113" operator="equal">
      <formula>"NI"</formula>
    </cfRule>
    <cfRule type="cellIs" dxfId="5070" priority="114" operator="equal">
      <formula>"N"</formula>
    </cfRule>
    <cfRule type="cellIs" dxfId="5069" priority="115" operator="equal">
      <formula>"P"</formula>
    </cfRule>
    <cfRule type="cellIs" dxfId="5068" priority="116" operator="equal">
      <formula>"J"</formula>
    </cfRule>
  </conditionalFormatting>
  <conditionalFormatting sqref="J9:J11 J23:J25 J27:J29">
    <cfRule type="cellIs" dxfId="5067" priority="109" operator="equal">
      <formula>"NI"</formula>
    </cfRule>
    <cfRule type="cellIs" dxfId="5066" priority="110" operator="equal">
      <formula>"N"</formula>
    </cfRule>
    <cfRule type="cellIs" dxfId="5065" priority="111" operator="equal">
      <formula>"P"</formula>
    </cfRule>
    <cfRule type="cellIs" dxfId="5064" priority="112" operator="equal">
      <formula>"J"</formula>
    </cfRule>
  </conditionalFormatting>
  <conditionalFormatting sqref="K11">
    <cfRule type="cellIs" dxfId="5063" priority="101" operator="equal">
      <formula>"NI"</formula>
    </cfRule>
    <cfRule type="cellIs" dxfId="5062" priority="102" operator="equal">
      <formula>"N"</formula>
    </cfRule>
    <cfRule type="cellIs" dxfId="5061" priority="103" operator="equal">
      <formula>"P"</formula>
    </cfRule>
    <cfRule type="cellIs" dxfId="5060" priority="104" operator="equal">
      <formula>"J"</formula>
    </cfRule>
  </conditionalFormatting>
  <conditionalFormatting sqref="K18:K21">
    <cfRule type="cellIs" dxfId="5059" priority="97" operator="equal">
      <formula>"NI"</formula>
    </cfRule>
    <cfRule type="cellIs" dxfId="5058" priority="98" operator="equal">
      <formula>"N"</formula>
    </cfRule>
    <cfRule type="cellIs" dxfId="5057" priority="99" operator="equal">
      <formula>"P"</formula>
    </cfRule>
    <cfRule type="cellIs" dxfId="5056" priority="100" operator="equal">
      <formula>"J"</formula>
    </cfRule>
  </conditionalFormatting>
  <conditionalFormatting sqref="K23:K25">
    <cfRule type="cellIs" dxfId="5055" priority="93" operator="equal">
      <formula>"NI"</formula>
    </cfRule>
    <cfRule type="cellIs" dxfId="5054" priority="94" operator="equal">
      <formula>"N"</formula>
    </cfRule>
    <cfRule type="cellIs" dxfId="5053" priority="95" operator="equal">
      <formula>"P"</formula>
    </cfRule>
    <cfRule type="cellIs" dxfId="5052" priority="96" operator="equal">
      <formula>"J"</formula>
    </cfRule>
  </conditionalFormatting>
  <conditionalFormatting sqref="K27">
    <cfRule type="cellIs" dxfId="5051" priority="89" operator="equal">
      <formula>"NI"</formula>
    </cfRule>
    <cfRule type="cellIs" dxfId="5050" priority="90" operator="equal">
      <formula>"N"</formula>
    </cfRule>
    <cfRule type="cellIs" dxfId="5049" priority="91" operator="equal">
      <formula>"P"</formula>
    </cfRule>
    <cfRule type="cellIs" dxfId="5048" priority="92" operator="equal">
      <formula>"J"</formula>
    </cfRule>
  </conditionalFormatting>
  <conditionalFormatting sqref="L18:L21">
    <cfRule type="cellIs" dxfId="5047" priority="85" operator="equal">
      <formula>"NI"</formula>
    </cfRule>
    <cfRule type="cellIs" dxfId="5046" priority="86" operator="equal">
      <formula>"N"</formula>
    </cfRule>
    <cfRule type="cellIs" dxfId="5045" priority="87" operator="equal">
      <formula>"P"</formula>
    </cfRule>
    <cfRule type="cellIs" dxfId="5044" priority="88" operator="equal">
      <formula>"J"</formula>
    </cfRule>
  </conditionalFormatting>
  <conditionalFormatting sqref="L9:L11 L23:L25 L27:L28">
    <cfRule type="cellIs" dxfId="5043" priority="81" operator="equal">
      <formula>"NI"</formula>
    </cfRule>
    <cfRule type="cellIs" dxfId="5042" priority="82" operator="equal">
      <formula>"N"</formula>
    </cfRule>
    <cfRule type="cellIs" dxfId="5041" priority="83" operator="equal">
      <formula>"P"</formula>
    </cfRule>
    <cfRule type="cellIs" dxfId="5040" priority="84" operator="equal">
      <formula>"J"</formula>
    </cfRule>
  </conditionalFormatting>
  <conditionalFormatting sqref="L29">
    <cfRule type="cellIs" dxfId="5039" priority="77" operator="equal">
      <formula>"NI"</formula>
    </cfRule>
    <cfRule type="cellIs" dxfId="5038" priority="78" operator="equal">
      <formula>"N"</formula>
    </cfRule>
    <cfRule type="cellIs" dxfId="5037" priority="79" operator="equal">
      <formula>"P"</formula>
    </cfRule>
    <cfRule type="cellIs" dxfId="5036" priority="80" operator="equal">
      <formula>"J"</formula>
    </cfRule>
  </conditionalFormatting>
  <conditionalFormatting sqref="D18:D19 D21">
    <cfRule type="cellIs" dxfId="5035" priority="73" operator="equal">
      <formula>"NI"</formula>
    </cfRule>
    <cfRule type="cellIs" dxfId="5034" priority="74" operator="equal">
      <formula>"N"</formula>
    </cfRule>
    <cfRule type="cellIs" dxfId="5033" priority="75" operator="equal">
      <formula>"P"</formula>
    </cfRule>
    <cfRule type="cellIs" dxfId="5032" priority="76" operator="equal">
      <formula>"J"</formula>
    </cfRule>
  </conditionalFormatting>
  <conditionalFormatting sqref="D9:D11 D23:D25 D27:D28">
    <cfRule type="cellIs" dxfId="5031" priority="69" operator="equal">
      <formula>"NI"</formula>
    </cfRule>
    <cfRule type="cellIs" dxfId="5030" priority="70" operator="equal">
      <formula>"N"</formula>
    </cfRule>
    <cfRule type="cellIs" dxfId="5029" priority="71" operator="equal">
      <formula>"P"</formula>
    </cfRule>
    <cfRule type="cellIs" dxfId="5028" priority="72" operator="equal">
      <formula>"J"</formula>
    </cfRule>
  </conditionalFormatting>
  <conditionalFormatting sqref="E18:E19 E21">
    <cfRule type="cellIs" dxfId="5027" priority="61" operator="equal">
      <formula>"NI"</formula>
    </cfRule>
    <cfRule type="cellIs" dxfId="5026" priority="62" operator="equal">
      <formula>"N"</formula>
    </cfRule>
    <cfRule type="cellIs" dxfId="5025" priority="63" operator="equal">
      <formula>"P"</formula>
    </cfRule>
    <cfRule type="cellIs" dxfId="5024" priority="64" operator="equal">
      <formula>"J"</formula>
    </cfRule>
  </conditionalFormatting>
  <conditionalFormatting sqref="E9:E11 E23:E25 E27:E28">
    <cfRule type="cellIs" dxfId="5023" priority="57" operator="equal">
      <formula>"NI"</formula>
    </cfRule>
    <cfRule type="cellIs" dxfId="5022" priority="58" operator="equal">
      <formula>"N"</formula>
    </cfRule>
    <cfRule type="cellIs" dxfId="5021" priority="59" operator="equal">
      <formula>"P"</formula>
    </cfRule>
    <cfRule type="cellIs" dxfId="5020" priority="60" operator="equal">
      <formula>"J"</formula>
    </cfRule>
  </conditionalFormatting>
  <conditionalFormatting sqref="E29">
    <cfRule type="cellIs" dxfId="5019" priority="53" operator="equal">
      <formula>"NI"</formula>
    </cfRule>
    <cfRule type="cellIs" dxfId="5018" priority="54" operator="equal">
      <formula>"N"</formula>
    </cfRule>
    <cfRule type="cellIs" dxfId="5017" priority="55" operator="equal">
      <formula>"P"</formula>
    </cfRule>
    <cfRule type="cellIs" dxfId="5016" priority="56" operator="equal">
      <formula>"J"</formula>
    </cfRule>
  </conditionalFormatting>
  <conditionalFormatting sqref="F18:F19 F21">
    <cfRule type="cellIs" dxfId="5015" priority="49" operator="equal">
      <formula>"NI"</formula>
    </cfRule>
    <cfRule type="cellIs" dxfId="5014" priority="50" operator="equal">
      <formula>"N"</formula>
    </cfRule>
    <cfRule type="cellIs" dxfId="5013" priority="51" operator="equal">
      <formula>"P"</formula>
    </cfRule>
    <cfRule type="cellIs" dxfId="5012" priority="52" operator="equal">
      <formula>"J"</formula>
    </cfRule>
  </conditionalFormatting>
  <conditionalFormatting sqref="F9:F11 F23:F25 F27:F28">
    <cfRule type="cellIs" dxfId="5011" priority="45" operator="equal">
      <formula>"NI"</formula>
    </cfRule>
    <cfRule type="cellIs" dxfId="5010" priority="46" operator="equal">
      <formula>"N"</formula>
    </cfRule>
    <cfRule type="cellIs" dxfId="5009" priority="47" operator="equal">
      <formula>"P"</formula>
    </cfRule>
    <cfRule type="cellIs" dxfId="5008" priority="48" operator="equal">
      <formula>"J"</formula>
    </cfRule>
  </conditionalFormatting>
  <conditionalFormatting sqref="F29">
    <cfRule type="cellIs" dxfId="5007" priority="41" operator="equal">
      <formula>"NI"</formula>
    </cfRule>
    <cfRule type="cellIs" dxfId="5006" priority="42" operator="equal">
      <formula>"N"</formula>
    </cfRule>
    <cfRule type="cellIs" dxfId="5005" priority="43" operator="equal">
      <formula>"P"</formula>
    </cfRule>
    <cfRule type="cellIs" dxfId="5004" priority="44" operator="equal">
      <formula>"J"</formula>
    </cfRule>
  </conditionalFormatting>
  <conditionalFormatting sqref="D20">
    <cfRule type="cellIs" dxfId="5003" priority="37" operator="equal">
      <formula>"NI"</formula>
    </cfRule>
    <cfRule type="cellIs" dxfId="5002" priority="38" operator="equal">
      <formula>"N"</formula>
    </cfRule>
    <cfRule type="cellIs" dxfId="5001" priority="39" operator="equal">
      <formula>"P"</formula>
    </cfRule>
    <cfRule type="cellIs" dxfId="5000" priority="40" operator="equal">
      <formula>"J"</formula>
    </cfRule>
  </conditionalFormatting>
  <conditionalFormatting sqref="E20">
    <cfRule type="cellIs" dxfId="4999" priority="33" operator="equal">
      <formula>"NI"</formula>
    </cfRule>
    <cfRule type="cellIs" dxfId="4998" priority="34" operator="equal">
      <formula>"N"</formula>
    </cfRule>
    <cfRule type="cellIs" dxfId="4997" priority="35" operator="equal">
      <formula>"P"</formula>
    </cfRule>
    <cfRule type="cellIs" dxfId="4996" priority="36" operator="equal">
      <formula>"J"</formula>
    </cfRule>
  </conditionalFormatting>
  <conditionalFormatting sqref="F20">
    <cfRule type="cellIs" dxfId="4995" priority="29" operator="equal">
      <formula>"NI"</formula>
    </cfRule>
    <cfRule type="cellIs" dxfId="4994" priority="30" operator="equal">
      <formula>"N"</formula>
    </cfRule>
    <cfRule type="cellIs" dxfId="4993" priority="31" operator="equal">
      <formula>"P"</formula>
    </cfRule>
    <cfRule type="cellIs" dxfId="4992" priority="32" operator="equal">
      <formula>"J"</formula>
    </cfRule>
  </conditionalFormatting>
  <conditionalFormatting sqref="G9:G11 G13:G16 G18:G21 G23:G25 G27:G28">
    <cfRule type="cellIs" dxfId="4991" priority="25" operator="equal">
      <formula>"NI"</formula>
    </cfRule>
    <cfRule type="cellIs" dxfId="4990" priority="26" operator="equal">
      <formula>"N"</formula>
    </cfRule>
    <cfRule type="cellIs" dxfId="4989" priority="27" operator="equal">
      <formula>"P"</formula>
    </cfRule>
    <cfRule type="cellIs" dxfId="4988" priority="28" operator="equal">
      <formula>"J"</formula>
    </cfRule>
  </conditionalFormatting>
  <conditionalFormatting sqref="G29">
    <cfRule type="cellIs" dxfId="4987" priority="21" operator="equal">
      <formula>"NI"</formula>
    </cfRule>
    <cfRule type="cellIs" dxfId="4986" priority="22" operator="equal">
      <formula>"N"</formula>
    </cfRule>
    <cfRule type="cellIs" dxfId="4985" priority="23" operator="equal">
      <formula>"P"</formula>
    </cfRule>
    <cfRule type="cellIs" dxfId="4984" priority="24" operator="equal">
      <formula>"J"</formula>
    </cfRule>
  </conditionalFormatting>
  <conditionalFormatting sqref="H18:H21">
    <cfRule type="cellIs" dxfId="4983" priority="17" operator="equal">
      <formula>"NI"</formula>
    </cfRule>
    <cfRule type="cellIs" dxfId="4982" priority="18" operator="equal">
      <formula>"N"</formula>
    </cfRule>
    <cfRule type="cellIs" dxfId="4981" priority="19" operator="equal">
      <formula>"P"</formula>
    </cfRule>
    <cfRule type="cellIs" dxfId="4980" priority="20" operator="equal">
      <formula>"J"</formula>
    </cfRule>
  </conditionalFormatting>
  <conditionalFormatting sqref="H9:H11 H13:H16 H23:H25 H27:H29">
    <cfRule type="cellIs" dxfId="4979" priority="13" operator="equal">
      <formula>"NI"</formula>
    </cfRule>
    <cfRule type="cellIs" dxfId="4978" priority="14" operator="equal">
      <formula>"N"</formula>
    </cfRule>
    <cfRule type="cellIs" dxfId="4977" priority="15" operator="equal">
      <formula>"P"</formula>
    </cfRule>
    <cfRule type="cellIs" dxfId="4976" priority="16" operator="equal">
      <formula>"J"</formula>
    </cfRule>
  </conditionalFormatting>
  <conditionalFormatting sqref="H29">
    <cfRule type="cellIs" dxfId="4975" priority="9" operator="equal">
      <formula>"NI"</formula>
    </cfRule>
    <cfRule type="cellIs" dxfId="4974" priority="10" operator="equal">
      <formula>"N"</formula>
    </cfRule>
    <cfRule type="cellIs" dxfId="4973" priority="11" operator="equal">
      <formula>"P"</formula>
    </cfRule>
    <cfRule type="cellIs" dxfId="4972" priority="12" operator="equal">
      <formula>"J"</formula>
    </cfRule>
  </conditionalFormatting>
  <conditionalFormatting sqref="D29">
    <cfRule type="cellIs" dxfId="4971" priority="1" operator="equal">
      <formula>"NI"</formula>
    </cfRule>
    <cfRule type="cellIs" dxfId="4970" priority="2" operator="equal">
      <formula>"N"</formula>
    </cfRule>
    <cfRule type="cellIs" dxfId="4969" priority="3" operator="equal">
      <formula>"P"</formula>
    </cfRule>
    <cfRule type="cellIs" dxfId="4968" priority="4" operator="equal">
      <formula>"J"</formula>
    </cfRule>
    <cfRule type="cellIs" dxfId="4967" priority="5" operator="equal">
      <formula>"NI"</formula>
    </cfRule>
    <cfRule type="cellIs" dxfId="4966" priority="6" operator="equal">
      <formula>"N"</formula>
    </cfRule>
    <cfRule type="cellIs" dxfId="4965" priority="7" operator="equal">
      <formula>"P"</formula>
    </cfRule>
    <cfRule type="cellIs" dxfId="4964" priority="8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6" sqref="S16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269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/>
      <c r="E8" s="193"/>
      <c r="F8" s="193"/>
      <c r="G8" s="256">
        <v>2</v>
      </c>
      <c r="H8" s="237">
        <v>2</v>
      </c>
      <c r="I8" s="237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241"/>
      <c r="H9" s="241"/>
      <c r="I9" s="241"/>
      <c r="J9" s="183"/>
      <c r="K9" s="183"/>
      <c r="L9" s="183"/>
      <c r="M9" s="183"/>
      <c r="N9" s="183"/>
      <c r="O9" s="183"/>
      <c r="Q9" s="204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241"/>
      <c r="H10" s="241"/>
      <c r="I10" s="241"/>
      <c r="J10" s="183"/>
      <c r="K10" s="183"/>
      <c r="L10" s="183"/>
      <c r="M10" s="183"/>
      <c r="N10" s="183"/>
      <c r="O10" s="183"/>
      <c r="Q10" s="204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/>
      <c r="E11" s="183"/>
      <c r="F11" s="183"/>
      <c r="G11" s="241" t="s">
        <v>200</v>
      </c>
      <c r="H11" s="241" t="s">
        <v>200</v>
      </c>
      <c r="I11" s="241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245">
        <v>45470</v>
      </c>
      <c r="S11" s="246">
        <v>0.43402777777777779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/>
      <c r="E12" s="193"/>
      <c r="F12" s="193"/>
      <c r="G12" s="256">
        <v>2</v>
      </c>
      <c r="H12" s="237">
        <v>2</v>
      </c>
      <c r="I12" s="237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93">
        <v>45506</v>
      </c>
      <c r="S12" s="94">
        <v>0.62222222222222223</v>
      </c>
      <c r="T12" s="95" t="s">
        <v>213</v>
      </c>
    </row>
    <row r="13" spans="1:23" x14ac:dyDescent="0.25">
      <c r="A13" s="426"/>
      <c r="C13" s="188" t="s">
        <v>258</v>
      </c>
      <c r="D13" s="183"/>
      <c r="E13" s="183"/>
      <c r="F13" s="183"/>
      <c r="G13" s="241" t="s">
        <v>200</v>
      </c>
      <c r="H13" s="241" t="s">
        <v>200</v>
      </c>
      <c r="I13" s="241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80">
        <v>45531</v>
      </c>
      <c r="S13" s="281">
        <v>0.41111111111111109</v>
      </c>
      <c r="T13" t="s">
        <v>213</v>
      </c>
    </row>
    <row r="14" spans="1:23" x14ac:dyDescent="0.25">
      <c r="A14" s="426"/>
      <c r="C14" s="188" t="s">
        <v>216</v>
      </c>
      <c r="D14" s="183"/>
      <c r="E14" s="183"/>
      <c r="F14" s="183"/>
      <c r="G14" s="241" t="s">
        <v>200</v>
      </c>
      <c r="H14" s="241" t="s">
        <v>200</v>
      </c>
      <c r="I14" s="241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0.45902777777777781</v>
      </c>
      <c r="T14" s="202" t="s">
        <v>213</v>
      </c>
    </row>
    <row r="15" spans="1:23" x14ac:dyDescent="0.25">
      <c r="A15" s="426"/>
      <c r="C15" s="188" t="s">
        <v>217</v>
      </c>
      <c r="D15" s="183"/>
      <c r="E15" s="183"/>
      <c r="F15" s="183"/>
      <c r="G15" s="241" t="s">
        <v>200</v>
      </c>
      <c r="H15" s="241" t="s">
        <v>200</v>
      </c>
      <c r="I15" s="241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0.62777777777777777</v>
      </c>
      <c r="T15" s="247" t="s">
        <v>213</v>
      </c>
    </row>
    <row r="16" spans="1:23" x14ac:dyDescent="0.25">
      <c r="A16" s="426"/>
      <c r="C16" s="188" t="s">
        <v>218</v>
      </c>
      <c r="D16" s="183"/>
      <c r="E16" s="183"/>
      <c r="F16" s="183"/>
      <c r="G16" s="241" t="s">
        <v>200</v>
      </c>
      <c r="H16" s="241" t="s">
        <v>200</v>
      </c>
      <c r="I16" s="241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45636</v>
      </c>
      <c r="S16" s="203">
        <v>0.3659722222222222</v>
      </c>
      <c r="T16" s="202" t="s">
        <v>213</v>
      </c>
    </row>
    <row r="17" spans="1:21" x14ac:dyDescent="0.25">
      <c r="A17" s="426"/>
      <c r="C17" s="188" t="s">
        <v>214</v>
      </c>
      <c r="D17" s="183"/>
      <c r="E17" s="183"/>
      <c r="F17" s="183"/>
      <c r="G17" s="241" t="s">
        <v>200</v>
      </c>
      <c r="H17" s="241" t="s">
        <v>200</v>
      </c>
      <c r="I17" s="241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0.71388888888888891</v>
      </c>
      <c r="T17" s="202" t="s">
        <v>213</v>
      </c>
    </row>
    <row r="18" spans="1:21" x14ac:dyDescent="0.25">
      <c r="A18" s="426"/>
      <c r="C18" s="188" t="s">
        <v>271</v>
      </c>
      <c r="D18" s="183"/>
      <c r="E18" s="183"/>
      <c r="F18" s="183"/>
      <c r="G18" s="241" t="s">
        <v>200</v>
      </c>
      <c r="H18" s="241" t="s">
        <v>200</v>
      </c>
      <c r="I18" s="241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0.6020833333333333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/>
      <c r="E19" s="193"/>
      <c r="F19" s="193"/>
      <c r="G19" s="256">
        <v>2</v>
      </c>
      <c r="H19" s="237">
        <v>2</v>
      </c>
      <c r="I19" s="237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>
        <v>0.61111111111111116</v>
      </c>
      <c r="T19" s="201" t="s">
        <v>213</v>
      </c>
    </row>
    <row r="20" spans="1:21" x14ac:dyDescent="0.25">
      <c r="A20" s="426"/>
      <c r="C20" s="188" t="s">
        <v>222</v>
      </c>
      <c r="D20" s="183"/>
      <c r="E20" s="183"/>
      <c r="F20" s="183"/>
      <c r="G20" s="241" t="s">
        <v>200</v>
      </c>
      <c r="H20" s="241" t="s">
        <v>200</v>
      </c>
      <c r="I20" s="241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/>
      <c r="E21" s="183"/>
      <c r="F21" s="183"/>
      <c r="G21" s="241" t="s">
        <v>200</v>
      </c>
      <c r="H21" s="241" t="s">
        <v>200</v>
      </c>
      <c r="I21" s="241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/>
      <c r="E22" s="183"/>
      <c r="F22" s="183"/>
      <c r="G22" s="241" t="s">
        <v>200</v>
      </c>
      <c r="H22" s="241" t="s">
        <v>200</v>
      </c>
      <c r="I22" s="241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33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/>
      <c r="E23" s="183"/>
      <c r="F23" s="183"/>
      <c r="G23" s="241" t="s">
        <v>200</v>
      </c>
      <c r="H23" s="241" t="s">
        <v>200</v>
      </c>
      <c r="I23" s="241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8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/>
      <c r="E24" s="183"/>
      <c r="F24" s="183"/>
      <c r="G24" s="241" t="s">
        <v>200</v>
      </c>
      <c r="H24" s="241" t="s">
        <v>200</v>
      </c>
      <c r="I24" s="241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/>
      <c r="E25" s="183"/>
      <c r="F25" s="183"/>
      <c r="G25" s="241" t="s">
        <v>200</v>
      </c>
      <c r="H25" s="241" t="s">
        <v>200</v>
      </c>
      <c r="I25" s="241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/>
      <c r="E26" s="193"/>
      <c r="F26" s="193"/>
      <c r="G26" s="256">
        <v>2</v>
      </c>
      <c r="H26" s="237">
        <v>2</v>
      </c>
      <c r="I26" s="237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/>
      <c r="E27" s="183"/>
      <c r="F27" s="183"/>
      <c r="G27" s="241" t="s">
        <v>200</v>
      </c>
      <c r="H27" s="241" t="s">
        <v>200</v>
      </c>
      <c r="I27" s="241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/>
      <c r="E28" s="183"/>
      <c r="F28" s="183"/>
      <c r="G28" s="241" t="s">
        <v>196</v>
      </c>
      <c r="H28" s="241" t="s">
        <v>200</v>
      </c>
      <c r="I28" s="241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/>
      <c r="E29" s="183"/>
      <c r="F29" s="183"/>
      <c r="G29" s="241" t="s">
        <v>200</v>
      </c>
      <c r="H29" s="241" t="s">
        <v>200</v>
      </c>
      <c r="I29" s="241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265"/>
      <c r="H30" s="248"/>
      <c r="I30" s="248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241"/>
      <c r="H31" s="241"/>
      <c r="I31" s="241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241"/>
      <c r="H32" s="241"/>
      <c r="I32" s="241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241"/>
      <c r="H33" s="241"/>
      <c r="I33" s="241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/>
      <c r="E34" s="181"/>
      <c r="F34" s="181"/>
      <c r="G34" s="249" t="s">
        <v>240</v>
      </c>
      <c r="H34" s="249" t="s">
        <v>240</v>
      </c>
      <c r="I34" s="249" t="s">
        <v>240</v>
      </c>
      <c r="J34" s="249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963" priority="57" operator="equal">
      <formula>"NI"</formula>
    </cfRule>
    <cfRule type="cellIs" dxfId="4962" priority="58" operator="equal">
      <formula>"N"</formula>
    </cfRule>
    <cfRule type="cellIs" dxfId="4961" priority="59" operator="equal">
      <formula>"P"</formula>
    </cfRule>
    <cfRule type="cellIs" dxfId="4960" priority="60" operator="equal">
      <formula>"J"</formula>
    </cfRule>
  </conditionalFormatting>
  <conditionalFormatting sqref="M32:M33">
    <cfRule type="cellIs" dxfId="4959" priority="61" operator="equal">
      <formula>"NI"</formula>
    </cfRule>
    <cfRule type="cellIs" dxfId="4958" priority="62" operator="equal">
      <formula>"N"</formula>
    </cfRule>
    <cfRule type="cellIs" dxfId="4957" priority="63" operator="equal">
      <formula>"P"</formula>
    </cfRule>
    <cfRule type="cellIs" dxfId="4956" priority="64" operator="equal">
      <formula>"J"</formula>
    </cfRule>
  </conditionalFormatting>
  <conditionalFormatting sqref="M9:M10">
    <cfRule type="cellIs" dxfId="4955" priority="65" operator="equal">
      <formula>"NI"</formula>
    </cfRule>
    <cfRule type="cellIs" dxfId="4954" priority="66" operator="equal">
      <formula>"N"</formula>
    </cfRule>
    <cfRule type="cellIs" dxfId="4953" priority="67" operator="equal">
      <formula>"P"</formula>
    </cfRule>
    <cfRule type="cellIs" dxfId="4952" priority="68" operator="equal">
      <formula>"J"</formula>
    </cfRule>
  </conditionalFormatting>
  <conditionalFormatting sqref="M11">
    <cfRule type="cellIs" dxfId="4951" priority="69" operator="equal">
      <formula>"NI"</formula>
    </cfRule>
    <cfRule type="cellIs" dxfId="4950" priority="70" operator="equal">
      <formula>"N"</formula>
    </cfRule>
    <cfRule type="cellIs" dxfId="4949" priority="71" operator="equal">
      <formula>"P"</formula>
    </cfRule>
    <cfRule type="cellIs" dxfId="4948" priority="72" operator="equal">
      <formula>"J"</formula>
    </cfRule>
  </conditionalFormatting>
  <conditionalFormatting sqref="M13:N18">
    <cfRule type="cellIs" dxfId="4947" priority="73" operator="equal">
      <formula>"NI"</formula>
    </cfRule>
    <cfRule type="cellIs" dxfId="4946" priority="74" operator="equal">
      <formula>"N"</formula>
    </cfRule>
    <cfRule type="cellIs" dxfId="4945" priority="75" operator="equal">
      <formula>"P"</formula>
    </cfRule>
    <cfRule type="cellIs" dxfId="4944" priority="76" operator="equal">
      <formula>"J"</formula>
    </cfRule>
  </conditionalFormatting>
  <conditionalFormatting sqref="M20:N25">
    <cfRule type="cellIs" dxfId="4943" priority="77" operator="equal">
      <formula>"NI"</formula>
    </cfRule>
    <cfRule type="cellIs" dxfId="4942" priority="78" operator="equal">
      <formula>"N"</formula>
    </cfRule>
    <cfRule type="cellIs" dxfId="4941" priority="79" operator="equal">
      <formula>"P"</formula>
    </cfRule>
    <cfRule type="cellIs" dxfId="4940" priority="80" operator="equal">
      <formula>"J"</formula>
    </cfRule>
  </conditionalFormatting>
  <conditionalFormatting sqref="N32:N33">
    <cfRule type="cellIs" dxfId="4939" priority="81" operator="equal">
      <formula>"NI"</formula>
    </cfRule>
    <cfRule type="cellIs" dxfId="4938" priority="82" operator="equal">
      <formula>"N"</formula>
    </cfRule>
    <cfRule type="cellIs" dxfId="4937" priority="83" operator="equal">
      <formula>"P"</formula>
    </cfRule>
    <cfRule type="cellIs" dxfId="4936" priority="84" operator="equal">
      <formula>"J"</formula>
    </cfRule>
  </conditionalFormatting>
  <conditionalFormatting sqref="N9:N11">
    <cfRule type="cellIs" dxfId="4935" priority="85" operator="equal">
      <formula>"NI"</formula>
    </cfRule>
    <cfRule type="cellIs" dxfId="4934" priority="86" operator="equal">
      <formula>"N"</formula>
    </cfRule>
    <cfRule type="cellIs" dxfId="4933" priority="87" operator="equal">
      <formula>"P"</formula>
    </cfRule>
    <cfRule type="cellIs" dxfId="4932" priority="88" operator="equal">
      <formula>"J"</formula>
    </cfRule>
  </conditionalFormatting>
  <conditionalFormatting sqref="O9:O11 O13:O18 O20:O25 O27:O29 O31:O33">
    <cfRule type="cellIs" dxfId="4931" priority="89" operator="equal">
      <formula>"NI"</formula>
    </cfRule>
    <cfRule type="cellIs" dxfId="4930" priority="90" operator="equal">
      <formula>"N"</formula>
    </cfRule>
    <cfRule type="cellIs" dxfId="4929" priority="91" operator="equal">
      <formula>"P"</formula>
    </cfRule>
    <cfRule type="cellIs" dxfId="4928" priority="92" operator="equal">
      <formula>"J"</formula>
    </cfRule>
  </conditionalFormatting>
  <conditionalFormatting sqref="J9:J11 J13:J18 J20:J25 J27:J29 J31:J33">
    <cfRule type="cellIs" dxfId="4927" priority="49" operator="equal">
      <formula>"NI"</formula>
    </cfRule>
    <cfRule type="cellIs" dxfId="4926" priority="50" operator="equal">
      <formula>"N"</formula>
    </cfRule>
    <cfRule type="cellIs" dxfId="4925" priority="51" operator="equal">
      <formula>"P"</formula>
    </cfRule>
    <cfRule type="cellIs" dxfId="4924" priority="52" operator="equal">
      <formula>"J"</formula>
    </cfRule>
  </conditionalFormatting>
  <conditionalFormatting sqref="K9:K11 K13:K18 K20:K25 K27:K29 K31:K33">
    <cfRule type="cellIs" dxfId="4923" priority="45" operator="equal">
      <formula>"NI"</formula>
    </cfRule>
    <cfRule type="cellIs" dxfId="4922" priority="46" operator="equal">
      <formula>"N"</formula>
    </cfRule>
    <cfRule type="cellIs" dxfId="4921" priority="47" operator="equal">
      <formula>"P"</formula>
    </cfRule>
    <cfRule type="cellIs" dxfId="4920" priority="48" operator="equal">
      <formula>"J"</formula>
    </cfRule>
  </conditionalFormatting>
  <conditionalFormatting sqref="L9:L11 L13:L18 L20:L25 L27:L29">
    <cfRule type="cellIs" dxfId="4919" priority="41" operator="equal">
      <formula>"NI"</formula>
    </cfRule>
    <cfRule type="cellIs" dxfId="4918" priority="42" operator="equal">
      <formula>"N"</formula>
    </cfRule>
    <cfRule type="cellIs" dxfId="4917" priority="43" operator="equal">
      <formula>"P"</formula>
    </cfRule>
    <cfRule type="cellIs" dxfId="4916" priority="44" operator="equal">
      <formula>"J"</formula>
    </cfRule>
  </conditionalFormatting>
  <conditionalFormatting sqref="D9:D11 D13:D18 D20:D25 D27:D29 D31:D33">
    <cfRule type="cellIs" dxfId="4915" priority="37" operator="equal">
      <formula>"NI"</formula>
    </cfRule>
    <cfRule type="cellIs" dxfId="4914" priority="38" operator="equal">
      <formula>"N"</formula>
    </cfRule>
    <cfRule type="cellIs" dxfId="4913" priority="39" operator="equal">
      <formula>"P"</formula>
    </cfRule>
    <cfRule type="cellIs" dxfId="4912" priority="40" operator="equal">
      <formula>"J"</formula>
    </cfRule>
  </conditionalFormatting>
  <conditionalFormatting sqref="E9:E11 E13:E18 E20:E25 E27:E29 E32:E33">
    <cfRule type="cellIs" dxfId="4911" priority="33" operator="equal">
      <formula>"NI"</formula>
    </cfRule>
    <cfRule type="cellIs" dxfId="4910" priority="34" operator="equal">
      <formula>"N"</formula>
    </cfRule>
    <cfRule type="cellIs" dxfId="4909" priority="35" operator="equal">
      <formula>"P"</formula>
    </cfRule>
    <cfRule type="cellIs" dxfId="4908" priority="36" operator="equal">
      <formula>"J"</formula>
    </cfRule>
  </conditionalFormatting>
  <conditionalFormatting sqref="F9:F11 F13:F18 F20:F25 F27:F29 F32:F33">
    <cfRule type="cellIs" dxfId="4907" priority="29" operator="equal">
      <formula>"NI"</formula>
    </cfRule>
    <cfRule type="cellIs" dxfId="4906" priority="30" operator="equal">
      <formula>"N"</formula>
    </cfRule>
    <cfRule type="cellIs" dxfId="4905" priority="31" operator="equal">
      <formula>"P"</formula>
    </cfRule>
    <cfRule type="cellIs" dxfId="4904" priority="32" operator="equal">
      <formula>"J"</formula>
    </cfRule>
  </conditionalFormatting>
  <conditionalFormatting sqref="I9:I11 I13:I18 I20:I25 I27:I29 I31:I32">
    <cfRule type="cellIs" dxfId="4903" priority="25" operator="equal">
      <formula>"NI"</formula>
    </cfRule>
    <cfRule type="cellIs" dxfId="4902" priority="26" operator="equal">
      <formula>"N"</formula>
    </cfRule>
    <cfRule type="cellIs" dxfId="4901" priority="27" operator="equal">
      <formula>"P"</formula>
    </cfRule>
    <cfRule type="cellIs" dxfId="4900" priority="28" operator="equal">
      <formula>"J"</formula>
    </cfRule>
  </conditionalFormatting>
  <conditionalFormatting sqref="I33">
    <cfRule type="cellIs" dxfId="4899" priority="21" operator="equal">
      <formula>"NI"</formula>
    </cfRule>
    <cfRule type="cellIs" dxfId="4898" priority="22" operator="equal">
      <formula>"N"</formula>
    </cfRule>
    <cfRule type="cellIs" dxfId="4897" priority="23" operator="equal">
      <formula>"P"</formula>
    </cfRule>
    <cfRule type="cellIs" dxfId="4896" priority="24" operator="equal">
      <formula>"J"</formula>
    </cfRule>
  </conditionalFormatting>
  <conditionalFormatting sqref="E31:F31">
    <cfRule type="cellIs" dxfId="4895" priority="17" operator="equal">
      <formula>"NI"</formula>
    </cfRule>
    <cfRule type="cellIs" dxfId="4894" priority="18" operator="equal">
      <formula>"N"</formula>
    </cfRule>
    <cfRule type="cellIs" dxfId="4893" priority="19" operator="equal">
      <formula>"P"</formula>
    </cfRule>
    <cfRule type="cellIs" dxfId="4892" priority="20" operator="equal">
      <formula>"J"</formula>
    </cfRule>
  </conditionalFormatting>
  <conditionalFormatting sqref="L32:L33">
    <cfRule type="cellIs" dxfId="4891" priority="13" operator="equal">
      <formula>"NI"</formula>
    </cfRule>
    <cfRule type="cellIs" dxfId="4890" priority="14" operator="equal">
      <formula>"N"</formula>
    </cfRule>
    <cfRule type="cellIs" dxfId="4889" priority="15" operator="equal">
      <formula>"P"</formula>
    </cfRule>
    <cfRule type="cellIs" dxfId="4888" priority="16" operator="equal">
      <formula>"J"</formula>
    </cfRule>
  </conditionalFormatting>
  <conditionalFormatting sqref="L31">
    <cfRule type="cellIs" dxfId="4887" priority="9" operator="equal">
      <formula>"NI"</formula>
    </cfRule>
    <cfRule type="cellIs" dxfId="4886" priority="10" operator="equal">
      <formula>"N"</formula>
    </cfRule>
    <cfRule type="cellIs" dxfId="4885" priority="11" operator="equal">
      <formula>"P"</formula>
    </cfRule>
    <cfRule type="cellIs" dxfId="4884" priority="12" operator="equal">
      <formula>"J"</formula>
    </cfRule>
  </conditionalFormatting>
  <conditionalFormatting sqref="G9:G11 G13:G18 G20:G25 G27:G29 G31:G33">
    <cfRule type="cellIs" dxfId="4883" priority="5" operator="equal">
      <formula>"NI"</formula>
    </cfRule>
    <cfRule type="cellIs" dxfId="4882" priority="6" operator="equal">
      <formula>"N"</formula>
    </cfRule>
    <cfRule type="cellIs" dxfId="4881" priority="7" operator="equal">
      <formula>"P"</formula>
    </cfRule>
    <cfRule type="cellIs" dxfId="4880" priority="8" operator="equal">
      <formula>"J"</formula>
    </cfRule>
  </conditionalFormatting>
  <conditionalFormatting sqref="H9:H11 H13:H18 H20:H25 H27:H29 H31:H33">
    <cfRule type="cellIs" dxfId="4879" priority="1" operator="equal">
      <formula>"NI"</formula>
    </cfRule>
    <cfRule type="cellIs" dxfId="4878" priority="2" operator="equal">
      <formula>"N"</formula>
    </cfRule>
    <cfRule type="cellIs" dxfId="4877" priority="3" operator="equal">
      <formula>"P"</formula>
    </cfRule>
    <cfRule type="cellIs" dxfId="4876" priority="4" operator="equal">
      <formula>"J"</formula>
    </cfRule>
  </conditionalFormatting>
  <pageMargins left="0.511811024" right="0.511811024" top="0.78740157499999996" bottom="0.78740157499999996" header="0.31496062000000002" footer="0.31496062000000002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272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0.43611111111111112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1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0.62361111111111112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0.4236111111111111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0.46944444444444439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0.62847222222222221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0.36944444444444452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0.71388888888888891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196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0.60277777777777775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>
        <v>0.6118055555555556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48"/>
      <c r="R22" s="397"/>
      <c r="S22" s="397"/>
      <c r="T22" s="397"/>
      <c r="U22" s="398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43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196</v>
      </c>
      <c r="H27" s="241" t="s">
        <v>196</v>
      </c>
      <c r="I27" s="241" t="s">
        <v>196</v>
      </c>
      <c r="J27" s="241" t="s">
        <v>196</v>
      </c>
      <c r="K27" s="241" t="s">
        <v>196</v>
      </c>
      <c r="L27" s="241" t="s">
        <v>196</v>
      </c>
      <c r="M27" s="241" t="s">
        <v>196</v>
      </c>
      <c r="N27" s="241" t="s">
        <v>196</v>
      </c>
      <c r="O27" s="241" t="s">
        <v>196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196</v>
      </c>
      <c r="I28" s="241" t="s">
        <v>196</v>
      </c>
      <c r="J28" s="241" t="s">
        <v>196</v>
      </c>
      <c r="K28" s="241" t="s">
        <v>196</v>
      </c>
      <c r="L28" s="241" t="s">
        <v>196</v>
      </c>
      <c r="M28" s="241" t="s">
        <v>196</v>
      </c>
      <c r="N28" s="241" t="s">
        <v>196</v>
      </c>
      <c r="O28" s="241" t="s">
        <v>196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875" priority="77" operator="equal">
      <formula>"NI"</formula>
    </cfRule>
    <cfRule type="cellIs" dxfId="4874" priority="78" operator="equal">
      <formula>"N"</formula>
    </cfRule>
    <cfRule type="cellIs" dxfId="4873" priority="79" operator="equal">
      <formula>"P"</formula>
    </cfRule>
    <cfRule type="cellIs" dxfId="4872" priority="80" operator="equal">
      <formula>"J"</formula>
    </cfRule>
  </conditionalFormatting>
  <conditionalFormatting sqref="M32:M33">
    <cfRule type="cellIs" dxfId="4871" priority="81" operator="equal">
      <formula>"NI"</formula>
    </cfRule>
    <cfRule type="cellIs" dxfId="4870" priority="82" operator="equal">
      <formula>"N"</formula>
    </cfRule>
    <cfRule type="cellIs" dxfId="4869" priority="83" operator="equal">
      <formula>"P"</formula>
    </cfRule>
    <cfRule type="cellIs" dxfId="4868" priority="84" operator="equal">
      <formula>"J"</formula>
    </cfRule>
  </conditionalFormatting>
  <conditionalFormatting sqref="M9:M10">
    <cfRule type="cellIs" dxfId="4867" priority="85" operator="equal">
      <formula>"NI"</formula>
    </cfRule>
    <cfRule type="cellIs" dxfId="4866" priority="86" operator="equal">
      <formula>"N"</formula>
    </cfRule>
    <cfRule type="cellIs" dxfId="4865" priority="87" operator="equal">
      <formula>"P"</formula>
    </cfRule>
    <cfRule type="cellIs" dxfId="4864" priority="88" operator="equal">
      <formula>"J"</formula>
    </cfRule>
  </conditionalFormatting>
  <conditionalFormatting sqref="M11">
    <cfRule type="cellIs" dxfId="4863" priority="89" operator="equal">
      <formula>"NI"</formula>
    </cfRule>
    <cfRule type="cellIs" dxfId="4862" priority="90" operator="equal">
      <formula>"N"</formula>
    </cfRule>
    <cfRule type="cellIs" dxfId="4861" priority="91" operator="equal">
      <formula>"P"</formula>
    </cfRule>
    <cfRule type="cellIs" dxfId="4860" priority="92" operator="equal">
      <formula>"J"</formula>
    </cfRule>
  </conditionalFormatting>
  <conditionalFormatting sqref="M13:N18">
    <cfRule type="cellIs" dxfId="4859" priority="93" operator="equal">
      <formula>"NI"</formula>
    </cfRule>
    <cfRule type="cellIs" dxfId="4858" priority="94" operator="equal">
      <formula>"N"</formula>
    </cfRule>
    <cfRule type="cellIs" dxfId="4857" priority="95" operator="equal">
      <formula>"P"</formula>
    </cfRule>
    <cfRule type="cellIs" dxfId="4856" priority="96" operator="equal">
      <formula>"J"</formula>
    </cfRule>
  </conditionalFormatting>
  <conditionalFormatting sqref="M20:N25">
    <cfRule type="cellIs" dxfId="4855" priority="97" operator="equal">
      <formula>"NI"</formula>
    </cfRule>
    <cfRule type="cellIs" dxfId="4854" priority="98" operator="equal">
      <formula>"N"</formula>
    </cfRule>
    <cfRule type="cellIs" dxfId="4853" priority="99" operator="equal">
      <formula>"P"</formula>
    </cfRule>
    <cfRule type="cellIs" dxfId="4852" priority="100" operator="equal">
      <formula>"J"</formula>
    </cfRule>
  </conditionalFormatting>
  <conditionalFormatting sqref="N32:N33">
    <cfRule type="cellIs" dxfId="4851" priority="101" operator="equal">
      <formula>"NI"</formula>
    </cfRule>
    <cfRule type="cellIs" dxfId="4850" priority="102" operator="equal">
      <formula>"N"</formula>
    </cfRule>
    <cfRule type="cellIs" dxfId="4849" priority="103" operator="equal">
      <formula>"P"</formula>
    </cfRule>
    <cfRule type="cellIs" dxfId="4848" priority="104" operator="equal">
      <formula>"J"</formula>
    </cfRule>
  </conditionalFormatting>
  <conditionalFormatting sqref="N9:N11">
    <cfRule type="cellIs" dxfId="4847" priority="105" operator="equal">
      <formula>"NI"</formula>
    </cfRule>
    <cfRule type="cellIs" dxfId="4846" priority="106" operator="equal">
      <formula>"N"</formula>
    </cfRule>
    <cfRule type="cellIs" dxfId="4845" priority="107" operator="equal">
      <formula>"P"</formula>
    </cfRule>
    <cfRule type="cellIs" dxfId="4844" priority="108" operator="equal">
      <formula>"J"</formula>
    </cfRule>
  </conditionalFormatting>
  <conditionalFormatting sqref="O9:O11 O13:O18 O20:O25 O27:O29 O31:O33">
    <cfRule type="cellIs" dxfId="4843" priority="109" operator="equal">
      <formula>"NI"</formula>
    </cfRule>
    <cfRule type="cellIs" dxfId="4842" priority="110" operator="equal">
      <formula>"N"</formula>
    </cfRule>
    <cfRule type="cellIs" dxfId="4841" priority="111" operator="equal">
      <formula>"P"</formula>
    </cfRule>
    <cfRule type="cellIs" dxfId="4840" priority="112" operator="equal">
      <formula>"J"</formula>
    </cfRule>
  </conditionalFormatting>
  <conditionalFormatting sqref="J9:J11 J13:J18 J20:J25 J27:J29 J31:J33">
    <cfRule type="cellIs" dxfId="4839" priority="69" operator="equal">
      <formula>"NI"</formula>
    </cfRule>
    <cfRule type="cellIs" dxfId="4838" priority="70" operator="equal">
      <formula>"N"</formula>
    </cfRule>
    <cfRule type="cellIs" dxfId="4837" priority="71" operator="equal">
      <formula>"P"</formula>
    </cfRule>
    <cfRule type="cellIs" dxfId="4836" priority="72" operator="equal">
      <formula>"J"</formula>
    </cfRule>
  </conditionalFormatting>
  <conditionalFormatting sqref="K9:K11 K13:K18 K20:K25 K27:K29 K31:K33">
    <cfRule type="cellIs" dxfId="4835" priority="65" operator="equal">
      <formula>"NI"</formula>
    </cfRule>
    <cfRule type="cellIs" dxfId="4834" priority="66" operator="equal">
      <formula>"N"</formula>
    </cfRule>
    <cfRule type="cellIs" dxfId="4833" priority="67" operator="equal">
      <formula>"P"</formula>
    </cfRule>
    <cfRule type="cellIs" dxfId="4832" priority="68" operator="equal">
      <formula>"J"</formula>
    </cfRule>
  </conditionalFormatting>
  <conditionalFormatting sqref="L9:L11 L13:L16 L20:L25 L27:L29">
    <cfRule type="cellIs" dxfId="4831" priority="61" operator="equal">
      <formula>"NI"</formula>
    </cfRule>
    <cfRule type="cellIs" dxfId="4830" priority="62" operator="equal">
      <formula>"N"</formula>
    </cfRule>
    <cfRule type="cellIs" dxfId="4829" priority="63" operator="equal">
      <formula>"P"</formula>
    </cfRule>
    <cfRule type="cellIs" dxfId="4828" priority="64" operator="equal">
      <formula>"J"</formula>
    </cfRule>
  </conditionalFormatting>
  <conditionalFormatting sqref="D9:D11 D13:D18 D20:D25 D27:D29 D32">
    <cfRule type="cellIs" dxfId="4827" priority="57" operator="equal">
      <formula>"NI"</formula>
    </cfRule>
    <cfRule type="cellIs" dxfId="4826" priority="58" operator="equal">
      <formula>"N"</formula>
    </cfRule>
    <cfRule type="cellIs" dxfId="4825" priority="59" operator="equal">
      <formula>"P"</formula>
    </cfRule>
    <cfRule type="cellIs" dxfId="4824" priority="60" operator="equal">
      <formula>"J"</formula>
    </cfRule>
  </conditionalFormatting>
  <conditionalFormatting sqref="E9:E11 E13:E18 E20:E25 E27:E29 E32">
    <cfRule type="cellIs" dxfId="4823" priority="53" operator="equal">
      <formula>"NI"</formula>
    </cfRule>
    <cfRule type="cellIs" dxfId="4822" priority="54" operator="equal">
      <formula>"N"</formula>
    </cfRule>
    <cfRule type="cellIs" dxfId="4821" priority="55" operator="equal">
      <formula>"P"</formula>
    </cfRule>
    <cfRule type="cellIs" dxfId="4820" priority="56" operator="equal">
      <formula>"J"</formula>
    </cfRule>
  </conditionalFormatting>
  <conditionalFormatting sqref="F9:F11 F13:F18 F20:F25 F27:F29 F32">
    <cfRule type="cellIs" dxfId="4819" priority="49" operator="equal">
      <formula>"NI"</formula>
    </cfRule>
    <cfRule type="cellIs" dxfId="4818" priority="50" operator="equal">
      <formula>"N"</formula>
    </cfRule>
    <cfRule type="cellIs" dxfId="4817" priority="51" operator="equal">
      <formula>"P"</formula>
    </cfRule>
    <cfRule type="cellIs" dxfId="4816" priority="52" operator="equal">
      <formula>"J"</formula>
    </cfRule>
  </conditionalFormatting>
  <conditionalFormatting sqref="I9:I11 I13:I18 I20:I25 I27:I29 I31:I32">
    <cfRule type="cellIs" dxfId="4815" priority="45" operator="equal">
      <formula>"NI"</formula>
    </cfRule>
    <cfRule type="cellIs" dxfId="4814" priority="46" operator="equal">
      <formula>"N"</formula>
    </cfRule>
    <cfRule type="cellIs" dxfId="4813" priority="47" operator="equal">
      <formula>"P"</formula>
    </cfRule>
    <cfRule type="cellIs" dxfId="4812" priority="48" operator="equal">
      <formula>"J"</formula>
    </cfRule>
  </conditionalFormatting>
  <conditionalFormatting sqref="I33">
    <cfRule type="cellIs" dxfId="4811" priority="41" operator="equal">
      <formula>"NI"</formula>
    </cfRule>
    <cfRule type="cellIs" dxfId="4810" priority="42" operator="equal">
      <formula>"N"</formula>
    </cfRule>
    <cfRule type="cellIs" dxfId="4809" priority="43" operator="equal">
      <formula>"P"</formula>
    </cfRule>
    <cfRule type="cellIs" dxfId="4808" priority="44" operator="equal">
      <formula>"J"</formula>
    </cfRule>
  </conditionalFormatting>
  <conditionalFormatting sqref="D33">
    <cfRule type="cellIs" dxfId="4807" priority="37" operator="equal">
      <formula>"NI"</formula>
    </cfRule>
    <cfRule type="cellIs" dxfId="4806" priority="38" operator="equal">
      <formula>"N"</formula>
    </cfRule>
    <cfRule type="cellIs" dxfId="4805" priority="39" operator="equal">
      <formula>"P"</formula>
    </cfRule>
    <cfRule type="cellIs" dxfId="4804" priority="40" operator="equal">
      <formula>"J"</formula>
    </cfRule>
  </conditionalFormatting>
  <conditionalFormatting sqref="E33">
    <cfRule type="cellIs" dxfId="4803" priority="33" operator="equal">
      <formula>"NI"</formula>
    </cfRule>
    <cfRule type="cellIs" dxfId="4802" priority="34" operator="equal">
      <formula>"N"</formula>
    </cfRule>
    <cfRule type="cellIs" dxfId="4801" priority="35" operator="equal">
      <formula>"P"</formula>
    </cfRule>
    <cfRule type="cellIs" dxfId="4800" priority="36" operator="equal">
      <formula>"J"</formula>
    </cfRule>
  </conditionalFormatting>
  <conditionalFormatting sqref="F33">
    <cfRule type="cellIs" dxfId="4799" priority="29" operator="equal">
      <formula>"NI"</formula>
    </cfRule>
    <cfRule type="cellIs" dxfId="4798" priority="30" operator="equal">
      <formula>"N"</formula>
    </cfRule>
    <cfRule type="cellIs" dxfId="4797" priority="31" operator="equal">
      <formula>"P"</formula>
    </cfRule>
    <cfRule type="cellIs" dxfId="4796" priority="32" operator="equal">
      <formula>"J"</formula>
    </cfRule>
  </conditionalFormatting>
  <conditionalFormatting sqref="L17:L18">
    <cfRule type="cellIs" dxfId="4795" priority="25" operator="equal">
      <formula>"NI"</formula>
    </cfRule>
    <cfRule type="cellIs" dxfId="4794" priority="26" operator="equal">
      <formula>"N"</formula>
    </cfRule>
    <cfRule type="cellIs" dxfId="4793" priority="27" operator="equal">
      <formula>"P"</formula>
    </cfRule>
    <cfRule type="cellIs" dxfId="4792" priority="28" operator="equal">
      <formula>"J"</formula>
    </cfRule>
  </conditionalFormatting>
  <conditionalFormatting sqref="D31:F31">
    <cfRule type="cellIs" dxfId="4791" priority="21" operator="equal">
      <formula>"NI"</formula>
    </cfRule>
    <cfRule type="cellIs" dxfId="4790" priority="22" operator="equal">
      <formula>"N"</formula>
    </cfRule>
    <cfRule type="cellIs" dxfId="4789" priority="23" operator="equal">
      <formula>"P"</formula>
    </cfRule>
    <cfRule type="cellIs" dxfId="4788" priority="24" operator="equal">
      <formula>"J"</formula>
    </cfRule>
  </conditionalFormatting>
  <conditionalFormatting sqref="L32">
    <cfRule type="cellIs" dxfId="4787" priority="17" operator="equal">
      <formula>"NI"</formula>
    </cfRule>
    <cfRule type="cellIs" dxfId="4786" priority="18" operator="equal">
      <formula>"N"</formula>
    </cfRule>
    <cfRule type="cellIs" dxfId="4785" priority="19" operator="equal">
      <formula>"P"</formula>
    </cfRule>
    <cfRule type="cellIs" dxfId="4784" priority="20" operator="equal">
      <formula>"J"</formula>
    </cfRule>
  </conditionalFormatting>
  <conditionalFormatting sqref="L33">
    <cfRule type="cellIs" dxfId="4783" priority="13" operator="equal">
      <formula>"NI"</formula>
    </cfRule>
    <cfRule type="cellIs" dxfId="4782" priority="14" operator="equal">
      <formula>"N"</formula>
    </cfRule>
    <cfRule type="cellIs" dxfId="4781" priority="15" operator="equal">
      <formula>"P"</formula>
    </cfRule>
    <cfRule type="cellIs" dxfId="4780" priority="16" operator="equal">
      <formula>"J"</formula>
    </cfRule>
  </conditionalFormatting>
  <conditionalFormatting sqref="L31">
    <cfRule type="cellIs" dxfId="4779" priority="9" operator="equal">
      <formula>"NI"</formula>
    </cfRule>
    <cfRule type="cellIs" dxfId="4778" priority="10" operator="equal">
      <formula>"N"</formula>
    </cfRule>
    <cfRule type="cellIs" dxfId="4777" priority="11" operator="equal">
      <formula>"P"</formula>
    </cfRule>
    <cfRule type="cellIs" dxfId="4776" priority="12" operator="equal">
      <formula>"J"</formula>
    </cfRule>
  </conditionalFormatting>
  <conditionalFormatting sqref="G9:G11 G13:G18 G20:G25 G27:G29 G31:G33">
    <cfRule type="cellIs" dxfId="4775" priority="5" operator="equal">
      <formula>"NI"</formula>
    </cfRule>
    <cfRule type="cellIs" dxfId="4774" priority="6" operator="equal">
      <formula>"N"</formula>
    </cfRule>
    <cfRule type="cellIs" dxfId="4773" priority="7" operator="equal">
      <formula>"P"</formula>
    </cfRule>
    <cfRule type="cellIs" dxfId="4772" priority="8" operator="equal">
      <formula>"J"</formula>
    </cfRule>
  </conditionalFormatting>
  <conditionalFormatting sqref="H9:H11 H13:H18 H20:H25 H27:H29 H31:H33">
    <cfRule type="cellIs" dxfId="4771" priority="1" operator="equal">
      <formula>"NI"</formula>
    </cfRule>
    <cfRule type="cellIs" dxfId="4770" priority="2" operator="equal">
      <formula>"N"</formula>
    </cfRule>
    <cfRule type="cellIs" dxfId="4769" priority="3" operator="equal">
      <formula>"P"</formula>
    </cfRule>
    <cfRule type="cellIs" dxfId="476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N21" sqref="N21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273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0.43611111111111112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0.62430555555555556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0.43055555555555558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0.47013888888888888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0.62916666666666665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0.37013888888888891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0.71458333333333335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0.6069444444444444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274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48"/>
      <c r="R22" s="397"/>
      <c r="S22" s="397"/>
      <c r="T22" s="397"/>
      <c r="U22" s="398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767" priority="73" operator="equal">
      <formula>"NI"</formula>
    </cfRule>
    <cfRule type="cellIs" dxfId="4766" priority="74" operator="equal">
      <formula>"N"</formula>
    </cfRule>
    <cfRule type="cellIs" dxfId="4765" priority="75" operator="equal">
      <formula>"P"</formula>
    </cfRule>
    <cfRule type="cellIs" dxfId="4764" priority="76" operator="equal">
      <formula>"J"</formula>
    </cfRule>
  </conditionalFormatting>
  <conditionalFormatting sqref="M32:M33">
    <cfRule type="cellIs" dxfId="4763" priority="77" operator="equal">
      <formula>"NI"</formula>
    </cfRule>
    <cfRule type="cellIs" dxfId="4762" priority="78" operator="equal">
      <formula>"N"</formula>
    </cfRule>
    <cfRule type="cellIs" dxfId="4761" priority="79" operator="equal">
      <formula>"P"</formula>
    </cfRule>
    <cfRule type="cellIs" dxfId="4760" priority="80" operator="equal">
      <formula>"J"</formula>
    </cfRule>
  </conditionalFormatting>
  <conditionalFormatting sqref="M9:M10">
    <cfRule type="cellIs" dxfId="4759" priority="81" operator="equal">
      <formula>"NI"</formula>
    </cfRule>
    <cfRule type="cellIs" dxfId="4758" priority="82" operator="equal">
      <formula>"N"</formula>
    </cfRule>
    <cfRule type="cellIs" dxfId="4757" priority="83" operator="equal">
      <formula>"P"</formula>
    </cfRule>
    <cfRule type="cellIs" dxfId="4756" priority="84" operator="equal">
      <formula>"J"</formula>
    </cfRule>
  </conditionalFormatting>
  <conditionalFormatting sqref="M11">
    <cfRule type="cellIs" dxfId="4755" priority="85" operator="equal">
      <formula>"NI"</formula>
    </cfRule>
    <cfRule type="cellIs" dxfId="4754" priority="86" operator="equal">
      <formula>"N"</formula>
    </cfRule>
    <cfRule type="cellIs" dxfId="4753" priority="87" operator="equal">
      <formula>"P"</formula>
    </cfRule>
    <cfRule type="cellIs" dxfId="4752" priority="88" operator="equal">
      <formula>"J"</formula>
    </cfRule>
  </conditionalFormatting>
  <conditionalFormatting sqref="M13:N18">
    <cfRule type="cellIs" dxfId="4751" priority="89" operator="equal">
      <formula>"NI"</formula>
    </cfRule>
    <cfRule type="cellIs" dxfId="4750" priority="90" operator="equal">
      <formula>"N"</formula>
    </cfRule>
    <cfRule type="cellIs" dxfId="4749" priority="91" operator="equal">
      <formula>"P"</formula>
    </cfRule>
    <cfRule type="cellIs" dxfId="4748" priority="92" operator="equal">
      <formula>"J"</formula>
    </cfRule>
  </conditionalFormatting>
  <conditionalFormatting sqref="M20:N25">
    <cfRule type="cellIs" dxfId="4747" priority="93" operator="equal">
      <formula>"NI"</formula>
    </cfRule>
    <cfRule type="cellIs" dxfId="4746" priority="94" operator="equal">
      <formula>"N"</formula>
    </cfRule>
    <cfRule type="cellIs" dxfId="4745" priority="95" operator="equal">
      <formula>"P"</formula>
    </cfRule>
    <cfRule type="cellIs" dxfId="4744" priority="96" operator="equal">
      <formula>"J"</formula>
    </cfRule>
  </conditionalFormatting>
  <conditionalFormatting sqref="N32:N33">
    <cfRule type="cellIs" dxfId="4743" priority="97" operator="equal">
      <formula>"NI"</formula>
    </cfRule>
    <cfRule type="cellIs" dxfId="4742" priority="98" operator="equal">
      <formula>"N"</formula>
    </cfRule>
    <cfRule type="cellIs" dxfId="4741" priority="99" operator="equal">
      <formula>"P"</formula>
    </cfRule>
    <cfRule type="cellIs" dxfId="4740" priority="100" operator="equal">
      <formula>"J"</formula>
    </cfRule>
  </conditionalFormatting>
  <conditionalFormatting sqref="N9:N11">
    <cfRule type="cellIs" dxfId="4739" priority="101" operator="equal">
      <formula>"NI"</formula>
    </cfRule>
    <cfRule type="cellIs" dxfId="4738" priority="102" operator="equal">
      <formula>"N"</formula>
    </cfRule>
    <cfRule type="cellIs" dxfId="4737" priority="103" operator="equal">
      <formula>"P"</formula>
    </cfRule>
    <cfRule type="cellIs" dxfId="4736" priority="104" operator="equal">
      <formula>"J"</formula>
    </cfRule>
  </conditionalFormatting>
  <conditionalFormatting sqref="O9:O11 O13:O18 O20:O25 O27:O29 O31:O33">
    <cfRule type="cellIs" dxfId="4735" priority="105" operator="equal">
      <formula>"NI"</formula>
    </cfRule>
    <cfRule type="cellIs" dxfId="4734" priority="106" operator="equal">
      <formula>"N"</formula>
    </cfRule>
    <cfRule type="cellIs" dxfId="4733" priority="107" operator="equal">
      <formula>"P"</formula>
    </cfRule>
    <cfRule type="cellIs" dxfId="4732" priority="108" operator="equal">
      <formula>"J"</formula>
    </cfRule>
  </conditionalFormatting>
  <conditionalFormatting sqref="J9:J11 J13:J18 J20:J25 J27:J29 J31:J33">
    <cfRule type="cellIs" dxfId="4731" priority="65" operator="equal">
      <formula>"NI"</formula>
    </cfRule>
    <cfRule type="cellIs" dxfId="4730" priority="66" operator="equal">
      <formula>"N"</formula>
    </cfRule>
    <cfRule type="cellIs" dxfId="4729" priority="67" operator="equal">
      <formula>"P"</formula>
    </cfRule>
    <cfRule type="cellIs" dxfId="4728" priority="68" operator="equal">
      <formula>"J"</formula>
    </cfRule>
  </conditionalFormatting>
  <conditionalFormatting sqref="K9:K11 K13:K18 K20:K25 K27:K29 K31:K33">
    <cfRule type="cellIs" dxfId="4727" priority="61" operator="equal">
      <formula>"NI"</formula>
    </cfRule>
    <cfRule type="cellIs" dxfId="4726" priority="62" operator="equal">
      <formula>"N"</formula>
    </cfRule>
    <cfRule type="cellIs" dxfId="4725" priority="63" operator="equal">
      <formula>"P"</formula>
    </cfRule>
    <cfRule type="cellIs" dxfId="4724" priority="64" operator="equal">
      <formula>"J"</formula>
    </cfRule>
  </conditionalFormatting>
  <conditionalFormatting sqref="L9:L11 L13:L16 L18 L20:L25 L27:L29">
    <cfRule type="cellIs" dxfId="4723" priority="57" operator="equal">
      <formula>"NI"</formula>
    </cfRule>
    <cfRule type="cellIs" dxfId="4722" priority="58" operator="equal">
      <formula>"N"</formula>
    </cfRule>
    <cfRule type="cellIs" dxfId="4721" priority="59" operator="equal">
      <formula>"P"</formula>
    </cfRule>
    <cfRule type="cellIs" dxfId="4720" priority="60" operator="equal">
      <formula>"J"</formula>
    </cfRule>
  </conditionalFormatting>
  <conditionalFormatting sqref="D9:D11 D13:D18 D20:D25 D27:D29 D31:D32 E18">
    <cfRule type="cellIs" dxfId="4719" priority="53" operator="equal">
      <formula>"NI"</formula>
    </cfRule>
    <cfRule type="cellIs" dxfId="4718" priority="54" operator="equal">
      <formula>"N"</formula>
    </cfRule>
    <cfRule type="cellIs" dxfId="4717" priority="55" operator="equal">
      <formula>"P"</formula>
    </cfRule>
    <cfRule type="cellIs" dxfId="4716" priority="56" operator="equal">
      <formula>"J"</formula>
    </cfRule>
  </conditionalFormatting>
  <conditionalFormatting sqref="E9:E11 E13:E17 E20:E25 E27:E29 E31:E32">
    <cfRule type="cellIs" dxfId="4715" priority="49" operator="equal">
      <formula>"NI"</formula>
    </cfRule>
    <cfRule type="cellIs" dxfId="4714" priority="50" operator="equal">
      <formula>"N"</formula>
    </cfRule>
    <cfRule type="cellIs" dxfId="4713" priority="51" operator="equal">
      <formula>"P"</formula>
    </cfRule>
    <cfRule type="cellIs" dxfId="4712" priority="52" operator="equal">
      <formula>"J"</formula>
    </cfRule>
  </conditionalFormatting>
  <conditionalFormatting sqref="F9:F11 F13:F18 F20:F25 F27:F29 F31:F32">
    <cfRule type="cellIs" dxfId="4711" priority="45" operator="equal">
      <formula>"NI"</formula>
    </cfRule>
    <cfRule type="cellIs" dxfId="4710" priority="46" operator="equal">
      <formula>"N"</formula>
    </cfRule>
    <cfRule type="cellIs" dxfId="4709" priority="47" operator="equal">
      <formula>"P"</formula>
    </cfRule>
    <cfRule type="cellIs" dxfId="4708" priority="48" operator="equal">
      <formula>"J"</formula>
    </cfRule>
  </conditionalFormatting>
  <conditionalFormatting sqref="I9:I11 I13:I18 I20:I25 I27:I29 I31:I32">
    <cfRule type="cellIs" dxfId="4707" priority="41" operator="equal">
      <formula>"NI"</formula>
    </cfRule>
    <cfRule type="cellIs" dxfId="4706" priority="42" operator="equal">
      <formula>"N"</formula>
    </cfRule>
    <cfRule type="cellIs" dxfId="4705" priority="43" operator="equal">
      <formula>"P"</formula>
    </cfRule>
    <cfRule type="cellIs" dxfId="4704" priority="44" operator="equal">
      <formula>"J"</formula>
    </cfRule>
  </conditionalFormatting>
  <conditionalFormatting sqref="I33">
    <cfRule type="cellIs" dxfId="4703" priority="37" operator="equal">
      <formula>"NI"</formula>
    </cfRule>
    <cfRule type="cellIs" dxfId="4702" priority="38" operator="equal">
      <formula>"N"</formula>
    </cfRule>
    <cfRule type="cellIs" dxfId="4701" priority="39" operator="equal">
      <formula>"P"</formula>
    </cfRule>
    <cfRule type="cellIs" dxfId="4700" priority="40" operator="equal">
      <formula>"J"</formula>
    </cfRule>
  </conditionalFormatting>
  <conditionalFormatting sqref="D33">
    <cfRule type="cellIs" dxfId="4699" priority="33" operator="equal">
      <formula>"NI"</formula>
    </cfRule>
    <cfRule type="cellIs" dxfId="4698" priority="34" operator="equal">
      <formula>"N"</formula>
    </cfRule>
    <cfRule type="cellIs" dxfId="4697" priority="35" operator="equal">
      <formula>"P"</formula>
    </cfRule>
    <cfRule type="cellIs" dxfId="4696" priority="36" operator="equal">
      <formula>"J"</formula>
    </cfRule>
  </conditionalFormatting>
  <conditionalFormatting sqref="E33">
    <cfRule type="cellIs" dxfId="4695" priority="29" operator="equal">
      <formula>"NI"</formula>
    </cfRule>
    <cfRule type="cellIs" dxfId="4694" priority="30" operator="equal">
      <formula>"N"</formula>
    </cfRule>
    <cfRule type="cellIs" dxfId="4693" priority="31" operator="equal">
      <formula>"P"</formula>
    </cfRule>
    <cfRule type="cellIs" dxfId="4692" priority="32" operator="equal">
      <formula>"J"</formula>
    </cfRule>
  </conditionalFormatting>
  <conditionalFormatting sqref="F33">
    <cfRule type="cellIs" dxfId="4691" priority="25" operator="equal">
      <formula>"NI"</formula>
    </cfRule>
    <cfRule type="cellIs" dxfId="4690" priority="26" operator="equal">
      <formula>"N"</formula>
    </cfRule>
    <cfRule type="cellIs" dxfId="4689" priority="27" operator="equal">
      <formula>"P"</formula>
    </cfRule>
    <cfRule type="cellIs" dxfId="4688" priority="28" operator="equal">
      <formula>"J"</formula>
    </cfRule>
  </conditionalFormatting>
  <conditionalFormatting sqref="L17">
    <cfRule type="cellIs" dxfId="4687" priority="21" operator="equal">
      <formula>"NI"</formula>
    </cfRule>
    <cfRule type="cellIs" dxfId="4686" priority="22" operator="equal">
      <formula>"N"</formula>
    </cfRule>
    <cfRule type="cellIs" dxfId="4685" priority="23" operator="equal">
      <formula>"P"</formula>
    </cfRule>
    <cfRule type="cellIs" dxfId="4684" priority="24" operator="equal">
      <formula>"J"</formula>
    </cfRule>
  </conditionalFormatting>
  <conditionalFormatting sqref="L32">
    <cfRule type="cellIs" dxfId="4683" priority="17" operator="equal">
      <formula>"NI"</formula>
    </cfRule>
    <cfRule type="cellIs" dxfId="4682" priority="18" operator="equal">
      <formula>"N"</formula>
    </cfRule>
    <cfRule type="cellIs" dxfId="4681" priority="19" operator="equal">
      <formula>"P"</formula>
    </cfRule>
    <cfRule type="cellIs" dxfId="4680" priority="20" operator="equal">
      <formula>"J"</formula>
    </cfRule>
  </conditionalFormatting>
  <conditionalFormatting sqref="L33">
    <cfRule type="cellIs" dxfId="4679" priority="13" operator="equal">
      <formula>"NI"</formula>
    </cfRule>
    <cfRule type="cellIs" dxfId="4678" priority="14" operator="equal">
      <formula>"N"</formula>
    </cfRule>
    <cfRule type="cellIs" dxfId="4677" priority="15" operator="equal">
      <formula>"P"</formula>
    </cfRule>
    <cfRule type="cellIs" dxfId="4676" priority="16" operator="equal">
      <formula>"J"</formula>
    </cfRule>
  </conditionalFormatting>
  <conditionalFormatting sqref="L31">
    <cfRule type="cellIs" dxfId="4675" priority="9" operator="equal">
      <formula>"NI"</formula>
    </cfRule>
    <cfRule type="cellIs" dxfId="4674" priority="10" operator="equal">
      <formula>"N"</formula>
    </cfRule>
    <cfRule type="cellIs" dxfId="4673" priority="11" operator="equal">
      <formula>"P"</formula>
    </cfRule>
    <cfRule type="cellIs" dxfId="4672" priority="12" operator="equal">
      <formula>"J"</formula>
    </cfRule>
  </conditionalFormatting>
  <conditionalFormatting sqref="G9:G11 G13:G18 G20:G25 G27:G29 G31:G33">
    <cfRule type="cellIs" dxfId="4671" priority="5" operator="equal">
      <formula>"NI"</formula>
    </cfRule>
    <cfRule type="cellIs" dxfId="4670" priority="6" operator="equal">
      <formula>"N"</formula>
    </cfRule>
    <cfRule type="cellIs" dxfId="4669" priority="7" operator="equal">
      <formula>"P"</formula>
    </cfRule>
    <cfRule type="cellIs" dxfId="4668" priority="8" operator="equal">
      <formula>"J"</formula>
    </cfRule>
  </conditionalFormatting>
  <conditionalFormatting sqref="H9:H11 H13:H18 H20:H25 H27:H29 H31:H33">
    <cfRule type="cellIs" dxfId="4667" priority="1" operator="equal">
      <formula>"NI"</formula>
    </cfRule>
    <cfRule type="cellIs" dxfId="4666" priority="2" operator="equal">
      <formula>"N"</formula>
    </cfRule>
    <cfRule type="cellIs" dxfId="4665" priority="3" operator="equal">
      <formula>"P"</formula>
    </cfRule>
    <cfRule type="cellIs" dxfId="466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1"/>
  <sheetViews>
    <sheetView topLeftCell="A4" workbookViewId="0">
      <selection activeCell="T15" sqref="T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275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0.43680555555555561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0.625</v>
      </c>
      <c r="T12" s="95" t="s">
        <v>213</v>
      </c>
    </row>
    <row r="13" spans="1:23" x14ac:dyDescent="0.25">
      <c r="A13" s="441"/>
      <c r="C13" s="214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0.43680555555555561</v>
      </c>
      <c r="T13" t="s">
        <v>213</v>
      </c>
    </row>
    <row r="14" spans="1:23" x14ac:dyDescent="0.25">
      <c r="A14" s="441"/>
      <c r="C14" s="214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0.47291666666666671</v>
      </c>
      <c r="T14" s="247" t="s">
        <v>213</v>
      </c>
    </row>
    <row r="15" spans="1:23" x14ac:dyDescent="0.25">
      <c r="A15" s="441"/>
      <c r="C15" s="214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01">
        <v>45589</v>
      </c>
      <c r="S15" s="203">
        <v>0.62916666666666665</v>
      </c>
      <c r="T15" s="202" t="s">
        <v>213</v>
      </c>
    </row>
    <row r="16" spans="1:23" x14ac:dyDescent="0.25">
      <c r="A16" s="441"/>
      <c r="C16" s="214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0.37083333333333329</v>
      </c>
      <c r="T16" s="247" t="s">
        <v>213</v>
      </c>
    </row>
    <row r="17" spans="1:21" x14ac:dyDescent="0.25">
      <c r="A17" s="441"/>
      <c r="C17" s="214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0.71458333333333335</v>
      </c>
      <c r="T17" s="247" t="s">
        <v>213</v>
      </c>
    </row>
    <row r="18" spans="1:21" x14ac:dyDescent="0.25">
      <c r="A18" s="441"/>
      <c r="B18" s="254" t="s">
        <v>220</v>
      </c>
      <c r="C18" s="255"/>
      <c r="D18" s="237"/>
      <c r="E18" s="237"/>
      <c r="F18" s="237"/>
      <c r="G18" s="256">
        <v>2</v>
      </c>
      <c r="H18" s="237">
        <v>2</v>
      </c>
      <c r="I18" s="237">
        <v>2</v>
      </c>
      <c r="J18" s="237">
        <v>2</v>
      </c>
      <c r="K18" s="237">
        <v>2</v>
      </c>
      <c r="L18" s="237">
        <v>2</v>
      </c>
      <c r="M18" s="256">
        <v>2</v>
      </c>
      <c r="N18" s="256">
        <v>2</v>
      </c>
      <c r="O18" s="256">
        <v>2</v>
      </c>
      <c r="Q18" s="260" t="s">
        <v>25</v>
      </c>
      <c r="R18" s="245">
        <v>45681</v>
      </c>
      <c r="S18" s="245" t="s">
        <v>276</v>
      </c>
      <c r="T18" s="245" t="s">
        <v>213</v>
      </c>
    </row>
    <row r="19" spans="1:21" x14ac:dyDescent="0.25">
      <c r="A19" s="441"/>
      <c r="C19" s="259" t="s">
        <v>222</v>
      </c>
      <c r="D19" s="241"/>
      <c r="E19" s="241"/>
      <c r="F19" s="241"/>
      <c r="G19" s="241" t="s">
        <v>200</v>
      </c>
      <c r="H19" s="241" t="s">
        <v>200</v>
      </c>
      <c r="I19" s="241" t="s">
        <v>200</v>
      </c>
      <c r="J19" s="241" t="s">
        <v>200</v>
      </c>
      <c r="K19" s="241" t="s">
        <v>200</v>
      </c>
      <c r="L19" s="241" t="s">
        <v>200</v>
      </c>
      <c r="M19" s="241" t="s">
        <v>200</v>
      </c>
      <c r="N19" s="241" t="s">
        <v>200</v>
      </c>
      <c r="O19" s="241" t="s">
        <v>200</v>
      </c>
      <c r="Q19" s="260" t="s">
        <v>26</v>
      </c>
      <c r="R19" s="261">
        <v>45712</v>
      </c>
      <c r="S19" s="262">
        <v>0.61250000000000004</v>
      </c>
      <c r="T19" s="263" t="s">
        <v>213</v>
      </c>
    </row>
    <row r="20" spans="1:21" ht="15.75" customHeight="1" thickBot="1" x14ac:dyDescent="0.3">
      <c r="A20" s="441"/>
      <c r="C20" s="259" t="s">
        <v>267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51" t="s">
        <v>224</v>
      </c>
    </row>
    <row r="21" spans="1:21" ht="15.75" customHeight="1" x14ac:dyDescent="0.25">
      <c r="A21" s="441"/>
      <c r="C21" s="259" t="s">
        <v>226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453"/>
      <c r="R21" s="454"/>
      <c r="S21" s="454"/>
      <c r="T21" s="454"/>
      <c r="U21" s="455"/>
    </row>
    <row r="22" spans="1:21" ht="15.75" customHeight="1" x14ac:dyDescent="0.25">
      <c r="A22" s="441"/>
      <c r="C22" s="259" t="s">
        <v>259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57"/>
      <c r="R22" s="441"/>
      <c r="S22" s="441"/>
      <c r="T22" s="441"/>
      <c r="U22" s="458"/>
    </row>
    <row r="23" spans="1:21" ht="15.75" customHeight="1" x14ac:dyDescent="0.25">
      <c r="A23" s="441"/>
      <c r="C23" s="259" t="s">
        <v>227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56"/>
      <c r="R23" s="423"/>
      <c r="S23" s="423"/>
      <c r="T23" s="423"/>
      <c r="U23" s="424"/>
    </row>
    <row r="24" spans="1:21" ht="15.75" customHeight="1" x14ac:dyDescent="0.25">
      <c r="A24" s="441"/>
      <c r="B24" s="254" t="s">
        <v>229</v>
      </c>
      <c r="C24" s="255"/>
      <c r="D24" s="237"/>
      <c r="E24" s="237"/>
      <c r="F24" s="237"/>
      <c r="G24" s="256">
        <v>2</v>
      </c>
      <c r="H24" s="237">
        <v>2</v>
      </c>
      <c r="I24" s="237">
        <v>2</v>
      </c>
      <c r="J24" s="237">
        <v>2</v>
      </c>
      <c r="K24" s="237">
        <v>2</v>
      </c>
      <c r="L24" s="237">
        <v>2</v>
      </c>
      <c r="M24" s="256">
        <v>2</v>
      </c>
      <c r="N24" s="256">
        <v>2</v>
      </c>
      <c r="O24" s="256">
        <v>2</v>
      </c>
      <c r="Q24" s="452"/>
      <c r="R24" s="381"/>
      <c r="S24" s="381"/>
      <c r="T24" s="381"/>
      <c r="U24" s="403"/>
    </row>
    <row r="25" spans="1:21" ht="15.75" customHeight="1" x14ac:dyDescent="0.25">
      <c r="A25" s="333"/>
      <c r="C25" s="264" t="s">
        <v>254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52"/>
      <c r="R25" s="381"/>
      <c r="S25" s="381"/>
      <c r="T25" s="381"/>
      <c r="U25" s="403"/>
    </row>
    <row r="26" spans="1:21" ht="15.75" customHeight="1" x14ac:dyDescent="0.25">
      <c r="A26" s="447" t="s">
        <v>233</v>
      </c>
      <c r="B26" s="341"/>
      <c r="C26" s="341"/>
      <c r="D26" s="248"/>
      <c r="E26" s="248"/>
      <c r="F26" s="248"/>
      <c r="G26" s="265"/>
      <c r="H26" s="248"/>
      <c r="I26" s="248"/>
      <c r="J26" s="248"/>
      <c r="K26" s="248"/>
      <c r="L26" s="248"/>
      <c r="M26" s="265"/>
      <c r="N26" s="265"/>
      <c r="O26" s="265"/>
      <c r="Q26" s="452"/>
      <c r="R26" s="381"/>
      <c r="S26" s="381"/>
      <c r="T26" s="381"/>
      <c r="U26" s="403"/>
    </row>
    <row r="27" spans="1:21" ht="15.75" customHeight="1" x14ac:dyDescent="0.25">
      <c r="A27" s="255"/>
      <c r="C27" s="259" t="s">
        <v>83</v>
      </c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Q27" s="452"/>
      <c r="R27" s="381"/>
      <c r="S27" s="381"/>
      <c r="T27" s="381"/>
      <c r="U27" s="403"/>
    </row>
    <row r="28" spans="1:21" ht="15.75" customHeight="1" x14ac:dyDescent="0.25">
      <c r="A28" s="255"/>
      <c r="C28" s="264" t="s">
        <v>234</v>
      </c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Q28" s="452"/>
      <c r="R28" s="381"/>
      <c r="S28" s="381"/>
      <c r="T28" s="381"/>
      <c r="U28" s="403"/>
    </row>
    <row r="29" spans="1:21" ht="15.75" customHeight="1" x14ac:dyDescent="0.25">
      <c r="A29" s="255"/>
      <c r="C29" s="266" t="s">
        <v>85</v>
      </c>
      <c r="D29" s="267"/>
      <c r="E29" s="267"/>
      <c r="F29" s="267"/>
      <c r="G29" s="241"/>
      <c r="H29" s="241"/>
      <c r="I29" s="241"/>
      <c r="J29" s="241"/>
      <c r="K29" s="241"/>
      <c r="L29" s="267"/>
      <c r="M29" s="241"/>
      <c r="N29" s="241"/>
      <c r="O29" s="241"/>
      <c r="Q29" s="452"/>
      <c r="R29" s="381"/>
      <c r="S29" s="381"/>
      <c r="T29" s="381"/>
      <c r="U29" s="403"/>
    </row>
    <row r="30" spans="1:21" ht="15.75" customHeight="1" thickBot="1" x14ac:dyDescent="0.3">
      <c r="A30" s="449" t="s">
        <v>235</v>
      </c>
      <c r="B30" s="341"/>
      <c r="C30" s="341"/>
      <c r="D30" s="249"/>
      <c r="E30" s="249"/>
      <c r="F30" s="249"/>
      <c r="G30" s="249" t="s">
        <v>240</v>
      </c>
      <c r="H30" s="249" t="s">
        <v>240</v>
      </c>
      <c r="I30" s="249" t="s">
        <v>240</v>
      </c>
      <c r="J30" s="249" t="s">
        <v>240</v>
      </c>
      <c r="K30" s="249" t="s">
        <v>240</v>
      </c>
      <c r="L30" s="249" t="s">
        <v>240</v>
      </c>
      <c r="M30" s="268" t="s">
        <v>240</v>
      </c>
      <c r="N30" s="268" t="s">
        <v>240</v>
      </c>
      <c r="O30" s="268" t="s">
        <v>240</v>
      </c>
      <c r="Q30" s="459"/>
      <c r="R30" s="460"/>
      <c r="S30" s="460"/>
      <c r="T30" s="460"/>
      <c r="U30" s="461"/>
    </row>
    <row r="31" spans="1:21" ht="15.75" customHeight="1" x14ac:dyDescent="0.25">
      <c r="A31" s="269" t="s">
        <v>241</v>
      </c>
    </row>
    <row r="32" spans="1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21">
    <mergeCell ref="A30:C30"/>
    <mergeCell ref="Q22:U22"/>
    <mergeCell ref="Q27:U27"/>
    <mergeCell ref="Q30:U30"/>
    <mergeCell ref="A4:B4"/>
    <mergeCell ref="A6:O6"/>
    <mergeCell ref="Q6:T6"/>
    <mergeCell ref="A7:C7"/>
    <mergeCell ref="A26:C26"/>
    <mergeCell ref="A8:A25"/>
    <mergeCell ref="A2:O2"/>
    <mergeCell ref="Q29:U29"/>
    <mergeCell ref="Q23:U23"/>
    <mergeCell ref="Q26:U26"/>
    <mergeCell ref="A5:B5"/>
    <mergeCell ref="Q25:U25"/>
    <mergeCell ref="Q21:U21"/>
    <mergeCell ref="Q28:U28"/>
    <mergeCell ref="I4:O4"/>
    <mergeCell ref="Q24:U24"/>
    <mergeCell ref="K5:O5"/>
  </mergeCells>
  <conditionalFormatting sqref="D25 F25 I25:K25 M25:O25 M27:N27">
    <cfRule type="cellIs" dxfId="4663" priority="85" operator="equal">
      <formula>"NI"</formula>
    </cfRule>
    <cfRule type="cellIs" dxfId="4662" priority="86" operator="equal">
      <formula>"N"</formula>
    </cfRule>
    <cfRule type="cellIs" dxfId="4661" priority="87" operator="equal">
      <formula>"P"</formula>
    </cfRule>
    <cfRule type="cellIs" dxfId="4660" priority="88" operator="equal">
      <formula>"J"</formula>
    </cfRule>
  </conditionalFormatting>
  <conditionalFormatting sqref="M28:M29">
    <cfRule type="cellIs" dxfId="4659" priority="89" operator="equal">
      <formula>"NI"</formula>
    </cfRule>
    <cfRule type="cellIs" dxfId="4658" priority="90" operator="equal">
      <formula>"N"</formula>
    </cfRule>
    <cfRule type="cellIs" dxfId="4657" priority="91" operator="equal">
      <formula>"P"</formula>
    </cfRule>
    <cfRule type="cellIs" dxfId="4656" priority="92" operator="equal">
      <formula>"J"</formula>
    </cfRule>
  </conditionalFormatting>
  <conditionalFormatting sqref="M9:M10">
    <cfRule type="cellIs" dxfId="4655" priority="93" operator="equal">
      <formula>"NI"</formula>
    </cfRule>
    <cfRule type="cellIs" dxfId="4654" priority="94" operator="equal">
      <formula>"N"</formula>
    </cfRule>
    <cfRule type="cellIs" dxfId="4653" priority="95" operator="equal">
      <formula>"P"</formula>
    </cfRule>
    <cfRule type="cellIs" dxfId="4652" priority="96" operator="equal">
      <formula>"J"</formula>
    </cfRule>
  </conditionalFormatting>
  <conditionalFormatting sqref="M11">
    <cfRule type="cellIs" dxfId="4651" priority="97" operator="equal">
      <formula>"NI"</formula>
    </cfRule>
    <cfRule type="cellIs" dxfId="4650" priority="98" operator="equal">
      <formula>"N"</formula>
    </cfRule>
    <cfRule type="cellIs" dxfId="4649" priority="99" operator="equal">
      <formula>"P"</formula>
    </cfRule>
    <cfRule type="cellIs" dxfId="4648" priority="100" operator="equal">
      <formula>"J"</formula>
    </cfRule>
  </conditionalFormatting>
  <conditionalFormatting sqref="M13:N17">
    <cfRule type="cellIs" dxfId="4647" priority="101" operator="equal">
      <formula>"NI"</formula>
    </cfRule>
    <cfRule type="cellIs" dxfId="4646" priority="102" operator="equal">
      <formula>"N"</formula>
    </cfRule>
    <cfRule type="cellIs" dxfId="4645" priority="103" operator="equal">
      <formula>"P"</formula>
    </cfRule>
    <cfRule type="cellIs" dxfId="4644" priority="104" operator="equal">
      <formula>"J"</formula>
    </cfRule>
  </conditionalFormatting>
  <conditionalFormatting sqref="M19:N23">
    <cfRule type="cellIs" dxfId="4643" priority="105" operator="equal">
      <formula>"NI"</formula>
    </cfRule>
    <cfRule type="cellIs" dxfId="4642" priority="106" operator="equal">
      <formula>"N"</formula>
    </cfRule>
    <cfRule type="cellIs" dxfId="4641" priority="107" operator="equal">
      <formula>"P"</formula>
    </cfRule>
    <cfRule type="cellIs" dxfId="4640" priority="108" operator="equal">
      <formula>"J"</formula>
    </cfRule>
  </conditionalFormatting>
  <conditionalFormatting sqref="N28:N29">
    <cfRule type="cellIs" dxfId="4639" priority="109" operator="equal">
      <formula>"NI"</formula>
    </cfRule>
    <cfRule type="cellIs" dxfId="4638" priority="110" operator="equal">
      <formula>"N"</formula>
    </cfRule>
    <cfRule type="cellIs" dxfId="4637" priority="111" operator="equal">
      <formula>"P"</formula>
    </cfRule>
    <cfRule type="cellIs" dxfId="4636" priority="112" operator="equal">
      <formula>"J"</formula>
    </cfRule>
  </conditionalFormatting>
  <conditionalFormatting sqref="N9:N11">
    <cfRule type="cellIs" dxfId="4635" priority="113" operator="equal">
      <formula>"NI"</formula>
    </cfRule>
    <cfRule type="cellIs" dxfId="4634" priority="114" operator="equal">
      <formula>"N"</formula>
    </cfRule>
    <cfRule type="cellIs" dxfId="4633" priority="115" operator="equal">
      <formula>"P"</formula>
    </cfRule>
    <cfRule type="cellIs" dxfId="4632" priority="116" operator="equal">
      <formula>"J"</formula>
    </cfRule>
  </conditionalFormatting>
  <conditionalFormatting sqref="O9:O11 O13:O17 O19:O23 O27:O29">
    <cfRule type="cellIs" dxfId="4631" priority="117" operator="equal">
      <formula>"NI"</formula>
    </cfRule>
    <cfRule type="cellIs" dxfId="4630" priority="118" operator="equal">
      <formula>"N"</formula>
    </cfRule>
    <cfRule type="cellIs" dxfId="4629" priority="119" operator="equal">
      <formula>"P"</formula>
    </cfRule>
    <cfRule type="cellIs" dxfId="4628" priority="120" operator="equal">
      <formula>"J"</formula>
    </cfRule>
  </conditionalFormatting>
  <conditionalFormatting sqref="J9:J11 J13:J17 J19:J23 J27:J29">
    <cfRule type="cellIs" dxfId="4627" priority="77" operator="equal">
      <formula>"NI"</formula>
    </cfRule>
    <cfRule type="cellIs" dxfId="4626" priority="78" operator="equal">
      <formula>"N"</formula>
    </cfRule>
    <cfRule type="cellIs" dxfId="4625" priority="79" operator="equal">
      <formula>"P"</formula>
    </cfRule>
    <cfRule type="cellIs" dxfId="4624" priority="80" operator="equal">
      <formula>"J"</formula>
    </cfRule>
  </conditionalFormatting>
  <conditionalFormatting sqref="K9:K11 K13:K17 K19:K23 K27:K29">
    <cfRule type="cellIs" dxfId="4623" priority="73" operator="equal">
      <formula>"NI"</formula>
    </cfRule>
    <cfRule type="cellIs" dxfId="4622" priority="74" operator="equal">
      <formula>"N"</formula>
    </cfRule>
    <cfRule type="cellIs" dxfId="4621" priority="75" operator="equal">
      <formula>"P"</formula>
    </cfRule>
    <cfRule type="cellIs" dxfId="4620" priority="76" operator="equal">
      <formula>"J"</formula>
    </cfRule>
  </conditionalFormatting>
  <conditionalFormatting sqref="L9:L11 L13:L17 L19:L23 L25">
    <cfRule type="cellIs" dxfId="4619" priority="69" operator="equal">
      <formula>"NI"</formula>
    </cfRule>
    <cfRule type="cellIs" dxfId="4618" priority="70" operator="equal">
      <formula>"N"</formula>
    </cfRule>
    <cfRule type="cellIs" dxfId="4617" priority="71" operator="equal">
      <formula>"P"</formula>
    </cfRule>
    <cfRule type="cellIs" dxfId="4616" priority="72" operator="equal">
      <formula>"J"</formula>
    </cfRule>
  </conditionalFormatting>
  <conditionalFormatting sqref="D9:D10 D13:D17 D19:D23">
    <cfRule type="cellIs" dxfId="4615" priority="65" operator="equal">
      <formula>"NI"</formula>
    </cfRule>
    <cfRule type="cellIs" dxfId="4614" priority="66" operator="equal">
      <formula>"N"</formula>
    </cfRule>
    <cfRule type="cellIs" dxfId="4613" priority="67" operator="equal">
      <formula>"P"</formula>
    </cfRule>
    <cfRule type="cellIs" dxfId="4612" priority="68" operator="equal">
      <formula>"J"</formula>
    </cfRule>
  </conditionalFormatting>
  <conditionalFormatting sqref="E9:E10 E13:E17 E19:E23 E25">
    <cfRule type="cellIs" dxfId="4611" priority="61" operator="equal">
      <formula>"NI"</formula>
    </cfRule>
    <cfRule type="cellIs" dxfId="4610" priority="62" operator="equal">
      <formula>"N"</formula>
    </cfRule>
    <cfRule type="cellIs" dxfId="4609" priority="63" operator="equal">
      <formula>"P"</formula>
    </cfRule>
    <cfRule type="cellIs" dxfId="4608" priority="64" operator="equal">
      <formula>"J"</formula>
    </cfRule>
  </conditionalFormatting>
  <conditionalFormatting sqref="F9:F10 F13:F17 F19:F23">
    <cfRule type="cellIs" dxfId="4607" priority="57" operator="equal">
      <formula>"NI"</formula>
    </cfRule>
    <cfRule type="cellIs" dxfId="4606" priority="58" operator="equal">
      <formula>"N"</formula>
    </cfRule>
    <cfRule type="cellIs" dxfId="4605" priority="59" operator="equal">
      <formula>"P"</formula>
    </cfRule>
    <cfRule type="cellIs" dxfId="4604" priority="60" operator="equal">
      <formula>"J"</formula>
    </cfRule>
  </conditionalFormatting>
  <conditionalFormatting sqref="I9:I11 I13:I17 I19:I23 I27:I28">
    <cfRule type="cellIs" dxfId="4603" priority="53" operator="equal">
      <formula>"NI"</formula>
    </cfRule>
    <cfRule type="cellIs" dxfId="4602" priority="54" operator="equal">
      <formula>"N"</formula>
    </cfRule>
    <cfRule type="cellIs" dxfId="4601" priority="55" operator="equal">
      <formula>"P"</formula>
    </cfRule>
    <cfRule type="cellIs" dxfId="4600" priority="56" operator="equal">
      <formula>"J"</formula>
    </cfRule>
  </conditionalFormatting>
  <conditionalFormatting sqref="I29">
    <cfRule type="cellIs" dxfId="4599" priority="49" operator="equal">
      <formula>"NI"</formula>
    </cfRule>
    <cfRule type="cellIs" dxfId="4598" priority="50" operator="equal">
      <formula>"N"</formula>
    </cfRule>
    <cfRule type="cellIs" dxfId="4597" priority="51" operator="equal">
      <formula>"P"</formula>
    </cfRule>
    <cfRule type="cellIs" dxfId="4596" priority="52" operator="equal">
      <formula>"J"</formula>
    </cfRule>
  </conditionalFormatting>
  <conditionalFormatting sqref="D11">
    <cfRule type="cellIs" dxfId="4595" priority="45" operator="equal">
      <formula>"NI"</formula>
    </cfRule>
    <cfRule type="cellIs" dxfId="4594" priority="46" operator="equal">
      <formula>"N"</formula>
    </cfRule>
    <cfRule type="cellIs" dxfId="4593" priority="47" operator="equal">
      <formula>"P"</formula>
    </cfRule>
    <cfRule type="cellIs" dxfId="4592" priority="48" operator="equal">
      <formula>"J"</formula>
    </cfRule>
  </conditionalFormatting>
  <conditionalFormatting sqref="E11">
    <cfRule type="cellIs" dxfId="4591" priority="41" operator="equal">
      <formula>"NI"</formula>
    </cfRule>
    <cfRule type="cellIs" dxfId="4590" priority="42" operator="equal">
      <formula>"N"</formula>
    </cfRule>
    <cfRule type="cellIs" dxfId="4589" priority="43" operator="equal">
      <formula>"P"</formula>
    </cfRule>
    <cfRule type="cellIs" dxfId="4588" priority="44" operator="equal">
      <formula>"J"</formula>
    </cfRule>
  </conditionalFormatting>
  <conditionalFormatting sqref="F11">
    <cfRule type="cellIs" dxfId="4587" priority="37" operator="equal">
      <formula>"NI"</formula>
    </cfRule>
    <cfRule type="cellIs" dxfId="4586" priority="38" operator="equal">
      <formula>"N"</formula>
    </cfRule>
    <cfRule type="cellIs" dxfId="4585" priority="39" operator="equal">
      <formula>"P"</formula>
    </cfRule>
    <cfRule type="cellIs" dxfId="4584" priority="40" operator="equal">
      <formula>"J"</formula>
    </cfRule>
  </conditionalFormatting>
  <conditionalFormatting sqref="D27:D29">
    <cfRule type="cellIs" dxfId="4583" priority="33" operator="equal">
      <formula>"NI"</formula>
    </cfRule>
    <cfRule type="cellIs" dxfId="4582" priority="34" operator="equal">
      <formula>"N"</formula>
    </cfRule>
    <cfRule type="cellIs" dxfId="4581" priority="35" operator="equal">
      <formula>"P"</formula>
    </cfRule>
    <cfRule type="cellIs" dxfId="4580" priority="36" operator="equal">
      <formula>"J"</formula>
    </cfRule>
  </conditionalFormatting>
  <conditionalFormatting sqref="E28:E29">
    <cfRule type="cellIs" dxfId="4579" priority="29" operator="equal">
      <formula>"NI"</formula>
    </cfRule>
    <cfRule type="cellIs" dxfId="4578" priority="30" operator="equal">
      <formula>"N"</formula>
    </cfRule>
    <cfRule type="cellIs" dxfId="4577" priority="31" operator="equal">
      <formula>"P"</formula>
    </cfRule>
    <cfRule type="cellIs" dxfId="4576" priority="32" operator="equal">
      <formula>"J"</formula>
    </cfRule>
  </conditionalFormatting>
  <conditionalFormatting sqref="F28:F29">
    <cfRule type="cellIs" dxfId="4575" priority="25" operator="equal">
      <formula>"NI"</formula>
    </cfRule>
    <cfRule type="cellIs" dxfId="4574" priority="26" operator="equal">
      <formula>"N"</formula>
    </cfRule>
    <cfRule type="cellIs" dxfId="4573" priority="27" operator="equal">
      <formula>"P"</formula>
    </cfRule>
    <cfRule type="cellIs" dxfId="4572" priority="28" operator="equal">
      <formula>"J"</formula>
    </cfRule>
  </conditionalFormatting>
  <conditionalFormatting sqref="E27:F27">
    <cfRule type="cellIs" dxfId="4571" priority="21" operator="equal">
      <formula>"NI"</formula>
    </cfRule>
    <cfRule type="cellIs" dxfId="4570" priority="22" operator="equal">
      <formula>"N"</formula>
    </cfRule>
    <cfRule type="cellIs" dxfId="4569" priority="23" operator="equal">
      <formula>"P"</formula>
    </cfRule>
    <cfRule type="cellIs" dxfId="4568" priority="24" operator="equal">
      <formula>"J"</formula>
    </cfRule>
  </conditionalFormatting>
  <conditionalFormatting sqref="L28:L29">
    <cfRule type="cellIs" dxfId="4567" priority="17" operator="equal">
      <formula>"NI"</formula>
    </cfRule>
    <cfRule type="cellIs" dxfId="4566" priority="18" operator="equal">
      <formula>"N"</formula>
    </cfRule>
    <cfRule type="cellIs" dxfId="4565" priority="19" operator="equal">
      <formula>"P"</formula>
    </cfRule>
    <cfRule type="cellIs" dxfId="4564" priority="20" operator="equal">
      <formula>"J"</formula>
    </cfRule>
  </conditionalFormatting>
  <conditionalFormatting sqref="L27">
    <cfRule type="cellIs" dxfId="4563" priority="13" operator="equal">
      <formula>"NI"</formula>
    </cfRule>
    <cfRule type="cellIs" dxfId="4562" priority="14" operator="equal">
      <formula>"N"</formula>
    </cfRule>
    <cfRule type="cellIs" dxfId="4561" priority="15" operator="equal">
      <formula>"P"</formula>
    </cfRule>
    <cfRule type="cellIs" dxfId="4560" priority="16" operator="equal">
      <formula>"J"</formula>
    </cfRule>
  </conditionalFormatting>
  <conditionalFormatting sqref="G9:G11 G13:G17 G19:G23 G25 G27:G29">
    <cfRule type="cellIs" dxfId="4559" priority="9" operator="equal">
      <formula>"NI"</formula>
    </cfRule>
    <cfRule type="cellIs" dxfId="4558" priority="10" operator="equal">
      <formula>"N"</formula>
    </cfRule>
    <cfRule type="cellIs" dxfId="4557" priority="11" operator="equal">
      <formula>"P"</formula>
    </cfRule>
    <cfRule type="cellIs" dxfId="4556" priority="12" operator="equal">
      <formula>"J"</formula>
    </cfRule>
  </conditionalFormatting>
  <conditionalFormatting sqref="H25">
    <cfRule type="cellIs" dxfId="4555" priority="5" operator="equal">
      <formula>"NI"</formula>
    </cfRule>
    <cfRule type="cellIs" dxfId="4554" priority="6" operator="equal">
      <formula>"N"</formula>
    </cfRule>
    <cfRule type="cellIs" dxfId="4553" priority="7" operator="equal">
      <formula>"P"</formula>
    </cfRule>
    <cfRule type="cellIs" dxfId="4552" priority="8" operator="equal">
      <formula>"J"</formula>
    </cfRule>
  </conditionalFormatting>
  <conditionalFormatting sqref="H9:H11 H13:H17 H19:H23 H27:H29">
    <cfRule type="cellIs" dxfId="4551" priority="1" operator="equal">
      <formula>"NI"</formula>
    </cfRule>
    <cfRule type="cellIs" dxfId="4550" priority="2" operator="equal">
      <formula>"N"</formula>
    </cfRule>
    <cfRule type="cellIs" dxfId="4549" priority="3" operator="equal">
      <formula>"P"</formula>
    </cfRule>
    <cfRule type="cellIs" dxfId="454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13" workbookViewId="0">
      <selection activeCell="M17" sqref="M17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277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0.4375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1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0.625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0.4375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0.47361111111111109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0.62986111111111109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0.37083333333333329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207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0.71527777777777779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0.60902777777777772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58" t="s">
        <v>26</v>
      </c>
      <c r="R19" s="245">
        <v>45712</v>
      </c>
      <c r="S19" s="245" t="s">
        <v>278</v>
      </c>
      <c r="T19" s="247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</row>
    <row r="21" spans="1:21" ht="15.75" customHeight="1" x14ac:dyDescent="0.25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56"/>
      <c r="R22" s="423"/>
      <c r="S22" s="423"/>
      <c r="T22" s="423"/>
      <c r="U22" s="424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547" priority="65" operator="equal">
      <formula>"NI"</formula>
    </cfRule>
    <cfRule type="cellIs" dxfId="4546" priority="66" operator="equal">
      <formula>"N"</formula>
    </cfRule>
    <cfRule type="cellIs" dxfId="4545" priority="67" operator="equal">
      <formula>"P"</formula>
    </cfRule>
    <cfRule type="cellIs" dxfId="4544" priority="68" operator="equal">
      <formula>"J"</formula>
    </cfRule>
  </conditionalFormatting>
  <conditionalFormatting sqref="M32:M33">
    <cfRule type="cellIs" dxfId="4543" priority="69" operator="equal">
      <formula>"NI"</formula>
    </cfRule>
    <cfRule type="cellIs" dxfId="4542" priority="70" operator="equal">
      <formula>"N"</formula>
    </cfRule>
    <cfRule type="cellIs" dxfId="4541" priority="71" operator="equal">
      <formula>"P"</formula>
    </cfRule>
    <cfRule type="cellIs" dxfId="4540" priority="72" operator="equal">
      <formula>"J"</formula>
    </cfRule>
  </conditionalFormatting>
  <conditionalFormatting sqref="M9:M10">
    <cfRule type="cellIs" dxfId="4539" priority="73" operator="equal">
      <formula>"NI"</formula>
    </cfRule>
    <cfRule type="cellIs" dxfId="4538" priority="74" operator="equal">
      <formula>"N"</formula>
    </cfRule>
    <cfRule type="cellIs" dxfId="4537" priority="75" operator="equal">
      <formula>"P"</formula>
    </cfRule>
    <cfRule type="cellIs" dxfId="4536" priority="76" operator="equal">
      <formula>"J"</formula>
    </cfRule>
  </conditionalFormatting>
  <conditionalFormatting sqref="M11">
    <cfRule type="cellIs" dxfId="4535" priority="77" operator="equal">
      <formula>"NI"</formula>
    </cfRule>
    <cfRule type="cellIs" dxfId="4534" priority="78" operator="equal">
      <formula>"N"</formula>
    </cfRule>
    <cfRule type="cellIs" dxfId="4533" priority="79" operator="equal">
      <formula>"P"</formula>
    </cfRule>
    <cfRule type="cellIs" dxfId="4532" priority="80" operator="equal">
      <formula>"J"</formula>
    </cfRule>
  </conditionalFormatting>
  <conditionalFormatting sqref="M13:N18">
    <cfRule type="cellIs" dxfId="4531" priority="81" operator="equal">
      <formula>"NI"</formula>
    </cfRule>
    <cfRule type="cellIs" dxfId="4530" priority="82" operator="equal">
      <formula>"N"</formula>
    </cfRule>
    <cfRule type="cellIs" dxfId="4529" priority="83" operator="equal">
      <formula>"P"</formula>
    </cfRule>
    <cfRule type="cellIs" dxfId="4528" priority="84" operator="equal">
      <formula>"J"</formula>
    </cfRule>
  </conditionalFormatting>
  <conditionalFormatting sqref="M20:N25">
    <cfRule type="cellIs" dxfId="4527" priority="85" operator="equal">
      <formula>"NI"</formula>
    </cfRule>
    <cfRule type="cellIs" dxfId="4526" priority="86" operator="equal">
      <formula>"N"</formula>
    </cfRule>
    <cfRule type="cellIs" dxfId="4525" priority="87" operator="equal">
      <formula>"P"</formula>
    </cfRule>
    <cfRule type="cellIs" dxfId="4524" priority="88" operator="equal">
      <formula>"J"</formula>
    </cfRule>
  </conditionalFormatting>
  <conditionalFormatting sqref="N32:N33">
    <cfRule type="cellIs" dxfId="4523" priority="89" operator="equal">
      <formula>"NI"</formula>
    </cfRule>
    <cfRule type="cellIs" dxfId="4522" priority="90" operator="equal">
      <formula>"N"</formula>
    </cfRule>
    <cfRule type="cellIs" dxfId="4521" priority="91" operator="equal">
      <formula>"P"</formula>
    </cfRule>
    <cfRule type="cellIs" dxfId="4520" priority="92" operator="equal">
      <formula>"J"</formula>
    </cfRule>
  </conditionalFormatting>
  <conditionalFormatting sqref="N9:N11">
    <cfRule type="cellIs" dxfId="4519" priority="93" operator="equal">
      <formula>"NI"</formula>
    </cfRule>
    <cfRule type="cellIs" dxfId="4518" priority="94" operator="equal">
      <formula>"N"</formula>
    </cfRule>
    <cfRule type="cellIs" dxfId="4517" priority="95" operator="equal">
      <formula>"P"</formula>
    </cfRule>
    <cfRule type="cellIs" dxfId="4516" priority="96" operator="equal">
      <formula>"J"</formula>
    </cfRule>
  </conditionalFormatting>
  <conditionalFormatting sqref="O9:O11 O13:O18 O20:O25 O27:O29 O31:O33">
    <cfRule type="cellIs" dxfId="4515" priority="97" operator="equal">
      <formula>"NI"</formula>
    </cfRule>
    <cfRule type="cellIs" dxfId="4514" priority="98" operator="equal">
      <formula>"N"</formula>
    </cfRule>
    <cfRule type="cellIs" dxfId="4513" priority="99" operator="equal">
      <formula>"P"</formula>
    </cfRule>
    <cfRule type="cellIs" dxfId="4512" priority="100" operator="equal">
      <formula>"J"</formula>
    </cfRule>
  </conditionalFormatting>
  <conditionalFormatting sqref="J9:J11 J13:J18 J20:J25 J27:J29 J31:J33">
    <cfRule type="cellIs" dxfId="4511" priority="57" operator="equal">
      <formula>"NI"</formula>
    </cfRule>
    <cfRule type="cellIs" dxfId="4510" priority="58" operator="equal">
      <formula>"N"</formula>
    </cfRule>
    <cfRule type="cellIs" dxfId="4509" priority="59" operator="equal">
      <formula>"P"</formula>
    </cfRule>
    <cfRule type="cellIs" dxfId="4508" priority="60" operator="equal">
      <formula>"J"</formula>
    </cfRule>
  </conditionalFormatting>
  <conditionalFormatting sqref="K9:K11 K13:K18 K20:K25 K27:K29 K31:K33">
    <cfRule type="cellIs" dxfId="4507" priority="53" operator="equal">
      <formula>"NI"</formula>
    </cfRule>
    <cfRule type="cellIs" dxfId="4506" priority="54" operator="equal">
      <formula>"N"</formula>
    </cfRule>
    <cfRule type="cellIs" dxfId="4505" priority="55" operator="equal">
      <formula>"P"</formula>
    </cfRule>
    <cfRule type="cellIs" dxfId="4504" priority="56" operator="equal">
      <formula>"J"</formula>
    </cfRule>
  </conditionalFormatting>
  <conditionalFormatting sqref="L9:L11 L13:L16 L18 L20:L25 L27:L29 L31:L32">
    <cfRule type="cellIs" dxfId="4503" priority="49" operator="equal">
      <formula>"NI"</formula>
    </cfRule>
    <cfRule type="cellIs" dxfId="4502" priority="50" operator="equal">
      <formula>"N"</formula>
    </cfRule>
    <cfRule type="cellIs" dxfId="4501" priority="51" operator="equal">
      <formula>"P"</formula>
    </cfRule>
    <cfRule type="cellIs" dxfId="4500" priority="52" operator="equal">
      <formula>"J"</formula>
    </cfRule>
  </conditionalFormatting>
  <conditionalFormatting sqref="D9:D11 D13:D18 D20:D25 D27:D29 D31:D32 E18 E23">
    <cfRule type="cellIs" dxfId="4499" priority="45" operator="equal">
      <formula>"NI"</formula>
    </cfRule>
    <cfRule type="cellIs" dxfId="4498" priority="46" operator="equal">
      <formula>"N"</formula>
    </cfRule>
    <cfRule type="cellIs" dxfId="4497" priority="47" operator="equal">
      <formula>"P"</formula>
    </cfRule>
    <cfRule type="cellIs" dxfId="4496" priority="48" operator="equal">
      <formula>"J"</formula>
    </cfRule>
  </conditionalFormatting>
  <conditionalFormatting sqref="E9:E11 E13:E17 E20:E22 E24:E25 E27:E29 E31:E32">
    <cfRule type="cellIs" dxfId="4495" priority="41" operator="equal">
      <formula>"NI"</formula>
    </cfRule>
    <cfRule type="cellIs" dxfId="4494" priority="42" operator="equal">
      <formula>"N"</formula>
    </cfRule>
    <cfRule type="cellIs" dxfId="4493" priority="43" operator="equal">
      <formula>"P"</formula>
    </cfRule>
    <cfRule type="cellIs" dxfId="4492" priority="44" operator="equal">
      <formula>"J"</formula>
    </cfRule>
  </conditionalFormatting>
  <conditionalFormatting sqref="F9:F11 F13:F18 F20:F25 F27:F29 F31:F32">
    <cfRule type="cellIs" dxfId="4491" priority="37" operator="equal">
      <formula>"NI"</formula>
    </cfRule>
    <cfRule type="cellIs" dxfId="4490" priority="38" operator="equal">
      <formula>"N"</formula>
    </cfRule>
    <cfRule type="cellIs" dxfId="4489" priority="39" operator="equal">
      <formula>"P"</formula>
    </cfRule>
    <cfRule type="cellIs" dxfId="4488" priority="40" operator="equal">
      <formula>"J"</formula>
    </cfRule>
  </conditionalFormatting>
  <conditionalFormatting sqref="I9:I11 I13:I18 I20:I25 I27:I29 I31:I32">
    <cfRule type="cellIs" dxfId="4487" priority="33" operator="equal">
      <formula>"NI"</formula>
    </cfRule>
    <cfRule type="cellIs" dxfId="4486" priority="34" operator="equal">
      <formula>"N"</formula>
    </cfRule>
    <cfRule type="cellIs" dxfId="4485" priority="35" operator="equal">
      <formula>"P"</formula>
    </cfRule>
    <cfRule type="cellIs" dxfId="4484" priority="36" operator="equal">
      <formula>"J"</formula>
    </cfRule>
  </conditionalFormatting>
  <conditionalFormatting sqref="I33">
    <cfRule type="cellIs" dxfId="4483" priority="29" operator="equal">
      <formula>"NI"</formula>
    </cfRule>
    <cfRule type="cellIs" dxfId="4482" priority="30" operator="equal">
      <formula>"N"</formula>
    </cfRule>
    <cfRule type="cellIs" dxfId="4481" priority="31" operator="equal">
      <formula>"P"</formula>
    </cfRule>
    <cfRule type="cellIs" dxfId="4480" priority="32" operator="equal">
      <formula>"J"</formula>
    </cfRule>
  </conditionalFormatting>
  <conditionalFormatting sqref="D33">
    <cfRule type="cellIs" dxfId="4479" priority="25" operator="equal">
      <formula>"NI"</formula>
    </cfRule>
    <cfRule type="cellIs" dxfId="4478" priority="26" operator="equal">
      <formula>"N"</formula>
    </cfRule>
    <cfRule type="cellIs" dxfId="4477" priority="27" operator="equal">
      <formula>"P"</formula>
    </cfRule>
    <cfRule type="cellIs" dxfId="4476" priority="28" operator="equal">
      <formula>"J"</formula>
    </cfRule>
  </conditionalFormatting>
  <conditionalFormatting sqref="E33">
    <cfRule type="cellIs" dxfId="4475" priority="21" operator="equal">
      <formula>"NI"</formula>
    </cfRule>
    <cfRule type="cellIs" dxfId="4474" priority="22" operator="equal">
      <formula>"N"</formula>
    </cfRule>
    <cfRule type="cellIs" dxfId="4473" priority="23" operator="equal">
      <formula>"P"</formula>
    </cfRule>
    <cfRule type="cellIs" dxfId="4472" priority="24" operator="equal">
      <formula>"J"</formula>
    </cfRule>
  </conditionalFormatting>
  <conditionalFormatting sqref="F33">
    <cfRule type="cellIs" dxfId="4471" priority="17" operator="equal">
      <formula>"NI"</formula>
    </cfRule>
    <cfRule type="cellIs" dxfId="4470" priority="18" operator="equal">
      <formula>"N"</formula>
    </cfRule>
    <cfRule type="cellIs" dxfId="4469" priority="19" operator="equal">
      <formula>"P"</formula>
    </cfRule>
    <cfRule type="cellIs" dxfId="4468" priority="20" operator="equal">
      <formula>"J"</formula>
    </cfRule>
  </conditionalFormatting>
  <conditionalFormatting sqref="L17">
    <cfRule type="cellIs" dxfId="4467" priority="13" operator="equal">
      <formula>"NI"</formula>
    </cfRule>
    <cfRule type="cellIs" dxfId="4466" priority="14" operator="equal">
      <formula>"N"</formula>
    </cfRule>
    <cfRule type="cellIs" dxfId="4465" priority="15" operator="equal">
      <formula>"P"</formula>
    </cfRule>
    <cfRule type="cellIs" dxfId="4464" priority="16" operator="equal">
      <formula>"J"</formula>
    </cfRule>
  </conditionalFormatting>
  <conditionalFormatting sqref="L33">
    <cfRule type="cellIs" dxfId="4463" priority="9" operator="equal">
      <formula>"NI"</formula>
    </cfRule>
    <cfRule type="cellIs" dxfId="4462" priority="10" operator="equal">
      <formula>"N"</formula>
    </cfRule>
    <cfRule type="cellIs" dxfId="4461" priority="11" operator="equal">
      <formula>"P"</formula>
    </cfRule>
    <cfRule type="cellIs" dxfId="4460" priority="12" operator="equal">
      <formula>"J"</formula>
    </cfRule>
  </conditionalFormatting>
  <conditionalFormatting sqref="G9:G11 G13:G18 G20:G25 G27:G29 G31:G33">
    <cfRule type="cellIs" dxfId="4459" priority="5" operator="equal">
      <formula>"NI"</formula>
    </cfRule>
    <cfRule type="cellIs" dxfId="4458" priority="6" operator="equal">
      <formula>"N"</formula>
    </cfRule>
    <cfRule type="cellIs" dxfId="4457" priority="7" operator="equal">
      <formula>"P"</formula>
    </cfRule>
    <cfRule type="cellIs" dxfId="4456" priority="8" operator="equal">
      <formula>"J"</formula>
    </cfRule>
  </conditionalFormatting>
  <conditionalFormatting sqref="H9:H11 H13:H18 H20:H25 H27:H29 H31:H33">
    <cfRule type="cellIs" dxfId="4455" priority="1" operator="equal">
      <formula>"NI"</formula>
    </cfRule>
    <cfRule type="cellIs" dxfId="4454" priority="2" operator="equal">
      <formula>"N"</formula>
    </cfRule>
    <cfRule type="cellIs" dxfId="4453" priority="3" operator="equal">
      <formula>"P"</formula>
    </cfRule>
    <cfRule type="cellIs" dxfId="445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B4" workbookViewId="0">
      <selection activeCell="R12" sqref="R12:T12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279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0.43819444444444439</v>
      </c>
      <c r="T11" s="95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0.62569444444444444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0.4375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0.47361111111111109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0.62986111111111109</v>
      </c>
      <c r="T15" s="242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0.37152777777777779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0.71527777777777779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0.60972222222222228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58" t="s">
        <v>26</v>
      </c>
      <c r="R19" s="245">
        <v>45712</v>
      </c>
      <c r="S19" s="246">
        <v>0.61319444444444449</v>
      </c>
      <c r="T19" s="247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70"/>
      <c r="R20" s="271"/>
      <c r="S20" s="272"/>
      <c r="T20" s="27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74" t="s">
        <v>200</v>
      </c>
      <c r="Q21" s="462" t="s">
        <v>224</v>
      </c>
      <c r="R21" s="463"/>
      <c r="S21" s="463"/>
      <c r="T21" s="463"/>
      <c r="U21" s="464"/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56"/>
      <c r="R22" s="423"/>
      <c r="S22" s="423"/>
      <c r="T22" s="423"/>
      <c r="U22" s="424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280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5">
    <mergeCell ref="Q34:U34"/>
    <mergeCell ref="A5:B5"/>
    <mergeCell ref="A30:C30"/>
    <mergeCell ref="Q22:U22"/>
    <mergeCell ref="A34:C34"/>
    <mergeCell ref="Q27:U27"/>
    <mergeCell ref="Q30:U30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1:U21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451" priority="73" operator="equal">
      <formula>"NI"</formula>
    </cfRule>
    <cfRule type="cellIs" dxfId="4450" priority="74" operator="equal">
      <formula>"N"</formula>
    </cfRule>
    <cfRule type="cellIs" dxfId="4449" priority="75" operator="equal">
      <formula>"P"</formula>
    </cfRule>
    <cfRule type="cellIs" dxfId="4448" priority="76" operator="equal">
      <formula>"J"</formula>
    </cfRule>
  </conditionalFormatting>
  <conditionalFormatting sqref="M32:M33">
    <cfRule type="cellIs" dxfId="4447" priority="77" operator="equal">
      <formula>"NI"</formula>
    </cfRule>
    <cfRule type="cellIs" dxfId="4446" priority="78" operator="equal">
      <formula>"N"</formula>
    </cfRule>
    <cfRule type="cellIs" dxfId="4445" priority="79" operator="equal">
      <formula>"P"</formula>
    </cfRule>
    <cfRule type="cellIs" dxfId="4444" priority="80" operator="equal">
      <formula>"J"</formula>
    </cfRule>
  </conditionalFormatting>
  <conditionalFormatting sqref="M9:M10">
    <cfRule type="cellIs" dxfId="4443" priority="81" operator="equal">
      <formula>"NI"</formula>
    </cfRule>
    <cfRule type="cellIs" dxfId="4442" priority="82" operator="equal">
      <formula>"N"</formula>
    </cfRule>
    <cfRule type="cellIs" dxfId="4441" priority="83" operator="equal">
      <formula>"P"</formula>
    </cfRule>
    <cfRule type="cellIs" dxfId="4440" priority="84" operator="equal">
      <formula>"J"</formula>
    </cfRule>
  </conditionalFormatting>
  <conditionalFormatting sqref="M11">
    <cfRule type="cellIs" dxfId="4439" priority="85" operator="equal">
      <formula>"NI"</formula>
    </cfRule>
    <cfRule type="cellIs" dxfId="4438" priority="86" operator="equal">
      <formula>"N"</formula>
    </cfRule>
    <cfRule type="cellIs" dxfId="4437" priority="87" operator="equal">
      <formula>"P"</formula>
    </cfRule>
    <cfRule type="cellIs" dxfId="4436" priority="88" operator="equal">
      <formula>"J"</formula>
    </cfRule>
  </conditionalFormatting>
  <conditionalFormatting sqref="M13:N18">
    <cfRule type="cellIs" dxfId="4435" priority="89" operator="equal">
      <formula>"NI"</formula>
    </cfRule>
    <cfRule type="cellIs" dxfId="4434" priority="90" operator="equal">
      <formula>"N"</formula>
    </cfRule>
    <cfRule type="cellIs" dxfId="4433" priority="91" operator="equal">
      <formula>"P"</formula>
    </cfRule>
    <cfRule type="cellIs" dxfId="4432" priority="92" operator="equal">
      <formula>"J"</formula>
    </cfRule>
  </conditionalFormatting>
  <conditionalFormatting sqref="M20:N25">
    <cfRule type="cellIs" dxfId="4431" priority="93" operator="equal">
      <formula>"NI"</formula>
    </cfRule>
    <cfRule type="cellIs" dxfId="4430" priority="94" operator="equal">
      <formula>"N"</formula>
    </cfRule>
    <cfRule type="cellIs" dxfId="4429" priority="95" operator="equal">
      <formula>"P"</formula>
    </cfRule>
    <cfRule type="cellIs" dxfId="4428" priority="96" operator="equal">
      <formula>"J"</formula>
    </cfRule>
  </conditionalFormatting>
  <conditionalFormatting sqref="N32:N33">
    <cfRule type="cellIs" dxfId="4427" priority="97" operator="equal">
      <formula>"NI"</formula>
    </cfRule>
    <cfRule type="cellIs" dxfId="4426" priority="98" operator="equal">
      <formula>"N"</formula>
    </cfRule>
    <cfRule type="cellIs" dxfId="4425" priority="99" operator="equal">
      <formula>"P"</formula>
    </cfRule>
    <cfRule type="cellIs" dxfId="4424" priority="100" operator="equal">
      <formula>"J"</formula>
    </cfRule>
  </conditionalFormatting>
  <conditionalFormatting sqref="N9:N11">
    <cfRule type="cellIs" dxfId="4423" priority="101" operator="equal">
      <formula>"NI"</formula>
    </cfRule>
    <cfRule type="cellIs" dxfId="4422" priority="102" operator="equal">
      <formula>"N"</formula>
    </cfRule>
    <cfRule type="cellIs" dxfId="4421" priority="103" operator="equal">
      <formula>"P"</formula>
    </cfRule>
    <cfRule type="cellIs" dxfId="4420" priority="104" operator="equal">
      <formula>"J"</formula>
    </cfRule>
  </conditionalFormatting>
  <conditionalFormatting sqref="O9:O11 O13:O18 O20:O25 O27:O29 O31:O33">
    <cfRule type="cellIs" dxfId="4419" priority="105" operator="equal">
      <formula>"NI"</formula>
    </cfRule>
    <cfRule type="cellIs" dxfId="4418" priority="106" operator="equal">
      <formula>"N"</formula>
    </cfRule>
    <cfRule type="cellIs" dxfId="4417" priority="107" operator="equal">
      <formula>"P"</formula>
    </cfRule>
    <cfRule type="cellIs" dxfId="4416" priority="108" operator="equal">
      <formula>"J"</formula>
    </cfRule>
  </conditionalFormatting>
  <conditionalFormatting sqref="J9:J11 J13:J18 J20:J25 J27:J29 J31:J33">
    <cfRule type="cellIs" dxfId="4415" priority="65" operator="equal">
      <formula>"NI"</formula>
    </cfRule>
    <cfRule type="cellIs" dxfId="4414" priority="66" operator="equal">
      <formula>"N"</formula>
    </cfRule>
    <cfRule type="cellIs" dxfId="4413" priority="67" operator="equal">
      <formula>"P"</formula>
    </cfRule>
    <cfRule type="cellIs" dxfId="4412" priority="68" operator="equal">
      <formula>"J"</formula>
    </cfRule>
  </conditionalFormatting>
  <conditionalFormatting sqref="K9:K11 K13:K18 K20:K25 K27:K29 K31:K33">
    <cfRule type="cellIs" dxfId="4411" priority="61" operator="equal">
      <formula>"NI"</formula>
    </cfRule>
    <cfRule type="cellIs" dxfId="4410" priority="62" operator="equal">
      <formula>"N"</formula>
    </cfRule>
    <cfRule type="cellIs" dxfId="4409" priority="63" operator="equal">
      <formula>"P"</formula>
    </cfRule>
    <cfRule type="cellIs" dxfId="4408" priority="64" operator="equal">
      <formula>"J"</formula>
    </cfRule>
  </conditionalFormatting>
  <conditionalFormatting sqref="L9:L11 L13:L16 L18 L20:L25 L27:L29 L32">
    <cfRule type="cellIs" dxfId="4407" priority="57" operator="equal">
      <formula>"NI"</formula>
    </cfRule>
    <cfRule type="cellIs" dxfId="4406" priority="58" operator="equal">
      <formula>"N"</formula>
    </cfRule>
    <cfRule type="cellIs" dxfId="4405" priority="59" operator="equal">
      <formula>"P"</formula>
    </cfRule>
    <cfRule type="cellIs" dxfId="4404" priority="60" operator="equal">
      <formula>"J"</formula>
    </cfRule>
  </conditionalFormatting>
  <conditionalFormatting sqref="D9:D11 D13:D18 D20:D25 D27:D29 D31:D32">
    <cfRule type="cellIs" dxfId="4403" priority="53" operator="equal">
      <formula>"NI"</formula>
    </cfRule>
    <cfRule type="cellIs" dxfId="4402" priority="54" operator="equal">
      <formula>"N"</formula>
    </cfRule>
    <cfRule type="cellIs" dxfId="4401" priority="55" operator="equal">
      <formula>"P"</formula>
    </cfRule>
    <cfRule type="cellIs" dxfId="4400" priority="56" operator="equal">
      <formula>"J"</formula>
    </cfRule>
  </conditionalFormatting>
  <conditionalFormatting sqref="E9:E11 E13:E18 E20:E25 E27:E29 E32">
    <cfRule type="cellIs" dxfId="4399" priority="49" operator="equal">
      <formula>"NI"</formula>
    </cfRule>
    <cfRule type="cellIs" dxfId="4398" priority="50" operator="equal">
      <formula>"N"</formula>
    </cfRule>
    <cfRule type="cellIs" dxfId="4397" priority="51" operator="equal">
      <formula>"P"</formula>
    </cfRule>
    <cfRule type="cellIs" dxfId="4396" priority="52" operator="equal">
      <formula>"J"</formula>
    </cfRule>
  </conditionalFormatting>
  <conditionalFormatting sqref="F9:F11 F13:F18 F20:F25 F27:F29 F32">
    <cfRule type="cellIs" dxfId="4395" priority="45" operator="equal">
      <formula>"NI"</formula>
    </cfRule>
    <cfRule type="cellIs" dxfId="4394" priority="46" operator="equal">
      <formula>"N"</formula>
    </cfRule>
    <cfRule type="cellIs" dxfId="4393" priority="47" operator="equal">
      <formula>"P"</formula>
    </cfRule>
    <cfRule type="cellIs" dxfId="4392" priority="48" operator="equal">
      <formula>"J"</formula>
    </cfRule>
  </conditionalFormatting>
  <conditionalFormatting sqref="I9:I11 I13:I18 I20:I25 I27:I29 I31:I32">
    <cfRule type="cellIs" dxfId="4391" priority="41" operator="equal">
      <formula>"NI"</formula>
    </cfRule>
    <cfRule type="cellIs" dxfId="4390" priority="42" operator="equal">
      <formula>"N"</formula>
    </cfRule>
    <cfRule type="cellIs" dxfId="4389" priority="43" operator="equal">
      <formula>"P"</formula>
    </cfRule>
    <cfRule type="cellIs" dxfId="4388" priority="44" operator="equal">
      <formula>"J"</formula>
    </cfRule>
  </conditionalFormatting>
  <conditionalFormatting sqref="I33">
    <cfRule type="cellIs" dxfId="4387" priority="37" operator="equal">
      <formula>"NI"</formula>
    </cfRule>
    <cfRule type="cellIs" dxfId="4386" priority="38" operator="equal">
      <formula>"N"</formula>
    </cfRule>
    <cfRule type="cellIs" dxfId="4385" priority="39" operator="equal">
      <formula>"P"</formula>
    </cfRule>
    <cfRule type="cellIs" dxfId="4384" priority="40" operator="equal">
      <formula>"J"</formula>
    </cfRule>
  </conditionalFormatting>
  <conditionalFormatting sqref="E31:F31">
    <cfRule type="cellIs" dxfId="4383" priority="33" operator="equal">
      <formula>"NI"</formula>
    </cfRule>
    <cfRule type="cellIs" dxfId="4382" priority="34" operator="equal">
      <formula>"N"</formula>
    </cfRule>
    <cfRule type="cellIs" dxfId="4381" priority="35" operator="equal">
      <formula>"P"</formula>
    </cfRule>
    <cfRule type="cellIs" dxfId="4380" priority="36" operator="equal">
      <formula>"J"</formula>
    </cfRule>
  </conditionalFormatting>
  <conditionalFormatting sqref="D33">
    <cfRule type="cellIs" dxfId="4379" priority="29" operator="equal">
      <formula>"NI"</formula>
    </cfRule>
    <cfRule type="cellIs" dxfId="4378" priority="30" operator="equal">
      <formula>"N"</formula>
    </cfRule>
    <cfRule type="cellIs" dxfId="4377" priority="31" operator="equal">
      <formula>"P"</formula>
    </cfRule>
    <cfRule type="cellIs" dxfId="4376" priority="32" operator="equal">
      <formula>"J"</formula>
    </cfRule>
  </conditionalFormatting>
  <conditionalFormatting sqref="E33">
    <cfRule type="cellIs" dxfId="4375" priority="25" operator="equal">
      <formula>"NI"</formula>
    </cfRule>
    <cfRule type="cellIs" dxfId="4374" priority="26" operator="equal">
      <formula>"N"</formula>
    </cfRule>
    <cfRule type="cellIs" dxfId="4373" priority="27" operator="equal">
      <formula>"P"</formula>
    </cfRule>
    <cfRule type="cellIs" dxfId="4372" priority="28" operator="equal">
      <formula>"J"</formula>
    </cfRule>
  </conditionalFormatting>
  <conditionalFormatting sqref="F33">
    <cfRule type="cellIs" dxfId="4371" priority="21" operator="equal">
      <formula>"NI"</formula>
    </cfRule>
    <cfRule type="cellIs" dxfId="4370" priority="22" operator="equal">
      <formula>"N"</formula>
    </cfRule>
    <cfRule type="cellIs" dxfId="4369" priority="23" operator="equal">
      <formula>"P"</formula>
    </cfRule>
    <cfRule type="cellIs" dxfId="4368" priority="24" operator="equal">
      <formula>"J"</formula>
    </cfRule>
  </conditionalFormatting>
  <conditionalFormatting sqref="L17">
    <cfRule type="cellIs" dxfId="4367" priority="17" operator="equal">
      <formula>"NI"</formula>
    </cfRule>
    <cfRule type="cellIs" dxfId="4366" priority="18" operator="equal">
      <formula>"N"</formula>
    </cfRule>
    <cfRule type="cellIs" dxfId="4365" priority="19" operator="equal">
      <formula>"P"</formula>
    </cfRule>
    <cfRule type="cellIs" dxfId="4364" priority="20" operator="equal">
      <formula>"J"</formula>
    </cfRule>
  </conditionalFormatting>
  <conditionalFormatting sqref="L31">
    <cfRule type="cellIs" dxfId="4363" priority="13" operator="equal">
      <formula>"NI"</formula>
    </cfRule>
    <cfRule type="cellIs" dxfId="4362" priority="14" operator="equal">
      <formula>"N"</formula>
    </cfRule>
    <cfRule type="cellIs" dxfId="4361" priority="15" operator="equal">
      <formula>"P"</formula>
    </cfRule>
    <cfRule type="cellIs" dxfId="4360" priority="16" operator="equal">
      <formula>"J"</formula>
    </cfRule>
  </conditionalFormatting>
  <conditionalFormatting sqref="L33">
    <cfRule type="cellIs" dxfId="4359" priority="9" operator="equal">
      <formula>"NI"</formula>
    </cfRule>
    <cfRule type="cellIs" dxfId="4358" priority="10" operator="equal">
      <formula>"N"</formula>
    </cfRule>
    <cfRule type="cellIs" dxfId="4357" priority="11" operator="equal">
      <formula>"P"</formula>
    </cfRule>
    <cfRule type="cellIs" dxfId="4356" priority="12" operator="equal">
      <formula>"J"</formula>
    </cfRule>
  </conditionalFormatting>
  <conditionalFormatting sqref="G9:G11 G13:G18 G20:G25 G27:G29 G31:G33">
    <cfRule type="cellIs" dxfId="4355" priority="5" operator="equal">
      <formula>"NI"</formula>
    </cfRule>
    <cfRule type="cellIs" dxfId="4354" priority="6" operator="equal">
      <formula>"N"</formula>
    </cfRule>
    <cfRule type="cellIs" dxfId="4353" priority="7" operator="equal">
      <formula>"P"</formula>
    </cfRule>
    <cfRule type="cellIs" dxfId="4352" priority="8" operator="equal">
      <formula>"J"</formula>
    </cfRule>
  </conditionalFormatting>
  <conditionalFormatting sqref="H9:H11 H13:H18 H20:H25 H27:H29 H31:H33">
    <cfRule type="cellIs" dxfId="4351" priority="1" operator="equal">
      <formula>"NI"</formula>
    </cfRule>
    <cfRule type="cellIs" dxfId="4350" priority="2" operator="equal">
      <formula>"N"</formula>
    </cfRule>
    <cfRule type="cellIs" dxfId="4349" priority="3" operator="equal">
      <formula>"P"</formula>
    </cfRule>
    <cfRule type="cellIs" dxfId="434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6" sqref="S16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281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0.43958333333333333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0.62638888888888888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0.43819444444444439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0.4861111111111111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0.63055555555555554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0.37222222222222218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0.71597222222222223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0.61041666666666672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282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52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56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52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52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196</v>
      </c>
      <c r="H27" s="241" t="s">
        <v>196</v>
      </c>
      <c r="I27" s="241" t="s">
        <v>196</v>
      </c>
      <c r="J27" s="241" t="s">
        <v>215</v>
      </c>
      <c r="K27" s="241" t="s">
        <v>196</v>
      </c>
      <c r="L27" s="241" t="s">
        <v>196</v>
      </c>
      <c r="M27" s="241" t="s">
        <v>196</v>
      </c>
      <c r="N27" s="241" t="s">
        <v>196</v>
      </c>
      <c r="O27" s="241" t="s">
        <v>196</v>
      </c>
      <c r="Q27" s="452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52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52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52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52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52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52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59"/>
      <c r="R34" s="460"/>
      <c r="S34" s="460"/>
      <c r="T34" s="460"/>
      <c r="U34" s="46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347" priority="73" operator="equal">
      <formula>"NI"</formula>
    </cfRule>
    <cfRule type="cellIs" dxfId="4346" priority="74" operator="equal">
      <formula>"N"</formula>
    </cfRule>
    <cfRule type="cellIs" dxfId="4345" priority="75" operator="equal">
      <formula>"P"</formula>
    </cfRule>
    <cfRule type="cellIs" dxfId="4344" priority="76" operator="equal">
      <formula>"J"</formula>
    </cfRule>
  </conditionalFormatting>
  <conditionalFormatting sqref="M32:M33">
    <cfRule type="cellIs" dxfId="4343" priority="77" operator="equal">
      <formula>"NI"</formula>
    </cfRule>
    <cfRule type="cellIs" dxfId="4342" priority="78" operator="equal">
      <formula>"N"</formula>
    </cfRule>
    <cfRule type="cellIs" dxfId="4341" priority="79" operator="equal">
      <formula>"P"</formula>
    </cfRule>
    <cfRule type="cellIs" dxfId="4340" priority="80" operator="equal">
      <formula>"J"</formula>
    </cfRule>
  </conditionalFormatting>
  <conditionalFormatting sqref="M9:M10">
    <cfRule type="cellIs" dxfId="4339" priority="81" operator="equal">
      <formula>"NI"</formula>
    </cfRule>
    <cfRule type="cellIs" dxfId="4338" priority="82" operator="equal">
      <formula>"N"</formula>
    </cfRule>
    <cfRule type="cellIs" dxfId="4337" priority="83" operator="equal">
      <formula>"P"</formula>
    </cfRule>
    <cfRule type="cellIs" dxfId="4336" priority="84" operator="equal">
      <formula>"J"</formula>
    </cfRule>
  </conditionalFormatting>
  <conditionalFormatting sqref="M11">
    <cfRule type="cellIs" dxfId="4335" priority="85" operator="equal">
      <formula>"NI"</formula>
    </cfRule>
    <cfRule type="cellIs" dxfId="4334" priority="86" operator="equal">
      <formula>"N"</formula>
    </cfRule>
    <cfRule type="cellIs" dxfId="4333" priority="87" operator="equal">
      <formula>"P"</formula>
    </cfRule>
    <cfRule type="cellIs" dxfId="4332" priority="88" operator="equal">
      <formula>"J"</formula>
    </cfRule>
  </conditionalFormatting>
  <conditionalFormatting sqref="M13:N18">
    <cfRule type="cellIs" dxfId="4331" priority="89" operator="equal">
      <formula>"NI"</formula>
    </cfRule>
    <cfRule type="cellIs" dxfId="4330" priority="90" operator="equal">
      <formula>"N"</formula>
    </cfRule>
    <cfRule type="cellIs" dxfId="4329" priority="91" operator="equal">
      <formula>"P"</formula>
    </cfRule>
    <cfRule type="cellIs" dxfId="4328" priority="92" operator="equal">
      <formula>"J"</formula>
    </cfRule>
  </conditionalFormatting>
  <conditionalFormatting sqref="M20:N25">
    <cfRule type="cellIs" dxfId="4327" priority="93" operator="equal">
      <formula>"NI"</formula>
    </cfRule>
    <cfRule type="cellIs" dxfId="4326" priority="94" operator="equal">
      <formula>"N"</formula>
    </cfRule>
    <cfRule type="cellIs" dxfId="4325" priority="95" operator="equal">
      <formula>"P"</formula>
    </cfRule>
    <cfRule type="cellIs" dxfId="4324" priority="96" operator="equal">
      <formula>"J"</formula>
    </cfRule>
  </conditionalFormatting>
  <conditionalFormatting sqref="N32:N33">
    <cfRule type="cellIs" dxfId="4323" priority="97" operator="equal">
      <formula>"NI"</formula>
    </cfRule>
    <cfRule type="cellIs" dxfId="4322" priority="98" operator="equal">
      <formula>"N"</formula>
    </cfRule>
    <cfRule type="cellIs" dxfId="4321" priority="99" operator="equal">
      <formula>"P"</formula>
    </cfRule>
    <cfRule type="cellIs" dxfId="4320" priority="100" operator="equal">
      <formula>"J"</formula>
    </cfRule>
  </conditionalFormatting>
  <conditionalFormatting sqref="N9:N11">
    <cfRule type="cellIs" dxfId="4319" priority="101" operator="equal">
      <formula>"NI"</formula>
    </cfRule>
    <cfRule type="cellIs" dxfId="4318" priority="102" operator="equal">
      <formula>"N"</formula>
    </cfRule>
    <cfRule type="cellIs" dxfId="4317" priority="103" operator="equal">
      <formula>"P"</formula>
    </cfRule>
    <cfRule type="cellIs" dxfId="4316" priority="104" operator="equal">
      <formula>"J"</formula>
    </cfRule>
  </conditionalFormatting>
  <conditionalFormatting sqref="O9:O11 O13:O18 O20:O25 O27:O29 O31:O33">
    <cfRule type="cellIs" dxfId="4315" priority="105" operator="equal">
      <formula>"NI"</formula>
    </cfRule>
    <cfRule type="cellIs" dxfId="4314" priority="106" operator="equal">
      <formula>"N"</formula>
    </cfRule>
    <cfRule type="cellIs" dxfId="4313" priority="107" operator="equal">
      <formula>"P"</formula>
    </cfRule>
    <cfRule type="cellIs" dxfId="4312" priority="108" operator="equal">
      <formula>"J"</formula>
    </cfRule>
  </conditionalFormatting>
  <conditionalFormatting sqref="J9:J11 J13:J18 J20:J25 J27:J29 J31:J33">
    <cfRule type="cellIs" dxfId="4311" priority="65" operator="equal">
      <formula>"NI"</formula>
    </cfRule>
    <cfRule type="cellIs" dxfId="4310" priority="66" operator="equal">
      <formula>"N"</formula>
    </cfRule>
    <cfRule type="cellIs" dxfId="4309" priority="67" operator="equal">
      <formula>"P"</formula>
    </cfRule>
    <cfRule type="cellIs" dxfId="4308" priority="68" operator="equal">
      <formula>"J"</formula>
    </cfRule>
  </conditionalFormatting>
  <conditionalFormatting sqref="K9:K11 K13:K18 K20:K25 K27:K29 K31:K33">
    <cfRule type="cellIs" dxfId="4307" priority="61" operator="equal">
      <formula>"NI"</formula>
    </cfRule>
    <cfRule type="cellIs" dxfId="4306" priority="62" operator="equal">
      <formula>"N"</formula>
    </cfRule>
    <cfRule type="cellIs" dxfId="4305" priority="63" operator="equal">
      <formula>"P"</formula>
    </cfRule>
    <cfRule type="cellIs" dxfId="4304" priority="64" operator="equal">
      <formula>"J"</formula>
    </cfRule>
  </conditionalFormatting>
  <conditionalFormatting sqref="L9:L11 L13:L16 L18 L20:L25 L27:L29 L32">
    <cfRule type="cellIs" dxfId="4303" priority="57" operator="equal">
      <formula>"NI"</formula>
    </cfRule>
    <cfRule type="cellIs" dxfId="4302" priority="58" operator="equal">
      <formula>"N"</formula>
    </cfRule>
    <cfRule type="cellIs" dxfId="4301" priority="59" operator="equal">
      <formula>"P"</formula>
    </cfRule>
    <cfRule type="cellIs" dxfId="4300" priority="60" operator="equal">
      <formula>"J"</formula>
    </cfRule>
  </conditionalFormatting>
  <conditionalFormatting sqref="D9:D11 D13:D18 D20:D25 D27:D29 D31:D32 E18">
    <cfRule type="cellIs" dxfId="4299" priority="53" operator="equal">
      <formula>"NI"</formula>
    </cfRule>
    <cfRule type="cellIs" dxfId="4298" priority="54" operator="equal">
      <formula>"N"</formula>
    </cfRule>
    <cfRule type="cellIs" dxfId="4297" priority="55" operator="equal">
      <formula>"P"</formula>
    </cfRule>
    <cfRule type="cellIs" dxfId="4296" priority="56" operator="equal">
      <formula>"J"</formula>
    </cfRule>
  </conditionalFormatting>
  <conditionalFormatting sqref="E9:E11 E13:E17 E20:E25 E27:E29 E32">
    <cfRule type="cellIs" dxfId="4295" priority="49" operator="equal">
      <formula>"NI"</formula>
    </cfRule>
    <cfRule type="cellIs" dxfId="4294" priority="50" operator="equal">
      <formula>"N"</formula>
    </cfRule>
    <cfRule type="cellIs" dxfId="4293" priority="51" operator="equal">
      <formula>"P"</formula>
    </cfRule>
    <cfRule type="cellIs" dxfId="4292" priority="52" operator="equal">
      <formula>"J"</formula>
    </cfRule>
  </conditionalFormatting>
  <conditionalFormatting sqref="F9:F11 F13:F18 F20:F25 F27:F29 F32">
    <cfRule type="cellIs" dxfId="4291" priority="45" operator="equal">
      <formula>"NI"</formula>
    </cfRule>
    <cfRule type="cellIs" dxfId="4290" priority="46" operator="equal">
      <formula>"N"</formula>
    </cfRule>
    <cfRule type="cellIs" dxfId="4289" priority="47" operator="equal">
      <formula>"P"</formula>
    </cfRule>
    <cfRule type="cellIs" dxfId="4288" priority="48" operator="equal">
      <formula>"J"</formula>
    </cfRule>
  </conditionalFormatting>
  <conditionalFormatting sqref="I9:I11 I13:I18 I20:I25 I27:I29 I31:I32">
    <cfRule type="cellIs" dxfId="4287" priority="41" operator="equal">
      <formula>"NI"</formula>
    </cfRule>
    <cfRule type="cellIs" dxfId="4286" priority="42" operator="equal">
      <formula>"N"</formula>
    </cfRule>
    <cfRule type="cellIs" dxfId="4285" priority="43" operator="equal">
      <formula>"P"</formula>
    </cfRule>
    <cfRule type="cellIs" dxfId="4284" priority="44" operator="equal">
      <formula>"J"</formula>
    </cfRule>
  </conditionalFormatting>
  <conditionalFormatting sqref="I33">
    <cfRule type="cellIs" dxfId="4283" priority="37" operator="equal">
      <formula>"NI"</formula>
    </cfRule>
    <cfRule type="cellIs" dxfId="4282" priority="38" operator="equal">
      <formula>"N"</formula>
    </cfRule>
    <cfRule type="cellIs" dxfId="4281" priority="39" operator="equal">
      <formula>"P"</formula>
    </cfRule>
    <cfRule type="cellIs" dxfId="4280" priority="40" operator="equal">
      <formula>"J"</formula>
    </cfRule>
  </conditionalFormatting>
  <conditionalFormatting sqref="E31:F31">
    <cfRule type="cellIs" dxfId="4279" priority="33" operator="equal">
      <formula>"NI"</formula>
    </cfRule>
    <cfRule type="cellIs" dxfId="4278" priority="34" operator="equal">
      <formula>"N"</formula>
    </cfRule>
    <cfRule type="cellIs" dxfId="4277" priority="35" operator="equal">
      <formula>"P"</formula>
    </cfRule>
    <cfRule type="cellIs" dxfId="4276" priority="36" operator="equal">
      <formula>"J"</formula>
    </cfRule>
  </conditionalFormatting>
  <conditionalFormatting sqref="D33">
    <cfRule type="cellIs" dxfId="4275" priority="29" operator="equal">
      <formula>"NI"</formula>
    </cfRule>
    <cfRule type="cellIs" dxfId="4274" priority="30" operator="equal">
      <formula>"N"</formula>
    </cfRule>
    <cfRule type="cellIs" dxfId="4273" priority="31" operator="equal">
      <formula>"P"</formula>
    </cfRule>
    <cfRule type="cellIs" dxfId="4272" priority="32" operator="equal">
      <formula>"J"</formula>
    </cfRule>
  </conditionalFormatting>
  <conditionalFormatting sqref="E33">
    <cfRule type="cellIs" dxfId="4271" priority="25" operator="equal">
      <formula>"NI"</formula>
    </cfRule>
    <cfRule type="cellIs" dxfId="4270" priority="26" operator="equal">
      <formula>"N"</formula>
    </cfRule>
    <cfRule type="cellIs" dxfId="4269" priority="27" operator="equal">
      <formula>"P"</formula>
    </cfRule>
    <cfRule type="cellIs" dxfId="4268" priority="28" operator="equal">
      <formula>"J"</formula>
    </cfRule>
  </conditionalFormatting>
  <conditionalFormatting sqref="F33">
    <cfRule type="cellIs" dxfId="4267" priority="21" operator="equal">
      <formula>"NI"</formula>
    </cfRule>
    <cfRule type="cellIs" dxfId="4266" priority="22" operator="equal">
      <formula>"N"</formula>
    </cfRule>
    <cfRule type="cellIs" dxfId="4265" priority="23" operator="equal">
      <formula>"P"</formula>
    </cfRule>
    <cfRule type="cellIs" dxfId="4264" priority="24" operator="equal">
      <formula>"J"</formula>
    </cfRule>
  </conditionalFormatting>
  <conditionalFormatting sqref="L17">
    <cfRule type="cellIs" dxfId="4263" priority="17" operator="equal">
      <formula>"NI"</formula>
    </cfRule>
    <cfRule type="cellIs" dxfId="4262" priority="18" operator="equal">
      <formula>"N"</formula>
    </cfRule>
    <cfRule type="cellIs" dxfId="4261" priority="19" operator="equal">
      <formula>"P"</formula>
    </cfRule>
    <cfRule type="cellIs" dxfId="4260" priority="20" operator="equal">
      <formula>"J"</formula>
    </cfRule>
  </conditionalFormatting>
  <conditionalFormatting sqref="L31">
    <cfRule type="cellIs" dxfId="4259" priority="13" operator="equal">
      <formula>"NI"</formula>
    </cfRule>
    <cfRule type="cellIs" dxfId="4258" priority="14" operator="equal">
      <formula>"N"</formula>
    </cfRule>
    <cfRule type="cellIs" dxfId="4257" priority="15" operator="equal">
      <formula>"P"</formula>
    </cfRule>
    <cfRule type="cellIs" dxfId="4256" priority="16" operator="equal">
      <formula>"J"</formula>
    </cfRule>
  </conditionalFormatting>
  <conditionalFormatting sqref="L33">
    <cfRule type="cellIs" dxfId="4255" priority="9" operator="equal">
      <formula>"NI"</formula>
    </cfRule>
    <cfRule type="cellIs" dxfId="4254" priority="10" operator="equal">
      <formula>"N"</formula>
    </cfRule>
    <cfRule type="cellIs" dxfId="4253" priority="11" operator="equal">
      <formula>"P"</formula>
    </cfRule>
    <cfRule type="cellIs" dxfId="4252" priority="12" operator="equal">
      <formula>"J"</formula>
    </cfRule>
  </conditionalFormatting>
  <conditionalFormatting sqref="G9:G11 G13:G18 G20:G25 G27:G29 G31:G33">
    <cfRule type="cellIs" dxfId="4251" priority="5" operator="equal">
      <formula>"NI"</formula>
    </cfRule>
    <cfRule type="cellIs" dxfId="4250" priority="6" operator="equal">
      <formula>"N"</formula>
    </cfRule>
    <cfRule type="cellIs" dxfId="4249" priority="7" operator="equal">
      <formula>"P"</formula>
    </cfRule>
    <cfRule type="cellIs" dxfId="4248" priority="8" operator="equal">
      <formula>"J"</formula>
    </cfRule>
  </conditionalFormatting>
  <conditionalFormatting sqref="H9:H11 H13:H18 H20:H25 H27:H29 H31:H33">
    <cfRule type="cellIs" dxfId="4247" priority="1" operator="equal">
      <formula>"NI"</formula>
    </cfRule>
    <cfRule type="cellIs" dxfId="4246" priority="2" operator="equal">
      <formula>"N"</formula>
    </cfRule>
    <cfRule type="cellIs" dxfId="4245" priority="3" operator="equal">
      <formula>"P"</formula>
    </cfRule>
    <cfRule type="cellIs" dxfId="424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T16" sqref="T16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283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0.44027777777777782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0.62708333333333333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0.43888888888888888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0.48680555555555549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0.63124999999999998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0.37222222222222218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0.71597222222222223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0.61111111111111116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284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243" priority="69" operator="equal">
      <formula>"NI"</formula>
    </cfRule>
    <cfRule type="cellIs" dxfId="4242" priority="70" operator="equal">
      <formula>"N"</formula>
    </cfRule>
    <cfRule type="cellIs" dxfId="4241" priority="71" operator="equal">
      <formula>"P"</formula>
    </cfRule>
    <cfRule type="cellIs" dxfId="4240" priority="72" operator="equal">
      <formula>"J"</formula>
    </cfRule>
  </conditionalFormatting>
  <conditionalFormatting sqref="M32:M33">
    <cfRule type="cellIs" dxfId="4239" priority="73" operator="equal">
      <formula>"NI"</formula>
    </cfRule>
    <cfRule type="cellIs" dxfId="4238" priority="74" operator="equal">
      <formula>"N"</formula>
    </cfRule>
    <cfRule type="cellIs" dxfId="4237" priority="75" operator="equal">
      <formula>"P"</formula>
    </cfRule>
    <cfRule type="cellIs" dxfId="4236" priority="76" operator="equal">
      <formula>"J"</formula>
    </cfRule>
  </conditionalFormatting>
  <conditionalFormatting sqref="M9:M10">
    <cfRule type="cellIs" dxfId="4235" priority="77" operator="equal">
      <formula>"NI"</formula>
    </cfRule>
    <cfRule type="cellIs" dxfId="4234" priority="78" operator="equal">
      <formula>"N"</formula>
    </cfRule>
    <cfRule type="cellIs" dxfId="4233" priority="79" operator="equal">
      <formula>"P"</formula>
    </cfRule>
    <cfRule type="cellIs" dxfId="4232" priority="80" operator="equal">
      <formula>"J"</formula>
    </cfRule>
  </conditionalFormatting>
  <conditionalFormatting sqref="M11">
    <cfRule type="cellIs" dxfId="4231" priority="81" operator="equal">
      <formula>"NI"</formula>
    </cfRule>
    <cfRule type="cellIs" dxfId="4230" priority="82" operator="equal">
      <formula>"N"</formula>
    </cfRule>
    <cfRule type="cellIs" dxfId="4229" priority="83" operator="equal">
      <formula>"P"</formula>
    </cfRule>
    <cfRule type="cellIs" dxfId="4228" priority="84" operator="equal">
      <formula>"J"</formula>
    </cfRule>
  </conditionalFormatting>
  <conditionalFormatting sqref="M13:N18">
    <cfRule type="cellIs" dxfId="4227" priority="85" operator="equal">
      <formula>"NI"</formula>
    </cfRule>
    <cfRule type="cellIs" dxfId="4226" priority="86" operator="equal">
      <formula>"N"</formula>
    </cfRule>
    <cfRule type="cellIs" dxfId="4225" priority="87" operator="equal">
      <formula>"P"</formula>
    </cfRule>
    <cfRule type="cellIs" dxfId="4224" priority="88" operator="equal">
      <formula>"J"</formula>
    </cfRule>
  </conditionalFormatting>
  <conditionalFormatting sqref="M20:N25">
    <cfRule type="cellIs" dxfId="4223" priority="89" operator="equal">
      <formula>"NI"</formula>
    </cfRule>
    <cfRule type="cellIs" dxfId="4222" priority="90" operator="equal">
      <formula>"N"</formula>
    </cfRule>
    <cfRule type="cellIs" dxfId="4221" priority="91" operator="equal">
      <formula>"P"</formula>
    </cfRule>
    <cfRule type="cellIs" dxfId="4220" priority="92" operator="equal">
      <formula>"J"</formula>
    </cfRule>
  </conditionalFormatting>
  <conditionalFormatting sqref="N32:N33">
    <cfRule type="cellIs" dxfId="4219" priority="93" operator="equal">
      <formula>"NI"</formula>
    </cfRule>
    <cfRule type="cellIs" dxfId="4218" priority="94" operator="equal">
      <formula>"N"</formula>
    </cfRule>
    <cfRule type="cellIs" dxfId="4217" priority="95" operator="equal">
      <formula>"P"</formula>
    </cfRule>
    <cfRule type="cellIs" dxfId="4216" priority="96" operator="equal">
      <formula>"J"</formula>
    </cfRule>
  </conditionalFormatting>
  <conditionalFormatting sqref="N9:N11">
    <cfRule type="cellIs" dxfId="4215" priority="97" operator="equal">
      <formula>"NI"</formula>
    </cfRule>
    <cfRule type="cellIs" dxfId="4214" priority="98" operator="equal">
      <formula>"N"</formula>
    </cfRule>
    <cfRule type="cellIs" dxfId="4213" priority="99" operator="equal">
      <formula>"P"</formula>
    </cfRule>
    <cfRule type="cellIs" dxfId="4212" priority="100" operator="equal">
      <formula>"J"</formula>
    </cfRule>
  </conditionalFormatting>
  <conditionalFormatting sqref="O9:O11 O13:O18 O20:O25 O27:O29 O31:O33">
    <cfRule type="cellIs" dxfId="4211" priority="101" operator="equal">
      <formula>"NI"</formula>
    </cfRule>
    <cfRule type="cellIs" dxfId="4210" priority="102" operator="equal">
      <formula>"N"</formula>
    </cfRule>
    <cfRule type="cellIs" dxfId="4209" priority="103" operator="equal">
      <formula>"P"</formula>
    </cfRule>
    <cfRule type="cellIs" dxfId="4208" priority="104" operator="equal">
      <formula>"J"</formula>
    </cfRule>
  </conditionalFormatting>
  <conditionalFormatting sqref="J9:J11 J13:J18 J20:J25 J27:J29 J31:J33">
    <cfRule type="cellIs" dxfId="4207" priority="61" operator="equal">
      <formula>"NI"</formula>
    </cfRule>
    <cfRule type="cellIs" dxfId="4206" priority="62" operator="equal">
      <formula>"N"</formula>
    </cfRule>
    <cfRule type="cellIs" dxfId="4205" priority="63" operator="equal">
      <formula>"P"</formula>
    </cfRule>
    <cfRule type="cellIs" dxfId="4204" priority="64" operator="equal">
      <formula>"J"</formula>
    </cfRule>
  </conditionalFormatting>
  <conditionalFormatting sqref="K9:K11 K13:K18 K20:K25 K27:K29 K31:K33">
    <cfRule type="cellIs" dxfId="4203" priority="57" operator="equal">
      <formula>"NI"</formula>
    </cfRule>
    <cfRule type="cellIs" dxfId="4202" priority="58" operator="equal">
      <formula>"N"</formula>
    </cfRule>
    <cfRule type="cellIs" dxfId="4201" priority="59" operator="equal">
      <formula>"P"</formula>
    </cfRule>
    <cfRule type="cellIs" dxfId="4200" priority="60" operator="equal">
      <formula>"J"</formula>
    </cfRule>
  </conditionalFormatting>
  <conditionalFormatting sqref="L9:L11 L13:L16 L18 L20:L25 L27:L29 L32">
    <cfRule type="cellIs" dxfId="4199" priority="53" operator="equal">
      <formula>"NI"</formula>
    </cfRule>
    <cfRule type="cellIs" dxfId="4198" priority="54" operator="equal">
      <formula>"N"</formula>
    </cfRule>
    <cfRule type="cellIs" dxfId="4197" priority="55" operator="equal">
      <formula>"P"</formula>
    </cfRule>
    <cfRule type="cellIs" dxfId="4196" priority="56" operator="equal">
      <formula>"J"</formula>
    </cfRule>
  </conditionalFormatting>
  <conditionalFormatting sqref="D9:D11 D13:D18 D20:D25 D27:D29 D31:D32">
    <cfRule type="cellIs" dxfId="4195" priority="49" operator="equal">
      <formula>"NI"</formula>
    </cfRule>
    <cfRule type="cellIs" dxfId="4194" priority="50" operator="equal">
      <formula>"N"</formula>
    </cfRule>
    <cfRule type="cellIs" dxfId="4193" priority="51" operator="equal">
      <formula>"P"</formula>
    </cfRule>
    <cfRule type="cellIs" dxfId="4192" priority="52" operator="equal">
      <formula>"J"</formula>
    </cfRule>
  </conditionalFormatting>
  <conditionalFormatting sqref="E9:E11 E13:E18 E20:E25 E27:E29 E31:E32">
    <cfRule type="cellIs" dxfId="4191" priority="45" operator="equal">
      <formula>"NI"</formula>
    </cfRule>
    <cfRule type="cellIs" dxfId="4190" priority="46" operator="equal">
      <formula>"N"</formula>
    </cfRule>
    <cfRule type="cellIs" dxfId="4189" priority="47" operator="equal">
      <formula>"P"</formula>
    </cfRule>
    <cfRule type="cellIs" dxfId="4188" priority="48" operator="equal">
      <formula>"J"</formula>
    </cfRule>
  </conditionalFormatting>
  <conditionalFormatting sqref="F9:F11 F13:F18 F20:F25 F27:F29 F31:F32">
    <cfRule type="cellIs" dxfId="4187" priority="41" operator="equal">
      <formula>"NI"</formula>
    </cfRule>
    <cfRule type="cellIs" dxfId="4186" priority="42" operator="equal">
      <formula>"N"</formula>
    </cfRule>
    <cfRule type="cellIs" dxfId="4185" priority="43" operator="equal">
      <formula>"P"</formula>
    </cfRule>
    <cfRule type="cellIs" dxfId="4184" priority="44" operator="equal">
      <formula>"J"</formula>
    </cfRule>
  </conditionalFormatting>
  <conditionalFormatting sqref="I9:I11 I13:I18 I20:I25 I27:I29 I31:I32">
    <cfRule type="cellIs" dxfId="4183" priority="37" operator="equal">
      <formula>"NI"</formula>
    </cfRule>
    <cfRule type="cellIs" dxfId="4182" priority="38" operator="equal">
      <formula>"N"</formula>
    </cfRule>
    <cfRule type="cellIs" dxfId="4181" priority="39" operator="equal">
      <formula>"P"</formula>
    </cfRule>
    <cfRule type="cellIs" dxfId="4180" priority="40" operator="equal">
      <formula>"J"</formula>
    </cfRule>
  </conditionalFormatting>
  <conditionalFormatting sqref="I33">
    <cfRule type="cellIs" dxfId="4179" priority="33" operator="equal">
      <formula>"NI"</formula>
    </cfRule>
    <cfRule type="cellIs" dxfId="4178" priority="34" operator="equal">
      <formula>"N"</formula>
    </cfRule>
    <cfRule type="cellIs" dxfId="4177" priority="35" operator="equal">
      <formula>"P"</formula>
    </cfRule>
    <cfRule type="cellIs" dxfId="4176" priority="36" operator="equal">
      <formula>"J"</formula>
    </cfRule>
  </conditionalFormatting>
  <conditionalFormatting sqref="D33">
    <cfRule type="cellIs" dxfId="4175" priority="29" operator="equal">
      <formula>"NI"</formula>
    </cfRule>
    <cfRule type="cellIs" dxfId="4174" priority="30" operator="equal">
      <formula>"N"</formula>
    </cfRule>
    <cfRule type="cellIs" dxfId="4173" priority="31" operator="equal">
      <formula>"P"</formula>
    </cfRule>
    <cfRule type="cellIs" dxfId="4172" priority="32" operator="equal">
      <formula>"J"</formula>
    </cfRule>
  </conditionalFormatting>
  <conditionalFormatting sqref="E33">
    <cfRule type="cellIs" dxfId="4171" priority="25" operator="equal">
      <formula>"NI"</formula>
    </cfRule>
    <cfRule type="cellIs" dxfId="4170" priority="26" operator="equal">
      <formula>"N"</formula>
    </cfRule>
    <cfRule type="cellIs" dxfId="4169" priority="27" operator="equal">
      <formula>"P"</formula>
    </cfRule>
    <cfRule type="cellIs" dxfId="4168" priority="28" operator="equal">
      <formula>"J"</formula>
    </cfRule>
  </conditionalFormatting>
  <conditionalFormatting sqref="F33">
    <cfRule type="cellIs" dxfId="4167" priority="21" operator="equal">
      <formula>"NI"</formula>
    </cfRule>
    <cfRule type="cellIs" dxfId="4166" priority="22" operator="equal">
      <formula>"N"</formula>
    </cfRule>
    <cfRule type="cellIs" dxfId="4165" priority="23" operator="equal">
      <formula>"P"</formula>
    </cfRule>
    <cfRule type="cellIs" dxfId="4164" priority="24" operator="equal">
      <formula>"J"</formula>
    </cfRule>
  </conditionalFormatting>
  <conditionalFormatting sqref="L17">
    <cfRule type="cellIs" dxfId="4163" priority="17" operator="equal">
      <formula>"NI"</formula>
    </cfRule>
    <cfRule type="cellIs" dxfId="4162" priority="18" operator="equal">
      <formula>"N"</formula>
    </cfRule>
    <cfRule type="cellIs" dxfId="4161" priority="19" operator="equal">
      <formula>"P"</formula>
    </cfRule>
    <cfRule type="cellIs" dxfId="4160" priority="20" operator="equal">
      <formula>"J"</formula>
    </cfRule>
  </conditionalFormatting>
  <conditionalFormatting sqref="L31">
    <cfRule type="cellIs" dxfId="4159" priority="13" operator="equal">
      <formula>"NI"</formula>
    </cfRule>
    <cfRule type="cellIs" dxfId="4158" priority="14" operator="equal">
      <formula>"N"</formula>
    </cfRule>
    <cfRule type="cellIs" dxfId="4157" priority="15" operator="equal">
      <formula>"P"</formula>
    </cfRule>
    <cfRule type="cellIs" dxfId="4156" priority="16" operator="equal">
      <formula>"J"</formula>
    </cfRule>
  </conditionalFormatting>
  <conditionalFormatting sqref="L33">
    <cfRule type="cellIs" dxfId="4155" priority="9" operator="equal">
      <formula>"NI"</formula>
    </cfRule>
    <cfRule type="cellIs" dxfId="4154" priority="10" operator="equal">
      <formula>"N"</formula>
    </cfRule>
    <cfRule type="cellIs" dxfId="4153" priority="11" operator="equal">
      <formula>"P"</formula>
    </cfRule>
    <cfRule type="cellIs" dxfId="4152" priority="12" operator="equal">
      <formula>"J"</formula>
    </cfRule>
  </conditionalFormatting>
  <conditionalFormatting sqref="G9:G11 G13:G18 G20:G25 G27:G29 G31:G33">
    <cfRule type="cellIs" dxfId="4151" priority="5" operator="equal">
      <formula>"NI"</formula>
    </cfRule>
    <cfRule type="cellIs" dxfId="4150" priority="6" operator="equal">
      <formula>"N"</formula>
    </cfRule>
    <cfRule type="cellIs" dxfId="4149" priority="7" operator="equal">
      <formula>"P"</formula>
    </cfRule>
    <cfRule type="cellIs" dxfId="4148" priority="8" operator="equal">
      <formula>"J"</formula>
    </cfRule>
  </conditionalFormatting>
  <conditionalFormatting sqref="H9:H11 H13:H18 H20:H25 H27:H29 H31:H33">
    <cfRule type="cellIs" dxfId="4147" priority="1" operator="equal">
      <formula>"NI"</formula>
    </cfRule>
    <cfRule type="cellIs" dxfId="4146" priority="2" operator="equal">
      <formula>"N"</formula>
    </cfRule>
    <cfRule type="cellIs" dxfId="4145" priority="3" operator="equal">
      <formula>"P"</formula>
    </cfRule>
    <cfRule type="cellIs" dxfId="414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285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0.44097222222222221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0.62777777777777777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0.43958333333333333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0.48749999999999999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0.63194444444444442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0.37430555555555561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0.71666666666666667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0.6118055555555556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286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143" priority="69" operator="equal">
      <formula>"NI"</formula>
    </cfRule>
    <cfRule type="cellIs" dxfId="4142" priority="70" operator="equal">
      <formula>"N"</formula>
    </cfRule>
    <cfRule type="cellIs" dxfId="4141" priority="71" operator="equal">
      <formula>"P"</formula>
    </cfRule>
    <cfRule type="cellIs" dxfId="4140" priority="72" operator="equal">
      <formula>"J"</formula>
    </cfRule>
  </conditionalFormatting>
  <conditionalFormatting sqref="M32:M33">
    <cfRule type="cellIs" dxfId="4139" priority="73" operator="equal">
      <formula>"NI"</formula>
    </cfRule>
    <cfRule type="cellIs" dxfId="4138" priority="74" operator="equal">
      <formula>"N"</formula>
    </cfRule>
    <cfRule type="cellIs" dxfId="4137" priority="75" operator="equal">
      <formula>"P"</formula>
    </cfRule>
    <cfRule type="cellIs" dxfId="4136" priority="76" operator="equal">
      <formula>"J"</formula>
    </cfRule>
  </conditionalFormatting>
  <conditionalFormatting sqref="M9:M10">
    <cfRule type="cellIs" dxfId="4135" priority="77" operator="equal">
      <formula>"NI"</formula>
    </cfRule>
    <cfRule type="cellIs" dxfId="4134" priority="78" operator="equal">
      <formula>"N"</formula>
    </cfRule>
    <cfRule type="cellIs" dxfId="4133" priority="79" operator="equal">
      <formula>"P"</formula>
    </cfRule>
    <cfRule type="cellIs" dxfId="4132" priority="80" operator="equal">
      <formula>"J"</formula>
    </cfRule>
  </conditionalFormatting>
  <conditionalFormatting sqref="M11">
    <cfRule type="cellIs" dxfId="4131" priority="81" operator="equal">
      <formula>"NI"</formula>
    </cfRule>
    <cfRule type="cellIs" dxfId="4130" priority="82" operator="equal">
      <formula>"N"</formula>
    </cfRule>
    <cfRule type="cellIs" dxfId="4129" priority="83" operator="equal">
      <formula>"P"</formula>
    </cfRule>
    <cfRule type="cellIs" dxfId="4128" priority="84" operator="equal">
      <formula>"J"</formula>
    </cfRule>
  </conditionalFormatting>
  <conditionalFormatting sqref="M13:N18">
    <cfRule type="cellIs" dxfId="4127" priority="85" operator="equal">
      <formula>"NI"</formula>
    </cfRule>
    <cfRule type="cellIs" dxfId="4126" priority="86" operator="equal">
      <formula>"N"</formula>
    </cfRule>
    <cfRule type="cellIs" dxfId="4125" priority="87" operator="equal">
      <formula>"P"</formula>
    </cfRule>
    <cfRule type="cellIs" dxfId="4124" priority="88" operator="equal">
      <formula>"J"</formula>
    </cfRule>
  </conditionalFormatting>
  <conditionalFormatting sqref="M20:N25">
    <cfRule type="cellIs" dxfId="4123" priority="89" operator="equal">
      <formula>"NI"</formula>
    </cfRule>
    <cfRule type="cellIs" dxfId="4122" priority="90" operator="equal">
      <formula>"N"</formula>
    </cfRule>
    <cfRule type="cellIs" dxfId="4121" priority="91" operator="equal">
      <formula>"P"</formula>
    </cfRule>
    <cfRule type="cellIs" dxfId="4120" priority="92" operator="equal">
      <formula>"J"</formula>
    </cfRule>
  </conditionalFormatting>
  <conditionalFormatting sqref="N32:N33">
    <cfRule type="cellIs" dxfId="4119" priority="93" operator="equal">
      <formula>"NI"</formula>
    </cfRule>
    <cfRule type="cellIs" dxfId="4118" priority="94" operator="equal">
      <formula>"N"</formula>
    </cfRule>
    <cfRule type="cellIs" dxfId="4117" priority="95" operator="equal">
      <formula>"P"</formula>
    </cfRule>
    <cfRule type="cellIs" dxfId="4116" priority="96" operator="equal">
      <formula>"J"</formula>
    </cfRule>
  </conditionalFormatting>
  <conditionalFormatting sqref="N9:N11">
    <cfRule type="cellIs" dxfId="4115" priority="97" operator="equal">
      <formula>"NI"</formula>
    </cfRule>
    <cfRule type="cellIs" dxfId="4114" priority="98" operator="equal">
      <formula>"N"</formula>
    </cfRule>
    <cfRule type="cellIs" dxfId="4113" priority="99" operator="equal">
      <formula>"P"</formula>
    </cfRule>
    <cfRule type="cellIs" dxfId="4112" priority="100" operator="equal">
      <formula>"J"</formula>
    </cfRule>
  </conditionalFormatting>
  <conditionalFormatting sqref="O9:O11 O13:O18 O20:O25 O27:O29 O31:O33">
    <cfRule type="cellIs" dxfId="4111" priority="101" operator="equal">
      <formula>"NI"</formula>
    </cfRule>
    <cfRule type="cellIs" dxfId="4110" priority="102" operator="equal">
      <formula>"N"</formula>
    </cfRule>
    <cfRule type="cellIs" dxfId="4109" priority="103" operator="equal">
      <formula>"P"</formula>
    </cfRule>
    <cfRule type="cellIs" dxfId="4108" priority="104" operator="equal">
      <formula>"J"</formula>
    </cfRule>
  </conditionalFormatting>
  <conditionalFormatting sqref="J9:J11 J13:J18 J20:J25 J27:J29 J31:J33">
    <cfRule type="cellIs" dxfId="4107" priority="61" operator="equal">
      <formula>"NI"</formula>
    </cfRule>
    <cfRule type="cellIs" dxfId="4106" priority="62" operator="equal">
      <formula>"N"</formula>
    </cfRule>
    <cfRule type="cellIs" dxfId="4105" priority="63" operator="equal">
      <formula>"P"</formula>
    </cfRule>
    <cfRule type="cellIs" dxfId="4104" priority="64" operator="equal">
      <formula>"J"</formula>
    </cfRule>
  </conditionalFormatting>
  <conditionalFormatting sqref="K9:K11 K13:K18 K20:K25 K27:K29 K31:K33">
    <cfRule type="cellIs" dxfId="4103" priority="57" operator="equal">
      <formula>"NI"</formula>
    </cfRule>
    <cfRule type="cellIs" dxfId="4102" priority="58" operator="equal">
      <formula>"N"</formula>
    </cfRule>
    <cfRule type="cellIs" dxfId="4101" priority="59" operator="equal">
      <formula>"P"</formula>
    </cfRule>
    <cfRule type="cellIs" dxfId="4100" priority="60" operator="equal">
      <formula>"J"</formula>
    </cfRule>
  </conditionalFormatting>
  <conditionalFormatting sqref="L9:L11 L13:L16 L18 L20:L25 L27:L29 L32">
    <cfRule type="cellIs" dxfId="4099" priority="53" operator="equal">
      <formula>"NI"</formula>
    </cfRule>
    <cfRule type="cellIs" dxfId="4098" priority="54" operator="equal">
      <formula>"N"</formula>
    </cfRule>
    <cfRule type="cellIs" dxfId="4097" priority="55" operator="equal">
      <formula>"P"</formula>
    </cfRule>
    <cfRule type="cellIs" dxfId="4096" priority="56" operator="equal">
      <formula>"J"</formula>
    </cfRule>
  </conditionalFormatting>
  <conditionalFormatting sqref="D9:D11 D13:D18 D20:D25 D27:D29 D31:D32">
    <cfRule type="cellIs" dxfId="4095" priority="49" operator="equal">
      <formula>"NI"</formula>
    </cfRule>
    <cfRule type="cellIs" dxfId="4094" priority="50" operator="equal">
      <formula>"N"</formula>
    </cfRule>
    <cfRule type="cellIs" dxfId="4093" priority="51" operator="equal">
      <formula>"P"</formula>
    </cfRule>
    <cfRule type="cellIs" dxfId="4092" priority="52" operator="equal">
      <formula>"J"</formula>
    </cfRule>
  </conditionalFormatting>
  <conditionalFormatting sqref="E9:E11 E13:E18 E20:E25 E27:E29 E31:E32">
    <cfRule type="cellIs" dxfId="4091" priority="45" operator="equal">
      <formula>"NI"</formula>
    </cfRule>
    <cfRule type="cellIs" dxfId="4090" priority="46" operator="equal">
      <formula>"N"</formula>
    </cfRule>
    <cfRule type="cellIs" dxfId="4089" priority="47" operator="equal">
      <formula>"P"</formula>
    </cfRule>
    <cfRule type="cellIs" dxfId="4088" priority="48" operator="equal">
      <formula>"J"</formula>
    </cfRule>
  </conditionalFormatting>
  <conditionalFormatting sqref="F9:F11 F13:F18 F20:F25 F27:F29 F31:F32">
    <cfRule type="cellIs" dxfId="4087" priority="41" operator="equal">
      <formula>"NI"</formula>
    </cfRule>
    <cfRule type="cellIs" dxfId="4086" priority="42" operator="equal">
      <formula>"N"</formula>
    </cfRule>
    <cfRule type="cellIs" dxfId="4085" priority="43" operator="equal">
      <formula>"P"</formula>
    </cfRule>
    <cfRule type="cellIs" dxfId="4084" priority="44" operator="equal">
      <formula>"J"</formula>
    </cfRule>
  </conditionalFormatting>
  <conditionalFormatting sqref="I9:I11 I13:I18 I20:I25 I27:I29 I31:I32">
    <cfRule type="cellIs" dxfId="4083" priority="37" operator="equal">
      <formula>"NI"</formula>
    </cfRule>
    <cfRule type="cellIs" dxfId="4082" priority="38" operator="equal">
      <formula>"N"</formula>
    </cfRule>
    <cfRule type="cellIs" dxfId="4081" priority="39" operator="equal">
      <formula>"P"</formula>
    </cfRule>
    <cfRule type="cellIs" dxfId="4080" priority="40" operator="equal">
      <formula>"J"</formula>
    </cfRule>
  </conditionalFormatting>
  <conditionalFormatting sqref="I33">
    <cfRule type="cellIs" dxfId="4079" priority="33" operator="equal">
      <formula>"NI"</formula>
    </cfRule>
    <cfRule type="cellIs" dxfId="4078" priority="34" operator="equal">
      <formula>"N"</formula>
    </cfRule>
    <cfRule type="cellIs" dxfId="4077" priority="35" operator="equal">
      <formula>"P"</formula>
    </cfRule>
    <cfRule type="cellIs" dxfId="4076" priority="36" operator="equal">
      <formula>"J"</formula>
    </cfRule>
  </conditionalFormatting>
  <conditionalFormatting sqref="D33">
    <cfRule type="cellIs" dxfId="4075" priority="29" operator="equal">
      <formula>"NI"</formula>
    </cfRule>
    <cfRule type="cellIs" dxfId="4074" priority="30" operator="equal">
      <formula>"N"</formula>
    </cfRule>
    <cfRule type="cellIs" dxfId="4073" priority="31" operator="equal">
      <formula>"P"</formula>
    </cfRule>
    <cfRule type="cellIs" dxfId="4072" priority="32" operator="equal">
      <formula>"J"</formula>
    </cfRule>
  </conditionalFormatting>
  <conditionalFormatting sqref="E33">
    <cfRule type="cellIs" dxfId="4071" priority="25" operator="equal">
      <formula>"NI"</formula>
    </cfRule>
    <cfRule type="cellIs" dxfId="4070" priority="26" operator="equal">
      <formula>"N"</formula>
    </cfRule>
    <cfRule type="cellIs" dxfId="4069" priority="27" operator="equal">
      <formula>"P"</formula>
    </cfRule>
    <cfRule type="cellIs" dxfId="4068" priority="28" operator="equal">
      <formula>"J"</formula>
    </cfRule>
  </conditionalFormatting>
  <conditionalFormatting sqref="F33">
    <cfRule type="cellIs" dxfId="4067" priority="21" operator="equal">
      <formula>"NI"</formula>
    </cfRule>
    <cfRule type="cellIs" dxfId="4066" priority="22" operator="equal">
      <formula>"N"</formula>
    </cfRule>
    <cfRule type="cellIs" dxfId="4065" priority="23" operator="equal">
      <formula>"P"</formula>
    </cfRule>
    <cfRule type="cellIs" dxfId="4064" priority="24" operator="equal">
      <formula>"J"</formula>
    </cfRule>
  </conditionalFormatting>
  <conditionalFormatting sqref="L17">
    <cfRule type="cellIs" dxfId="4063" priority="17" operator="equal">
      <formula>"NI"</formula>
    </cfRule>
    <cfRule type="cellIs" dxfId="4062" priority="18" operator="equal">
      <formula>"N"</formula>
    </cfRule>
    <cfRule type="cellIs" dxfId="4061" priority="19" operator="equal">
      <formula>"P"</formula>
    </cfRule>
    <cfRule type="cellIs" dxfId="4060" priority="20" operator="equal">
      <formula>"J"</formula>
    </cfRule>
  </conditionalFormatting>
  <conditionalFormatting sqref="L31">
    <cfRule type="cellIs" dxfId="4059" priority="13" operator="equal">
      <formula>"NI"</formula>
    </cfRule>
    <cfRule type="cellIs" dxfId="4058" priority="14" operator="equal">
      <formula>"N"</formula>
    </cfRule>
    <cfRule type="cellIs" dxfId="4057" priority="15" operator="equal">
      <formula>"P"</formula>
    </cfRule>
    <cfRule type="cellIs" dxfId="4056" priority="16" operator="equal">
      <formula>"J"</formula>
    </cfRule>
  </conditionalFormatting>
  <conditionalFormatting sqref="L33">
    <cfRule type="cellIs" dxfId="4055" priority="9" operator="equal">
      <formula>"NI"</formula>
    </cfRule>
    <cfRule type="cellIs" dxfId="4054" priority="10" operator="equal">
      <formula>"N"</formula>
    </cfRule>
    <cfRule type="cellIs" dxfId="4053" priority="11" operator="equal">
      <formula>"P"</formula>
    </cfRule>
    <cfRule type="cellIs" dxfId="4052" priority="12" operator="equal">
      <formula>"J"</formula>
    </cfRule>
  </conditionalFormatting>
  <conditionalFormatting sqref="G9:G11 G13:G18 G20:G25 G27:G29 G31:G33">
    <cfRule type="cellIs" dxfId="4051" priority="5" operator="equal">
      <formula>"NI"</formula>
    </cfRule>
    <cfRule type="cellIs" dxfId="4050" priority="6" operator="equal">
      <formula>"N"</formula>
    </cfRule>
    <cfRule type="cellIs" dxfId="4049" priority="7" operator="equal">
      <formula>"P"</formula>
    </cfRule>
    <cfRule type="cellIs" dxfId="4048" priority="8" operator="equal">
      <formula>"J"</formula>
    </cfRule>
  </conditionalFormatting>
  <conditionalFormatting sqref="H9:H11 H13:H18 H20:H25 H27:H29 H31:H33">
    <cfRule type="cellIs" dxfId="4047" priority="1" operator="equal">
      <formula>"NI"</formula>
    </cfRule>
    <cfRule type="cellIs" dxfId="4046" priority="2" operator="equal">
      <formula>"N"</formula>
    </cfRule>
    <cfRule type="cellIs" dxfId="4045" priority="3" operator="equal">
      <formula>"P"</formula>
    </cfRule>
    <cfRule type="cellIs" dxfId="404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287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288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0.44097222222222221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0.62777777777777777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0.44166666666666671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0.48749999999999999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0.63194444444444442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0.375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0.71666666666666667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0.61250000000000004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289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4043" priority="85" operator="equal">
      <formula>"NI"</formula>
    </cfRule>
    <cfRule type="cellIs" dxfId="4042" priority="86" operator="equal">
      <formula>"N"</formula>
    </cfRule>
    <cfRule type="cellIs" dxfId="4041" priority="87" operator="equal">
      <formula>"P"</formula>
    </cfRule>
    <cfRule type="cellIs" dxfId="4040" priority="88" operator="equal">
      <formula>"J"</formula>
    </cfRule>
  </conditionalFormatting>
  <conditionalFormatting sqref="M32:M33">
    <cfRule type="cellIs" dxfId="4039" priority="89" operator="equal">
      <formula>"NI"</formula>
    </cfRule>
    <cfRule type="cellIs" dxfId="4038" priority="90" operator="equal">
      <formula>"N"</formula>
    </cfRule>
    <cfRule type="cellIs" dxfId="4037" priority="91" operator="equal">
      <formula>"P"</formula>
    </cfRule>
    <cfRule type="cellIs" dxfId="4036" priority="92" operator="equal">
      <formula>"J"</formula>
    </cfRule>
  </conditionalFormatting>
  <conditionalFormatting sqref="M9:M10">
    <cfRule type="cellIs" dxfId="4035" priority="93" operator="equal">
      <formula>"NI"</formula>
    </cfRule>
    <cfRule type="cellIs" dxfId="4034" priority="94" operator="equal">
      <formula>"N"</formula>
    </cfRule>
    <cfRule type="cellIs" dxfId="4033" priority="95" operator="equal">
      <formula>"P"</formula>
    </cfRule>
    <cfRule type="cellIs" dxfId="4032" priority="96" operator="equal">
      <formula>"J"</formula>
    </cfRule>
  </conditionalFormatting>
  <conditionalFormatting sqref="M11">
    <cfRule type="cellIs" dxfId="4031" priority="97" operator="equal">
      <formula>"NI"</formula>
    </cfRule>
    <cfRule type="cellIs" dxfId="4030" priority="98" operator="equal">
      <formula>"N"</formula>
    </cfRule>
    <cfRule type="cellIs" dxfId="4029" priority="99" operator="equal">
      <formula>"P"</formula>
    </cfRule>
    <cfRule type="cellIs" dxfId="4028" priority="100" operator="equal">
      <formula>"J"</formula>
    </cfRule>
  </conditionalFormatting>
  <conditionalFormatting sqref="M13:N18">
    <cfRule type="cellIs" dxfId="4027" priority="101" operator="equal">
      <formula>"NI"</formula>
    </cfRule>
    <cfRule type="cellIs" dxfId="4026" priority="102" operator="equal">
      <formula>"N"</formula>
    </cfRule>
    <cfRule type="cellIs" dxfId="4025" priority="103" operator="equal">
      <formula>"P"</formula>
    </cfRule>
    <cfRule type="cellIs" dxfId="4024" priority="104" operator="equal">
      <formula>"J"</formula>
    </cfRule>
  </conditionalFormatting>
  <conditionalFormatting sqref="M20:N25">
    <cfRule type="cellIs" dxfId="4023" priority="105" operator="equal">
      <formula>"NI"</formula>
    </cfRule>
    <cfRule type="cellIs" dxfId="4022" priority="106" operator="equal">
      <formula>"N"</formula>
    </cfRule>
    <cfRule type="cellIs" dxfId="4021" priority="107" operator="equal">
      <formula>"P"</formula>
    </cfRule>
    <cfRule type="cellIs" dxfId="4020" priority="108" operator="equal">
      <formula>"J"</formula>
    </cfRule>
  </conditionalFormatting>
  <conditionalFormatting sqref="N32:N33">
    <cfRule type="cellIs" dxfId="4019" priority="109" operator="equal">
      <formula>"NI"</formula>
    </cfRule>
    <cfRule type="cellIs" dxfId="4018" priority="110" operator="equal">
      <formula>"N"</formula>
    </cfRule>
    <cfRule type="cellIs" dxfId="4017" priority="111" operator="equal">
      <formula>"P"</formula>
    </cfRule>
    <cfRule type="cellIs" dxfId="4016" priority="112" operator="equal">
      <formula>"J"</formula>
    </cfRule>
  </conditionalFormatting>
  <conditionalFormatting sqref="N9:N11">
    <cfRule type="cellIs" dxfId="4015" priority="113" operator="equal">
      <formula>"NI"</formula>
    </cfRule>
    <cfRule type="cellIs" dxfId="4014" priority="114" operator="equal">
      <formula>"N"</formula>
    </cfRule>
    <cfRule type="cellIs" dxfId="4013" priority="115" operator="equal">
      <formula>"P"</formula>
    </cfRule>
    <cfRule type="cellIs" dxfId="4012" priority="116" operator="equal">
      <formula>"J"</formula>
    </cfRule>
  </conditionalFormatting>
  <conditionalFormatting sqref="O9:O11 O13:O18 O20:O25 O27:O29 O31:O33">
    <cfRule type="cellIs" dxfId="4011" priority="117" operator="equal">
      <formula>"NI"</formula>
    </cfRule>
    <cfRule type="cellIs" dxfId="4010" priority="118" operator="equal">
      <formula>"N"</formula>
    </cfRule>
    <cfRule type="cellIs" dxfId="4009" priority="119" operator="equal">
      <formula>"P"</formula>
    </cfRule>
    <cfRule type="cellIs" dxfId="4008" priority="120" operator="equal">
      <formula>"J"</formula>
    </cfRule>
  </conditionalFormatting>
  <conditionalFormatting sqref="J9:J11 J13:J18 J20:J25 J27:J29 J31:J33">
    <cfRule type="cellIs" dxfId="4007" priority="77" operator="equal">
      <formula>"NI"</formula>
    </cfRule>
    <cfRule type="cellIs" dxfId="4006" priority="78" operator="equal">
      <formula>"N"</formula>
    </cfRule>
    <cfRule type="cellIs" dxfId="4005" priority="79" operator="equal">
      <formula>"P"</formula>
    </cfRule>
    <cfRule type="cellIs" dxfId="4004" priority="80" operator="equal">
      <formula>"J"</formula>
    </cfRule>
  </conditionalFormatting>
  <conditionalFormatting sqref="K9:K11 K13:K18 K20:K25 K27:K29 K31:K33">
    <cfRule type="cellIs" dxfId="4003" priority="73" operator="equal">
      <formula>"NI"</formula>
    </cfRule>
    <cfRule type="cellIs" dxfId="4002" priority="74" operator="equal">
      <formula>"N"</formula>
    </cfRule>
    <cfRule type="cellIs" dxfId="4001" priority="75" operator="equal">
      <formula>"P"</formula>
    </cfRule>
    <cfRule type="cellIs" dxfId="4000" priority="76" operator="equal">
      <formula>"J"</formula>
    </cfRule>
  </conditionalFormatting>
  <conditionalFormatting sqref="L9:L11 L13:L16 L18 L20:L25 L27:L29 L32">
    <cfRule type="cellIs" dxfId="3999" priority="69" operator="equal">
      <formula>"NI"</formula>
    </cfRule>
    <cfRule type="cellIs" dxfId="3998" priority="70" operator="equal">
      <formula>"N"</formula>
    </cfRule>
    <cfRule type="cellIs" dxfId="3997" priority="71" operator="equal">
      <formula>"P"</formula>
    </cfRule>
    <cfRule type="cellIs" dxfId="3996" priority="72" operator="equal">
      <formula>"J"</formula>
    </cfRule>
  </conditionalFormatting>
  <conditionalFormatting sqref="D9:D11 D13:D18 D20:D25 D27:D29">
    <cfRule type="cellIs" dxfId="3995" priority="65" operator="equal">
      <formula>"NI"</formula>
    </cfRule>
    <cfRule type="cellIs" dxfId="3994" priority="66" operator="equal">
      <formula>"N"</formula>
    </cfRule>
    <cfRule type="cellIs" dxfId="3993" priority="67" operator="equal">
      <formula>"P"</formula>
    </cfRule>
    <cfRule type="cellIs" dxfId="3992" priority="68" operator="equal">
      <formula>"J"</formula>
    </cfRule>
  </conditionalFormatting>
  <conditionalFormatting sqref="E9:E11 E13:E18 E20:E25 E27:E29">
    <cfRule type="cellIs" dxfId="3991" priority="61" operator="equal">
      <formula>"NI"</formula>
    </cfRule>
    <cfRule type="cellIs" dxfId="3990" priority="62" operator="equal">
      <formula>"N"</formula>
    </cfRule>
    <cfRule type="cellIs" dxfId="3989" priority="63" operator="equal">
      <formula>"P"</formula>
    </cfRule>
    <cfRule type="cellIs" dxfId="3988" priority="64" operator="equal">
      <formula>"J"</formula>
    </cfRule>
  </conditionalFormatting>
  <conditionalFormatting sqref="F9:F11 F13:F18 F20:F25 F27:F29">
    <cfRule type="cellIs" dxfId="3987" priority="57" operator="equal">
      <formula>"NI"</formula>
    </cfRule>
    <cfRule type="cellIs" dxfId="3986" priority="58" operator="equal">
      <formula>"N"</formula>
    </cfRule>
    <cfRule type="cellIs" dxfId="3985" priority="59" operator="equal">
      <formula>"P"</formula>
    </cfRule>
    <cfRule type="cellIs" dxfId="3984" priority="60" operator="equal">
      <formula>"J"</formula>
    </cfRule>
  </conditionalFormatting>
  <conditionalFormatting sqref="I9:I11 I13:I18 I20:I25 I27:I29 I31:I32">
    <cfRule type="cellIs" dxfId="3983" priority="53" operator="equal">
      <formula>"NI"</formula>
    </cfRule>
    <cfRule type="cellIs" dxfId="3982" priority="54" operator="equal">
      <formula>"N"</formula>
    </cfRule>
    <cfRule type="cellIs" dxfId="3981" priority="55" operator="equal">
      <formula>"P"</formula>
    </cfRule>
    <cfRule type="cellIs" dxfId="3980" priority="56" operator="equal">
      <formula>"J"</formula>
    </cfRule>
  </conditionalFormatting>
  <conditionalFormatting sqref="I33">
    <cfRule type="cellIs" dxfId="3979" priority="49" operator="equal">
      <formula>"NI"</formula>
    </cfRule>
    <cfRule type="cellIs" dxfId="3978" priority="50" operator="equal">
      <formula>"N"</formula>
    </cfRule>
    <cfRule type="cellIs" dxfId="3977" priority="51" operator="equal">
      <formula>"P"</formula>
    </cfRule>
    <cfRule type="cellIs" dxfId="3976" priority="52" operator="equal">
      <formula>"J"</formula>
    </cfRule>
  </conditionalFormatting>
  <conditionalFormatting sqref="D31:D32">
    <cfRule type="cellIs" dxfId="3975" priority="45" operator="equal">
      <formula>"NI"</formula>
    </cfRule>
    <cfRule type="cellIs" dxfId="3974" priority="46" operator="equal">
      <formula>"N"</formula>
    </cfRule>
    <cfRule type="cellIs" dxfId="3973" priority="47" operator="equal">
      <formula>"P"</formula>
    </cfRule>
    <cfRule type="cellIs" dxfId="3972" priority="48" operator="equal">
      <formula>"J"</formula>
    </cfRule>
  </conditionalFormatting>
  <conditionalFormatting sqref="E32">
    <cfRule type="cellIs" dxfId="3971" priority="41" operator="equal">
      <formula>"NI"</formula>
    </cfRule>
    <cfRule type="cellIs" dxfId="3970" priority="42" operator="equal">
      <formula>"N"</formula>
    </cfRule>
    <cfRule type="cellIs" dxfId="3969" priority="43" operator="equal">
      <formula>"P"</formula>
    </cfRule>
    <cfRule type="cellIs" dxfId="3968" priority="44" operator="equal">
      <formula>"J"</formula>
    </cfRule>
  </conditionalFormatting>
  <conditionalFormatting sqref="F32">
    <cfRule type="cellIs" dxfId="3967" priority="37" operator="equal">
      <formula>"NI"</formula>
    </cfRule>
    <cfRule type="cellIs" dxfId="3966" priority="38" operator="equal">
      <formula>"N"</formula>
    </cfRule>
    <cfRule type="cellIs" dxfId="3965" priority="39" operator="equal">
      <formula>"P"</formula>
    </cfRule>
    <cfRule type="cellIs" dxfId="3964" priority="40" operator="equal">
      <formula>"J"</formula>
    </cfRule>
  </conditionalFormatting>
  <conditionalFormatting sqref="E31:F31">
    <cfRule type="cellIs" dxfId="3963" priority="33" operator="equal">
      <formula>"NI"</formula>
    </cfRule>
    <cfRule type="cellIs" dxfId="3962" priority="34" operator="equal">
      <formula>"N"</formula>
    </cfRule>
    <cfRule type="cellIs" dxfId="3961" priority="35" operator="equal">
      <formula>"P"</formula>
    </cfRule>
    <cfRule type="cellIs" dxfId="3960" priority="36" operator="equal">
      <formula>"J"</formula>
    </cfRule>
  </conditionalFormatting>
  <conditionalFormatting sqref="D33">
    <cfRule type="cellIs" dxfId="3959" priority="29" operator="equal">
      <formula>"NI"</formula>
    </cfRule>
    <cfRule type="cellIs" dxfId="3958" priority="30" operator="equal">
      <formula>"N"</formula>
    </cfRule>
    <cfRule type="cellIs" dxfId="3957" priority="31" operator="equal">
      <formula>"P"</formula>
    </cfRule>
    <cfRule type="cellIs" dxfId="3956" priority="32" operator="equal">
      <formula>"J"</formula>
    </cfRule>
  </conditionalFormatting>
  <conditionalFormatting sqref="E33">
    <cfRule type="cellIs" dxfId="3955" priority="25" operator="equal">
      <formula>"NI"</formula>
    </cfRule>
    <cfRule type="cellIs" dxfId="3954" priority="26" operator="equal">
      <formula>"N"</formula>
    </cfRule>
    <cfRule type="cellIs" dxfId="3953" priority="27" operator="equal">
      <formula>"P"</formula>
    </cfRule>
    <cfRule type="cellIs" dxfId="3952" priority="28" operator="equal">
      <formula>"J"</formula>
    </cfRule>
  </conditionalFormatting>
  <conditionalFormatting sqref="F33">
    <cfRule type="cellIs" dxfId="3951" priority="21" operator="equal">
      <formula>"NI"</formula>
    </cfRule>
    <cfRule type="cellIs" dxfId="3950" priority="22" operator="equal">
      <formula>"N"</formula>
    </cfRule>
    <cfRule type="cellIs" dxfId="3949" priority="23" operator="equal">
      <formula>"P"</formula>
    </cfRule>
    <cfRule type="cellIs" dxfId="3948" priority="24" operator="equal">
      <formula>"J"</formula>
    </cfRule>
  </conditionalFormatting>
  <conditionalFormatting sqref="L17">
    <cfRule type="cellIs" dxfId="3947" priority="17" operator="equal">
      <formula>"NI"</formula>
    </cfRule>
    <cfRule type="cellIs" dxfId="3946" priority="18" operator="equal">
      <formula>"N"</formula>
    </cfRule>
    <cfRule type="cellIs" dxfId="3945" priority="19" operator="equal">
      <formula>"P"</formula>
    </cfRule>
    <cfRule type="cellIs" dxfId="3944" priority="20" operator="equal">
      <formula>"J"</formula>
    </cfRule>
  </conditionalFormatting>
  <conditionalFormatting sqref="L31">
    <cfRule type="cellIs" dxfId="3943" priority="13" operator="equal">
      <formula>"NI"</formula>
    </cfRule>
    <cfRule type="cellIs" dxfId="3942" priority="14" operator="equal">
      <formula>"N"</formula>
    </cfRule>
    <cfRule type="cellIs" dxfId="3941" priority="15" operator="equal">
      <formula>"P"</formula>
    </cfRule>
    <cfRule type="cellIs" dxfId="3940" priority="16" operator="equal">
      <formula>"J"</formula>
    </cfRule>
  </conditionalFormatting>
  <conditionalFormatting sqref="L33">
    <cfRule type="cellIs" dxfId="3939" priority="9" operator="equal">
      <formula>"NI"</formula>
    </cfRule>
    <cfRule type="cellIs" dxfId="3938" priority="10" operator="equal">
      <formula>"N"</formula>
    </cfRule>
    <cfRule type="cellIs" dxfId="3937" priority="11" operator="equal">
      <formula>"P"</formula>
    </cfRule>
    <cfRule type="cellIs" dxfId="3936" priority="12" operator="equal">
      <formula>"J"</formula>
    </cfRule>
  </conditionalFormatting>
  <conditionalFormatting sqref="G9:G11 G13:G18 G20:G25 G27:G29 G31:G33">
    <cfRule type="cellIs" dxfId="3935" priority="5" operator="equal">
      <formula>"NI"</formula>
    </cfRule>
    <cfRule type="cellIs" dxfId="3934" priority="6" operator="equal">
      <formula>"N"</formula>
    </cfRule>
    <cfRule type="cellIs" dxfId="3933" priority="7" operator="equal">
      <formula>"P"</formula>
    </cfRule>
    <cfRule type="cellIs" dxfId="3932" priority="8" operator="equal">
      <formula>"J"</formula>
    </cfRule>
  </conditionalFormatting>
  <conditionalFormatting sqref="H9:H11 H13:H18 H20:H25 H27:H29 H31:H33">
    <cfRule type="cellIs" dxfId="3931" priority="1" operator="equal">
      <formula>"NI"</formula>
    </cfRule>
    <cfRule type="cellIs" dxfId="3930" priority="2" operator="equal">
      <formula>"N"</formula>
    </cfRule>
    <cfRule type="cellIs" dxfId="3929" priority="3" operator="equal">
      <formula>"P"</formula>
    </cfRule>
    <cfRule type="cellIs" dxfId="392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C23" sqref="C23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287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290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0.44166666666666671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0.63055555555555554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0.44166666666666671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0.48819444444444438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0.63263888888888886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0.37708333333333333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0.71666666666666667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0.61319444444444449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289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927" priority="77" operator="equal">
      <formula>"NI"</formula>
    </cfRule>
    <cfRule type="cellIs" dxfId="3926" priority="78" operator="equal">
      <formula>"N"</formula>
    </cfRule>
    <cfRule type="cellIs" dxfId="3925" priority="79" operator="equal">
      <formula>"P"</formula>
    </cfRule>
    <cfRule type="cellIs" dxfId="3924" priority="80" operator="equal">
      <formula>"J"</formula>
    </cfRule>
  </conditionalFormatting>
  <conditionalFormatting sqref="M32:M33">
    <cfRule type="cellIs" dxfId="3923" priority="81" operator="equal">
      <formula>"NI"</formula>
    </cfRule>
    <cfRule type="cellIs" dxfId="3922" priority="82" operator="equal">
      <formula>"N"</formula>
    </cfRule>
    <cfRule type="cellIs" dxfId="3921" priority="83" operator="equal">
      <formula>"P"</formula>
    </cfRule>
    <cfRule type="cellIs" dxfId="3920" priority="84" operator="equal">
      <formula>"J"</formula>
    </cfRule>
  </conditionalFormatting>
  <conditionalFormatting sqref="M9:M10">
    <cfRule type="cellIs" dxfId="3919" priority="85" operator="equal">
      <formula>"NI"</formula>
    </cfRule>
    <cfRule type="cellIs" dxfId="3918" priority="86" operator="equal">
      <formula>"N"</formula>
    </cfRule>
    <cfRule type="cellIs" dxfId="3917" priority="87" operator="equal">
      <formula>"P"</formula>
    </cfRule>
    <cfRule type="cellIs" dxfId="3916" priority="88" operator="equal">
      <formula>"J"</formula>
    </cfRule>
  </conditionalFormatting>
  <conditionalFormatting sqref="M11">
    <cfRule type="cellIs" dxfId="3915" priority="89" operator="equal">
      <formula>"NI"</formula>
    </cfRule>
    <cfRule type="cellIs" dxfId="3914" priority="90" operator="equal">
      <formula>"N"</formula>
    </cfRule>
    <cfRule type="cellIs" dxfId="3913" priority="91" operator="equal">
      <formula>"P"</formula>
    </cfRule>
    <cfRule type="cellIs" dxfId="3912" priority="92" operator="equal">
      <formula>"J"</formula>
    </cfRule>
  </conditionalFormatting>
  <conditionalFormatting sqref="M13:N18">
    <cfRule type="cellIs" dxfId="3911" priority="93" operator="equal">
      <formula>"NI"</formula>
    </cfRule>
    <cfRule type="cellIs" dxfId="3910" priority="94" operator="equal">
      <formula>"N"</formula>
    </cfRule>
    <cfRule type="cellIs" dxfId="3909" priority="95" operator="equal">
      <formula>"P"</formula>
    </cfRule>
    <cfRule type="cellIs" dxfId="3908" priority="96" operator="equal">
      <formula>"J"</formula>
    </cfRule>
  </conditionalFormatting>
  <conditionalFormatting sqref="M20:N25">
    <cfRule type="cellIs" dxfId="3907" priority="97" operator="equal">
      <formula>"NI"</formula>
    </cfRule>
    <cfRule type="cellIs" dxfId="3906" priority="98" operator="equal">
      <formula>"N"</formula>
    </cfRule>
    <cfRule type="cellIs" dxfId="3905" priority="99" operator="equal">
      <formula>"P"</formula>
    </cfRule>
    <cfRule type="cellIs" dxfId="3904" priority="100" operator="equal">
      <formula>"J"</formula>
    </cfRule>
  </conditionalFormatting>
  <conditionalFormatting sqref="N32:N33">
    <cfRule type="cellIs" dxfId="3903" priority="101" operator="equal">
      <formula>"NI"</formula>
    </cfRule>
    <cfRule type="cellIs" dxfId="3902" priority="102" operator="equal">
      <formula>"N"</formula>
    </cfRule>
    <cfRule type="cellIs" dxfId="3901" priority="103" operator="equal">
      <formula>"P"</formula>
    </cfRule>
    <cfRule type="cellIs" dxfId="3900" priority="104" operator="equal">
      <formula>"J"</formula>
    </cfRule>
  </conditionalFormatting>
  <conditionalFormatting sqref="N9:N11">
    <cfRule type="cellIs" dxfId="3899" priority="105" operator="equal">
      <formula>"NI"</formula>
    </cfRule>
    <cfRule type="cellIs" dxfId="3898" priority="106" operator="equal">
      <formula>"N"</formula>
    </cfRule>
    <cfRule type="cellIs" dxfId="3897" priority="107" operator="equal">
      <formula>"P"</formula>
    </cfRule>
    <cfRule type="cellIs" dxfId="3896" priority="108" operator="equal">
      <formula>"J"</formula>
    </cfRule>
  </conditionalFormatting>
  <conditionalFormatting sqref="O9:O11 O13:O18 O20:O25 O27:O29 O31:O33">
    <cfRule type="cellIs" dxfId="3895" priority="109" operator="equal">
      <formula>"NI"</formula>
    </cfRule>
    <cfRule type="cellIs" dxfId="3894" priority="110" operator="equal">
      <formula>"N"</formula>
    </cfRule>
    <cfRule type="cellIs" dxfId="3893" priority="111" operator="equal">
      <formula>"P"</formula>
    </cfRule>
    <cfRule type="cellIs" dxfId="3892" priority="112" operator="equal">
      <formula>"J"</formula>
    </cfRule>
  </conditionalFormatting>
  <conditionalFormatting sqref="J9:J11 J13:J18 J20:J25 J27:J29 J31:J33">
    <cfRule type="cellIs" dxfId="3891" priority="69" operator="equal">
      <formula>"NI"</formula>
    </cfRule>
    <cfRule type="cellIs" dxfId="3890" priority="70" operator="equal">
      <formula>"N"</formula>
    </cfRule>
    <cfRule type="cellIs" dxfId="3889" priority="71" operator="equal">
      <formula>"P"</formula>
    </cfRule>
    <cfRule type="cellIs" dxfId="3888" priority="72" operator="equal">
      <formula>"J"</formula>
    </cfRule>
  </conditionalFormatting>
  <conditionalFormatting sqref="K9:K11 K13:K18 K20:K25 K27:K29 K31:K33">
    <cfRule type="cellIs" dxfId="3887" priority="65" operator="equal">
      <formula>"NI"</formula>
    </cfRule>
    <cfRule type="cellIs" dxfId="3886" priority="66" operator="equal">
      <formula>"N"</formula>
    </cfRule>
    <cfRule type="cellIs" dxfId="3885" priority="67" operator="equal">
      <formula>"P"</formula>
    </cfRule>
    <cfRule type="cellIs" dxfId="3884" priority="68" operator="equal">
      <formula>"J"</formula>
    </cfRule>
  </conditionalFormatting>
  <conditionalFormatting sqref="L9:L11 L13:L16 L18 L20:L25 L27:L29">
    <cfRule type="cellIs" dxfId="3883" priority="61" operator="equal">
      <formula>"NI"</formula>
    </cfRule>
    <cfRule type="cellIs" dxfId="3882" priority="62" operator="equal">
      <formula>"N"</formula>
    </cfRule>
    <cfRule type="cellIs" dxfId="3881" priority="63" operator="equal">
      <formula>"P"</formula>
    </cfRule>
    <cfRule type="cellIs" dxfId="3880" priority="64" operator="equal">
      <formula>"J"</formula>
    </cfRule>
  </conditionalFormatting>
  <conditionalFormatting sqref="D9:D11 D13:D18 D20:D25 D27:D29 D31:D32">
    <cfRule type="cellIs" dxfId="3879" priority="57" operator="equal">
      <formula>"NI"</formula>
    </cfRule>
    <cfRule type="cellIs" dxfId="3878" priority="58" operator="equal">
      <formula>"N"</formula>
    </cfRule>
    <cfRule type="cellIs" dxfId="3877" priority="59" operator="equal">
      <formula>"P"</formula>
    </cfRule>
    <cfRule type="cellIs" dxfId="3876" priority="60" operator="equal">
      <formula>"J"</formula>
    </cfRule>
  </conditionalFormatting>
  <conditionalFormatting sqref="E9:E11 E13:E18 E20:E25 E27:E29 E32">
    <cfRule type="cellIs" dxfId="3875" priority="53" operator="equal">
      <formula>"NI"</formula>
    </cfRule>
    <cfRule type="cellIs" dxfId="3874" priority="54" operator="equal">
      <formula>"N"</formula>
    </cfRule>
    <cfRule type="cellIs" dxfId="3873" priority="55" operator="equal">
      <formula>"P"</formula>
    </cfRule>
    <cfRule type="cellIs" dxfId="3872" priority="56" operator="equal">
      <formula>"J"</formula>
    </cfRule>
  </conditionalFormatting>
  <conditionalFormatting sqref="F9:F11 F13:F18 F20:F25 F27:F29 F32">
    <cfRule type="cellIs" dxfId="3871" priority="49" operator="equal">
      <formula>"NI"</formula>
    </cfRule>
    <cfRule type="cellIs" dxfId="3870" priority="50" operator="equal">
      <formula>"N"</formula>
    </cfRule>
    <cfRule type="cellIs" dxfId="3869" priority="51" operator="equal">
      <formula>"P"</formula>
    </cfRule>
    <cfRule type="cellIs" dxfId="3868" priority="52" operator="equal">
      <formula>"J"</formula>
    </cfRule>
  </conditionalFormatting>
  <conditionalFormatting sqref="I9:I11 I13:I18 I20:I25 I27:I29 I31:I32">
    <cfRule type="cellIs" dxfId="3867" priority="45" operator="equal">
      <formula>"NI"</formula>
    </cfRule>
    <cfRule type="cellIs" dxfId="3866" priority="46" operator="equal">
      <formula>"N"</formula>
    </cfRule>
    <cfRule type="cellIs" dxfId="3865" priority="47" operator="equal">
      <formula>"P"</formula>
    </cfRule>
    <cfRule type="cellIs" dxfId="3864" priority="48" operator="equal">
      <formula>"J"</formula>
    </cfRule>
  </conditionalFormatting>
  <conditionalFormatting sqref="I33">
    <cfRule type="cellIs" dxfId="3863" priority="41" operator="equal">
      <formula>"NI"</formula>
    </cfRule>
    <cfRule type="cellIs" dxfId="3862" priority="42" operator="equal">
      <formula>"N"</formula>
    </cfRule>
    <cfRule type="cellIs" dxfId="3861" priority="43" operator="equal">
      <formula>"P"</formula>
    </cfRule>
    <cfRule type="cellIs" dxfId="3860" priority="44" operator="equal">
      <formula>"J"</formula>
    </cfRule>
  </conditionalFormatting>
  <conditionalFormatting sqref="E31:F31">
    <cfRule type="cellIs" dxfId="3859" priority="37" operator="equal">
      <formula>"NI"</formula>
    </cfRule>
    <cfRule type="cellIs" dxfId="3858" priority="38" operator="equal">
      <formula>"N"</formula>
    </cfRule>
    <cfRule type="cellIs" dxfId="3857" priority="39" operator="equal">
      <formula>"P"</formula>
    </cfRule>
    <cfRule type="cellIs" dxfId="3856" priority="40" operator="equal">
      <formula>"J"</formula>
    </cfRule>
  </conditionalFormatting>
  <conditionalFormatting sqref="D33">
    <cfRule type="cellIs" dxfId="3855" priority="33" operator="equal">
      <formula>"NI"</formula>
    </cfRule>
    <cfRule type="cellIs" dxfId="3854" priority="34" operator="equal">
      <formula>"N"</formula>
    </cfRule>
    <cfRule type="cellIs" dxfId="3853" priority="35" operator="equal">
      <formula>"P"</formula>
    </cfRule>
    <cfRule type="cellIs" dxfId="3852" priority="36" operator="equal">
      <formula>"J"</formula>
    </cfRule>
  </conditionalFormatting>
  <conditionalFormatting sqref="E33">
    <cfRule type="cellIs" dxfId="3851" priority="29" operator="equal">
      <formula>"NI"</formula>
    </cfRule>
    <cfRule type="cellIs" dxfId="3850" priority="30" operator="equal">
      <formula>"N"</formula>
    </cfRule>
    <cfRule type="cellIs" dxfId="3849" priority="31" operator="equal">
      <formula>"P"</formula>
    </cfRule>
    <cfRule type="cellIs" dxfId="3848" priority="32" operator="equal">
      <formula>"J"</formula>
    </cfRule>
  </conditionalFormatting>
  <conditionalFormatting sqref="F33">
    <cfRule type="cellIs" dxfId="3847" priority="25" operator="equal">
      <formula>"NI"</formula>
    </cfRule>
    <cfRule type="cellIs" dxfId="3846" priority="26" operator="equal">
      <formula>"N"</formula>
    </cfRule>
    <cfRule type="cellIs" dxfId="3845" priority="27" operator="equal">
      <formula>"P"</formula>
    </cfRule>
    <cfRule type="cellIs" dxfId="3844" priority="28" operator="equal">
      <formula>"J"</formula>
    </cfRule>
  </conditionalFormatting>
  <conditionalFormatting sqref="L17">
    <cfRule type="cellIs" dxfId="3843" priority="21" operator="equal">
      <formula>"NI"</formula>
    </cfRule>
    <cfRule type="cellIs" dxfId="3842" priority="22" operator="equal">
      <formula>"N"</formula>
    </cfRule>
    <cfRule type="cellIs" dxfId="3841" priority="23" operator="equal">
      <formula>"P"</formula>
    </cfRule>
    <cfRule type="cellIs" dxfId="3840" priority="24" operator="equal">
      <formula>"J"</formula>
    </cfRule>
  </conditionalFormatting>
  <conditionalFormatting sqref="L32">
    <cfRule type="cellIs" dxfId="3839" priority="17" operator="equal">
      <formula>"NI"</formula>
    </cfRule>
    <cfRule type="cellIs" dxfId="3838" priority="18" operator="equal">
      <formula>"N"</formula>
    </cfRule>
    <cfRule type="cellIs" dxfId="3837" priority="19" operator="equal">
      <formula>"P"</formula>
    </cfRule>
    <cfRule type="cellIs" dxfId="3836" priority="20" operator="equal">
      <formula>"J"</formula>
    </cfRule>
  </conditionalFormatting>
  <conditionalFormatting sqref="L31">
    <cfRule type="cellIs" dxfId="3835" priority="13" operator="equal">
      <formula>"NI"</formula>
    </cfRule>
    <cfRule type="cellIs" dxfId="3834" priority="14" operator="equal">
      <formula>"N"</formula>
    </cfRule>
    <cfRule type="cellIs" dxfId="3833" priority="15" operator="equal">
      <formula>"P"</formula>
    </cfRule>
    <cfRule type="cellIs" dxfId="3832" priority="16" operator="equal">
      <formula>"J"</formula>
    </cfRule>
  </conditionalFormatting>
  <conditionalFormatting sqref="L33">
    <cfRule type="cellIs" dxfId="3831" priority="9" operator="equal">
      <formula>"NI"</formula>
    </cfRule>
    <cfRule type="cellIs" dxfId="3830" priority="10" operator="equal">
      <formula>"N"</formula>
    </cfRule>
    <cfRule type="cellIs" dxfId="3829" priority="11" operator="equal">
      <formula>"P"</formula>
    </cfRule>
    <cfRule type="cellIs" dxfId="3828" priority="12" operator="equal">
      <formula>"J"</formula>
    </cfRule>
  </conditionalFormatting>
  <conditionalFormatting sqref="G9:G11 G13:G18 G20:G25 G27:G29 G31:G33">
    <cfRule type="cellIs" dxfId="3827" priority="5" operator="equal">
      <formula>"NI"</formula>
    </cfRule>
    <cfRule type="cellIs" dxfId="3826" priority="6" operator="equal">
      <formula>"N"</formula>
    </cfRule>
    <cfRule type="cellIs" dxfId="3825" priority="7" operator="equal">
      <formula>"P"</formula>
    </cfRule>
    <cfRule type="cellIs" dxfId="3824" priority="8" operator="equal">
      <formula>"J"</formula>
    </cfRule>
  </conditionalFormatting>
  <conditionalFormatting sqref="H9:H11 H13:H18 H20:H25 H27:H29 H31:H33">
    <cfRule type="cellIs" dxfId="3823" priority="1" operator="equal">
      <formula>"NI"</formula>
    </cfRule>
    <cfRule type="cellIs" dxfId="3822" priority="2" operator="equal">
      <formula>"N"</formula>
    </cfRule>
    <cfRule type="cellIs" dxfId="3821" priority="3" operator="equal">
      <formula>"P"</formula>
    </cfRule>
    <cfRule type="cellIs" dxfId="382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3"/>
  <sheetViews>
    <sheetView workbookViewId="0">
      <selection activeCell="D19" sqref="D19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291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0.60555555555555551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0.65902777777777777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0.44722222222222219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0.49166666666666659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0.63541666666666663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0.39444444444444438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0.71875</v>
      </c>
      <c r="T17" s="247" t="s">
        <v>213</v>
      </c>
    </row>
    <row r="18" spans="1:21" x14ac:dyDescent="0.25">
      <c r="A18" s="441"/>
      <c r="B18" s="254" t="s">
        <v>220</v>
      </c>
      <c r="C18" s="255"/>
      <c r="D18" s="237"/>
      <c r="E18" s="237"/>
      <c r="F18" s="237"/>
      <c r="G18" s="256">
        <v>2</v>
      </c>
      <c r="H18" s="237">
        <v>2</v>
      </c>
      <c r="I18" s="237">
        <v>2</v>
      </c>
      <c r="J18" s="237">
        <v>2</v>
      </c>
      <c r="K18" s="237">
        <v>2</v>
      </c>
      <c r="L18" s="237">
        <v>2</v>
      </c>
      <c r="M18" s="256">
        <v>2</v>
      </c>
      <c r="N18" s="256">
        <v>2</v>
      </c>
      <c r="O18" s="256">
        <v>2</v>
      </c>
      <c r="Q18" s="258" t="s">
        <v>25</v>
      </c>
      <c r="R18" s="245">
        <v>45681</v>
      </c>
      <c r="S18" s="245">
        <v>0.62013888888888891</v>
      </c>
      <c r="T18" s="245" t="s">
        <v>213</v>
      </c>
    </row>
    <row r="19" spans="1:21" x14ac:dyDescent="0.25">
      <c r="A19" s="441"/>
      <c r="C19" s="259" t="s">
        <v>222</v>
      </c>
      <c r="D19" s="241"/>
      <c r="E19" s="241"/>
      <c r="F19" s="241"/>
      <c r="G19" s="241" t="s">
        <v>200</v>
      </c>
      <c r="H19" s="241" t="s">
        <v>200</v>
      </c>
      <c r="I19" s="241" t="s">
        <v>200</v>
      </c>
      <c r="J19" s="241" t="s">
        <v>200</v>
      </c>
      <c r="K19" s="241" t="s">
        <v>200</v>
      </c>
      <c r="L19" s="241" t="s">
        <v>200</v>
      </c>
      <c r="M19" s="241" t="s">
        <v>200</v>
      </c>
      <c r="N19" s="241" t="s">
        <v>200</v>
      </c>
      <c r="O19" s="241" t="s">
        <v>200</v>
      </c>
      <c r="Q19" s="258" t="s">
        <v>26</v>
      </c>
      <c r="R19" s="261">
        <v>45712</v>
      </c>
      <c r="S19" s="262">
        <v>0.61944444444444446</v>
      </c>
      <c r="T19" s="263" t="s">
        <v>213</v>
      </c>
    </row>
    <row r="20" spans="1:21" ht="15.75" customHeight="1" thickBot="1" x14ac:dyDescent="0.3">
      <c r="A20" s="441"/>
      <c r="C20" s="259" t="s">
        <v>267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51" t="s">
        <v>224</v>
      </c>
    </row>
    <row r="21" spans="1:21" ht="15.75" customHeight="1" x14ac:dyDescent="0.25">
      <c r="A21" s="441"/>
      <c r="C21" s="259" t="s">
        <v>226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465"/>
      <c r="R21" s="466"/>
      <c r="S21" s="466"/>
      <c r="T21" s="466"/>
      <c r="U21" s="467"/>
    </row>
    <row r="22" spans="1:21" ht="15.75" customHeight="1" x14ac:dyDescent="0.25">
      <c r="A22" s="441"/>
      <c r="C22" s="259" t="s">
        <v>259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37"/>
      <c r="R22" s="381"/>
      <c r="S22" s="381"/>
      <c r="T22" s="381"/>
      <c r="U22" s="403"/>
    </row>
    <row r="23" spans="1:21" ht="15.75" customHeight="1" x14ac:dyDescent="0.25">
      <c r="A23" s="441"/>
      <c r="C23" s="259" t="s">
        <v>227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9"/>
      <c r="R23" s="423"/>
      <c r="S23" s="423"/>
      <c r="T23" s="423"/>
      <c r="U23" s="424"/>
    </row>
    <row r="24" spans="1:21" ht="15.75" customHeight="1" x14ac:dyDescent="0.25">
      <c r="A24" s="441"/>
      <c r="B24" s="254" t="s">
        <v>229</v>
      </c>
      <c r="C24" s="255"/>
      <c r="D24" s="237"/>
      <c r="E24" s="237"/>
      <c r="F24" s="237"/>
      <c r="G24" s="256">
        <v>2</v>
      </c>
      <c r="H24" s="237">
        <v>2</v>
      </c>
      <c r="I24" s="237">
        <v>2</v>
      </c>
      <c r="J24" s="237">
        <v>2</v>
      </c>
      <c r="K24" s="237">
        <v>2</v>
      </c>
      <c r="L24" s="237">
        <v>2</v>
      </c>
      <c r="M24" s="256">
        <v>2</v>
      </c>
      <c r="N24" s="256">
        <v>2</v>
      </c>
      <c r="O24" s="256">
        <v>2</v>
      </c>
      <c r="Q24" s="437"/>
      <c r="R24" s="381"/>
      <c r="S24" s="381"/>
      <c r="T24" s="381"/>
      <c r="U24" s="403"/>
    </row>
    <row r="25" spans="1:21" ht="15.75" customHeight="1" x14ac:dyDescent="0.25">
      <c r="A25" s="441"/>
      <c r="C25" s="259" t="s">
        <v>262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C26" s="264" t="s">
        <v>231</v>
      </c>
      <c r="D26" s="241"/>
      <c r="E26" s="241"/>
      <c r="F26" s="241"/>
      <c r="G26" s="241" t="s">
        <v>196</v>
      </c>
      <c r="H26" s="241" t="s">
        <v>200</v>
      </c>
      <c r="I26" s="241" t="s">
        <v>200</v>
      </c>
      <c r="J26" s="241" t="s">
        <v>200</v>
      </c>
      <c r="K26" s="241" t="s">
        <v>200</v>
      </c>
      <c r="L26" s="241" t="s">
        <v>200</v>
      </c>
      <c r="M26" s="241" t="s">
        <v>200</v>
      </c>
      <c r="N26" s="241" t="s">
        <v>200</v>
      </c>
      <c r="O26" s="241" t="s">
        <v>200</v>
      </c>
      <c r="Q26" s="437"/>
      <c r="R26" s="381"/>
      <c r="S26" s="381"/>
      <c r="T26" s="381"/>
      <c r="U26" s="403"/>
    </row>
    <row r="27" spans="1:21" ht="15.75" customHeight="1" x14ac:dyDescent="0.25">
      <c r="A27" s="333"/>
      <c r="C27" s="264" t="s">
        <v>254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7" t="s">
        <v>233</v>
      </c>
      <c r="B28" s="341"/>
      <c r="C28" s="341"/>
      <c r="D28" s="248"/>
      <c r="E28" s="248"/>
      <c r="F28" s="248"/>
      <c r="G28" s="265"/>
      <c r="H28" s="248"/>
      <c r="I28" s="248"/>
      <c r="J28" s="248"/>
      <c r="K28" s="248"/>
      <c r="L28" s="248"/>
      <c r="M28" s="265"/>
      <c r="N28" s="265"/>
      <c r="O28" s="265"/>
      <c r="Q28" s="437"/>
      <c r="R28" s="381"/>
      <c r="S28" s="381"/>
      <c r="T28" s="381"/>
      <c r="U28" s="403"/>
    </row>
    <row r="29" spans="1:21" ht="15.75" customHeight="1" x14ac:dyDescent="0.25">
      <c r="A29" s="255"/>
      <c r="C29" s="259" t="s">
        <v>83</v>
      </c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Q29" s="437"/>
      <c r="R29" s="381"/>
      <c r="S29" s="381"/>
      <c r="T29" s="381"/>
      <c r="U29" s="403"/>
    </row>
    <row r="30" spans="1:21" ht="15.75" customHeight="1" x14ac:dyDescent="0.25">
      <c r="A30" s="255"/>
      <c r="C30" s="264" t="s">
        <v>234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Q30" s="437"/>
      <c r="R30" s="381"/>
      <c r="S30" s="381"/>
      <c r="T30" s="381"/>
      <c r="U30" s="403"/>
    </row>
    <row r="31" spans="1:21" ht="15.75" customHeight="1" x14ac:dyDescent="0.25">
      <c r="A31" s="255"/>
      <c r="C31" s="266" t="s">
        <v>85</v>
      </c>
      <c r="D31" s="267"/>
      <c r="E31" s="267"/>
      <c r="F31" s="267"/>
      <c r="G31" s="241"/>
      <c r="H31" s="241"/>
      <c r="I31" s="241"/>
      <c r="J31" s="241"/>
      <c r="K31" s="241"/>
      <c r="L31" s="267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thickBot="1" x14ac:dyDescent="0.3">
      <c r="A32" s="449" t="s">
        <v>235</v>
      </c>
      <c r="B32" s="341"/>
      <c r="C32" s="341"/>
      <c r="D32" s="249"/>
      <c r="E32" s="249"/>
      <c r="F32" s="249"/>
      <c r="G32" s="249" t="s">
        <v>240</v>
      </c>
      <c r="H32" s="249" t="s">
        <v>240</v>
      </c>
      <c r="I32" s="249" t="s">
        <v>240</v>
      </c>
      <c r="J32" s="249" t="s">
        <v>240</v>
      </c>
      <c r="K32" s="249" t="s">
        <v>240</v>
      </c>
      <c r="L32" s="249" t="s">
        <v>240</v>
      </c>
      <c r="M32" s="268" t="s">
        <v>240</v>
      </c>
      <c r="N32" s="268" t="s">
        <v>240</v>
      </c>
      <c r="O32" s="268" t="s">
        <v>240</v>
      </c>
      <c r="Q32" s="445"/>
      <c r="R32" s="400"/>
      <c r="S32" s="400"/>
      <c r="T32" s="400"/>
      <c r="U32" s="401"/>
    </row>
    <row r="33" spans="1:1" ht="15.75" customHeight="1" x14ac:dyDescent="0.25">
      <c r="A33" s="269" t="s">
        <v>241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23">
    <mergeCell ref="A7:C7"/>
    <mergeCell ref="A2:O2"/>
    <mergeCell ref="A8:A27"/>
    <mergeCell ref="A32:C32"/>
    <mergeCell ref="Q29:U29"/>
    <mergeCell ref="Q23:U23"/>
    <mergeCell ref="Q26:U26"/>
    <mergeCell ref="A28:C28"/>
    <mergeCell ref="Q31:U31"/>
    <mergeCell ref="A5:B5"/>
    <mergeCell ref="Q22:U22"/>
    <mergeCell ref="Q27:U27"/>
    <mergeCell ref="Q30:U30"/>
    <mergeCell ref="A4:B4"/>
    <mergeCell ref="Q32:U32"/>
    <mergeCell ref="A6:O6"/>
    <mergeCell ref="Q6:T6"/>
    <mergeCell ref="Q25:U25"/>
    <mergeCell ref="Q21:U21"/>
    <mergeCell ref="Q28:U28"/>
    <mergeCell ref="I4:O4"/>
    <mergeCell ref="Q24:U24"/>
    <mergeCell ref="K5:O5"/>
  </mergeCells>
  <conditionalFormatting sqref="M25:N27 M29:N29">
    <cfRule type="cellIs" dxfId="3819" priority="73" operator="equal">
      <formula>"NI"</formula>
    </cfRule>
    <cfRule type="cellIs" dxfId="3818" priority="74" operator="equal">
      <formula>"N"</formula>
    </cfRule>
    <cfRule type="cellIs" dxfId="3817" priority="75" operator="equal">
      <formula>"P"</formula>
    </cfRule>
    <cfRule type="cellIs" dxfId="3816" priority="76" operator="equal">
      <formula>"J"</formula>
    </cfRule>
  </conditionalFormatting>
  <conditionalFormatting sqref="M30:M31">
    <cfRule type="cellIs" dxfId="3815" priority="77" operator="equal">
      <formula>"NI"</formula>
    </cfRule>
    <cfRule type="cellIs" dxfId="3814" priority="78" operator="equal">
      <formula>"N"</formula>
    </cfRule>
    <cfRule type="cellIs" dxfId="3813" priority="79" operator="equal">
      <formula>"P"</formula>
    </cfRule>
    <cfRule type="cellIs" dxfId="3812" priority="80" operator="equal">
      <formula>"J"</formula>
    </cfRule>
  </conditionalFormatting>
  <conditionalFormatting sqref="M9:M10">
    <cfRule type="cellIs" dxfId="3811" priority="81" operator="equal">
      <formula>"NI"</formula>
    </cfRule>
    <cfRule type="cellIs" dxfId="3810" priority="82" operator="equal">
      <formula>"N"</formula>
    </cfRule>
    <cfRule type="cellIs" dxfId="3809" priority="83" operator="equal">
      <formula>"P"</formula>
    </cfRule>
    <cfRule type="cellIs" dxfId="3808" priority="84" operator="equal">
      <formula>"J"</formula>
    </cfRule>
  </conditionalFormatting>
  <conditionalFormatting sqref="M11">
    <cfRule type="cellIs" dxfId="3807" priority="85" operator="equal">
      <formula>"NI"</formula>
    </cfRule>
    <cfRule type="cellIs" dxfId="3806" priority="86" operator="equal">
      <formula>"N"</formula>
    </cfRule>
    <cfRule type="cellIs" dxfId="3805" priority="87" operator="equal">
      <formula>"P"</formula>
    </cfRule>
    <cfRule type="cellIs" dxfId="3804" priority="88" operator="equal">
      <formula>"J"</formula>
    </cfRule>
  </conditionalFormatting>
  <conditionalFormatting sqref="M13:N17">
    <cfRule type="cellIs" dxfId="3803" priority="89" operator="equal">
      <formula>"NI"</formula>
    </cfRule>
    <cfRule type="cellIs" dxfId="3802" priority="90" operator="equal">
      <formula>"N"</formula>
    </cfRule>
    <cfRule type="cellIs" dxfId="3801" priority="91" operator="equal">
      <formula>"P"</formula>
    </cfRule>
    <cfRule type="cellIs" dxfId="3800" priority="92" operator="equal">
      <formula>"J"</formula>
    </cfRule>
  </conditionalFormatting>
  <conditionalFormatting sqref="M19:N23">
    <cfRule type="cellIs" dxfId="3799" priority="93" operator="equal">
      <formula>"NI"</formula>
    </cfRule>
    <cfRule type="cellIs" dxfId="3798" priority="94" operator="equal">
      <formula>"N"</formula>
    </cfRule>
    <cfRule type="cellIs" dxfId="3797" priority="95" operator="equal">
      <formula>"P"</formula>
    </cfRule>
    <cfRule type="cellIs" dxfId="3796" priority="96" operator="equal">
      <formula>"J"</formula>
    </cfRule>
  </conditionalFormatting>
  <conditionalFormatting sqref="N30:N31">
    <cfRule type="cellIs" dxfId="3795" priority="97" operator="equal">
      <formula>"NI"</formula>
    </cfRule>
    <cfRule type="cellIs" dxfId="3794" priority="98" operator="equal">
      <formula>"N"</formula>
    </cfRule>
    <cfRule type="cellIs" dxfId="3793" priority="99" operator="equal">
      <formula>"P"</formula>
    </cfRule>
    <cfRule type="cellIs" dxfId="3792" priority="100" operator="equal">
      <formula>"J"</formula>
    </cfRule>
  </conditionalFormatting>
  <conditionalFormatting sqref="N9:N11">
    <cfRule type="cellIs" dxfId="3791" priority="101" operator="equal">
      <formula>"NI"</formula>
    </cfRule>
    <cfRule type="cellIs" dxfId="3790" priority="102" operator="equal">
      <formula>"N"</formula>
    </cfRule>
    <cfRule type="cellIs" dxfId="3789" priority="103" operator="equal">
      <formula>"P"</formula>
    </cfRule>
    <cfRule type="cellIs" dxfId="3788" priority="104" operator="equal">
      <formula>"J"</formula>
    </cfRule>
  </conditionalFormatting>
  <conditionalFormatting sqref="O9:O11 O13:O17 O19:O23 O25:O27 O29:O31">
    <cfRule type="cellIs" dxfId="3787" priority="105" operator="equal">
      <formula>"NI"</formula>
    </cfRule>
    <cfRule type="cellIs" dxfId="3786" priority="106" operator="equal">
      <formula>"N"</formula>
    </cfRule>
    <cfRule type="cellIs" dxfId="3785" priority="107" operator="equal">
      <formula>"P"</formula>
    </cfRule>
    <cfRule type="cellIs" dxfId="3784" priority="108" operator="equal">
      <formula>"J"</formula>
    </cfRule>
  </conditionalFormatting>
  <conditionalFormatting sqref="J9:J11 J13:J17 J19:J23 J25:J27 J29:J31">
    <cfRule type="cellIs" dxfId="3783" priority="65" operator="equal">
      <formula>"NI"</formula>
    </cfRule>
    <cfRule type="cellIs" dxfId="3782" priority="66" operator="equal">
      <formula>"N"</formula>
    </cfRule>
    <cfRule type="cellIs" dxfId="3781" priority="67" operator="equal">
      <formula>"P"</formula>
    </cfRule>
    <cfRule type="cellIs" dxfId="3780" priority="68" operator="equal">
      <formula>"J"</formula>
    </cfRule>
  </conditionalFormatting>
  <conditionalFormatting sqref="K9:K11 K13:K17 K19:K23 K25:K27 K29:K31">
    <cfRule type="cellIs" dxfId="3779" priority="61" operator="equal">
      <formula>"NI"</formula>
    </cfRule>
    <cfRule type="cellIs" dxfId="3778" priority="62" operator="equal">
      <formula>"N"</formula>
    </cfRule>
    <cfRule type="cellIs" dxfId="3777" priority="63" operator="equal">
      <formula>"P"</formula>
    </cfRule>
    <cfRule type="cellIs" dxfId="3776" priority="64" operator="equal">
      <formula>"J"</formula>
    </cfRule>
  </conditionalFormatting>
  <conditionalFormatting sqref="L9:L11 L13:L16 L19:L23 L25:L27">
    <cfRule type="cellIs" dxfId="3775" priority="57" operator="equal">
      <formula>"NI"</formula>
    </cfRule>
    <cfRule type="cellIs" dxfId="3774" priority="58" operator="equal">
      <formula>"N"</formula>
    </cfRule>
    <cfRule type="cellIs" dxfId="3773" priority="59" operator="equal">
      <formula>"P"</formula>
    </cfRule>
    <cfRule type="cellIs" dxfId="3772" priority="60" operator="equal">
      <formula>"J"</formula>
    </cfRule>
  </conditionalFormatting>
  <conditionalFormatting sqref="D9:D11 D13:D17 D19:D23 D25:D27 D29:D30">
    <cfRule type="cellIs" dxfId="3771" priority="53" operator="equal">
      <formula>"NI"</formula>
    </cfRule>
    <cfRule type="cellIs" dxfId="3770" priority="54" operator="equal">
      <formula>"N"</formula>
    </cfRule>
    <cfRule type="cellIs" dxfId="3769" priority="55" operator="equal">
      <formula>"P"</formula>
    </cfRule>
    <cfRule type="cellIs" dxfId="3768" priority="56" operator="equal">
      <formula>"J"</formula>
    </cfRule>
  </conditionalFormatting>
  <conditionalFormatting sqref="E9:E11 E13:E17 E19:E23 E25:E27 E29:E30">
    <cfRule type="cellIs" dxfId="3767" priority="49" operator="equal">
      <formula>"NI"</formula>
    </cfRule>
    <cfRule type="cellIs" dxfId="3766" priority="50" operator="equal">
      <formula>"N"</formula>
    </cfRule>
    <cfRule type="cellIs" dxfId="3765" priority="51" operator="equal">
      <formula>"P"</formula>
    </cfRule>
    <cfRule type="cellIs" dxfId="3764" priority="52" operator="equal">
      <formula>"J"</formula>
    </cfRule>
  </conditionalFormatting>
  <conditionalFormatting sqref="F9:F11 F13:F17 F19:F23 F25:F27 F29:F30">
    <cfRule type="cellIs" dxfId="3763" priority="45" operator="equal">
      <formula>"NI"</formula>
    </cfRule>
    <cfRule type="cellIs" dxfId="3762" priority="46" operator="equal">
      <formula>"N"</formula>
    </cfRule>
    <cfRule type="cellIs" dxfId="3761" priority="47" operator="equal">
      <formula>"P"</formula>
    </cfRule>
    <cfRule type="cellIs" dxfId="3760" priority="48" operator="equal">
      <formula>"J"</formula>
    </cfRule>
  </conditionalFormatting>
  <conditionalFormatting sqref="I9:I11 I13:I17 I19:I23 I25:I27 I29:I30">
    <cfRule type="cellIs" dxfId="3759" priority="41" operator="equal">
      <formula>"NI"</formula>
    </cfRule>
    <cfRule type="cellIs" dxfId="3758" priority="42" operator="equal">
      <formula>"N"</formula>
    </cfRule>
    <cfRule type="cellIs" dxfId="3757" priority="43" operator="equal">
      <formula>"P"</formula>
    </cfRule>
    <cfRule type="cellIs" dxfId="3756" priority="44" operator="equal">
      <formula>"J"</formula>
    </cfRule>
  </conditionalFormatting>
  <conditionalFormatting sqref="I31">
    <cfRule type="cellIs" dxfId="3755" priority="37" operator="equal">
      <formula>"NI"</formula>
    </cfRule>
    <cfRule type="cellIs" dxfId="3754" priority="38" operator="equal">
      <formula>"N"</formula>
    </cfRule>
    <cfRule type="cellIs" dxfId="3753" priority="39" operator="equal">
      <formula>"P"</formula>
    </cfRule>
    <cfRule type="cellIs" dxfId="3752" priority="40" operator="equal">
      <formula>"J"</formula>
    </cfRule>
  </conditionalFormatting>
  <conditionalFormatting sqref="D31">
    <cfRule type="cellIs" dxfId="3751" priority="33" operator="equal">
      <formula>"NI"</formula>
    </cfRule>
    <cfRule type="cellIs" dxfId="3750" priority="34" operator="equal">
      <formula>"N"</formula>
    </cfRule>
    <cfRule type="cellIs" dxfId="3749" priority="35" operator="equal">
      <formula>"P"</formula>
    </cfRule>
    <cfRule type="cellIs" dxfId="3748" priority="36" operator="equal">
      <formula>"J"</formula>
    </cfRule>
  </conditionalFormatting>
  <conditionalFormatting sqref="E31">
    <cfRule type="cellIs" dxfId="3747" priority="29" operator="equal">
      <formula>"NI"</formula>
    </cfRule>
    <cfRule type="cellIs" dxfId="3746" priority="30" operator="equal">
      <formula>"N"</formula>
    </cfRule>
    <cfRule type="cellIs" dxfId="3745" priority="31" operator="equal">
      <formula>"P"</formula>
    </cfRule>
    <cfRule type="cellIs" dxfId="3744" priority="32" operator="equal">
      <formula>"J"</formula>
    </cfRule>
  </conditionalFormatting>
  <conditionalFormatting sqref="F31">
    <cfRule type="cellIs" dxfId="3743" priority="25" operator="equal">
      <formula>"NI"</formula>
    </cfRule>
    <cfRule type="cellIs" dxfId="3742" priority="26" operator="equal">
      <formula>"N"</formula>
    </cfRule>
    <cfRule type="cellIs" dxfId="3741" priority="27" operator="equal">
      <formula>"P"</formula>
    </cfRule>
    <cfRule type="cellIs" dxfId="3740" priority="28" operator="equal">
      <formula>"J"</formula>
    </cfRule>
  </conditionalFormatting>
  <conditionalFormatting sqref="L17">
    <cfRule type="cellIs" dxfId="3739" priority="21" operator="equal">
      <formula>"NI"</formula>
    </cfRule>
    <cfRule type="cellIs" dxfId="3738" priority="22" operator="equal">
      <formula>"N"</formula>
    </cfRule>
    <cfRule type="cellIs" dxfId="3737" priority="23" operator="equal">
      <formula>"P"</formula>
    </cfRule>
    <cfRule type="cellIs" dxfId="3736" priority="24" operator="equal">
      <formula>"J"</formula>
    </cfRule>
  </conditionalFormatting>
  <conditionalFormatting sqref="L30">
    <cfRule type="cellIs" dxfId="3735" priority="17" operator="equal">
      <formula>"NI"</formula>
    </cfRule>
    <cfRule type="cellIs" dxfId="3734" priority="18" operator="equal">
      <formula>"N"</formula>
    </cfRule>
    <cfRule type="cellIs" dxfId="3733" priority="19" operator="equal">
      <formula>"P"</formula>
    </cfRule>
    <cfRule type="cellIs" dxfId="3732" priority="20" operator="equal">
      <formula>"J"</formula>
    </cfRule>
  </conditionalFormatting>
  <conditionalFormatting sqref="L31">
    <cfRule type="cellIs" dxfId="3731" priority="13" operator="equal">
      <formula>"NI"</formula>
    </cfRule>
    <cfRule type="cellIs" dxfId="3730" priority="14" operator="equal">
      <formula>"N"</formula>
    </cfRule>
    <cfRule type="cellIs" dxfId="3729" priority="15" operator="equal">
      <formula>"P"</formula>
    </cfRule>
    <cfRule type="cellIs" dxfId="3728" priority="16" operator="equal">
      <formula>"J"</formula>
    </cfRule>
  </conditionalFormatting>
  <conditionalFormatting sqref="L29">
    <cfRule type="cellIs" dxfId="3727" priority="9" operator="equal">
      <formula>"NI"</formula>
    </cfRule>
    <cfRule type="cellIs" dxfId="3726" priority="10" operator="equal">
      <formula>"N"</formula>
    </cfRule>
    <cfRule type="cellIs" dxfId="3725" priority="11" operator="equal">
      <formula>"P"</formula>
    </cfRule>
    <cfRule type="cellIs" dxfId="3724" priority="12" operator="equal">
      <formula>"J"</formula>
    </cfRule>
  </conditionalFormatting>
  <conditionalFormatting sqref="G9:G11 G13:G17 G19:G23 G25:G27 G29:G31">
    <cfRule type="cellIs" dxfId="3723" priority="5" operator="equal">
      <formula>"NI"</formula>
    </cfRule>
    <cfRule type="cellIs" dxfId="3722" priority="6" operator="equal">
      <formula>"N"</formula>
    </cfRule>
    <cfRule type="cellIs" dxfId="3721" priority="7" operator="equal">
      <formula>"P"</formula>
    </cfRule>
    <cfRule type="cellIs" dxfId="3720" priority="8" operator="equal">
      <formula>"J"</formula>
    </cfRule>
  </conditionalFormatting>
  <conditionalFormatting sqref="H9:H11 H13:H17 H19:H23 H25:H27 H29:H31">
    <cfRule type="cellIs" dxfId="3719" priority="1" operator="equal">
      <formula>"NI"</formula>
    </cfRule>
    <cfRule type="cellIs" dxfId="3718" priority="2" operator="equal">
      <formula>"N"</formula>
    </cfRule>
    <cfRule type="cellIs" dxfId="3717" priority="3" operator="equal">
      <formula>"P"</formula>
    </cfRule>
    <cfRule type="cellIs" dxfId="371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292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0.6069444444444444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0.65972222222222221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0.44791666666666669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0.49236111111111108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0.63541666666666663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0.39513888888888887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0.71944444444444444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0.62083333333333335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293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715" priority="61" operator="equal">
      <formula>"NI"</formula>
    </cfRule>
    <cfRule type="cellIs" dxfId="3714" priority="62" operator="equal">
      <formula>"N"</formula>
    </cfRule>
    <cfRule type="cellIs" dxfId="3713" priority="63" operator="equal">
      <formula>"P"</formula>
    </cfRule>
    <cfRule type="cellIs" dxfId="3712" priority="64" operator="equal">
      <formula>"J"</formula>
    </cfRule>
  </conditionalFormatting>
  <conditionalFormatting sqref="M32:M33">
    <cfRule type="cellIs" dxfId="3711" priority="65" operator="equal">
      <formula>"NI"</formula>
    </cfRule>
    <cfRule type="cellIs" dxfId="3710" priority="66" operator="equal">
      <formula>"N"</formula>
    </cfRule>
    <cfRule type="cellIs" dxfId="3709" priority="67" operator="equal">
      <formula>"P"</formula>
    </cfRule>
    <cfRule type="cellIs" dxfId="3708" priority="68" operator="equal">
      <formula>"J"</formula>
    </cfRule>
  </conditionalFormatting>
  <conditionalFormatting sqref="M9:M10">
    <cfRule type="cellIs" dxfId="3707" priority="69" operator="equal">
      <formula>"NI"</formula>
    </cfRule>
    <cfRule type="cellIs" dxfId="3706" priority="70" operator="equal">
      <formula>"N"</formula>
    </cfRule>
    <cfRule type="cellIs" dxfId="3705" priority="71" operator="equal">
      <formula>"P"</formula>
    </cfRule>
    <cfRule type="cellIs" dxfId="3704" priority="72" operator="equal">
      <formula>"J"</formula>
    </cfRule>
  </conditionalFormatting>
  <conditionalFormatting sqref="M11">
    <cfRule type="cellIs" dxfId="3703" priority="73" operator="equal">
      <formula>"NI"</formula>
    </cfRule>
    <cfRule type="cellIs" dxfId="3702" priority="74" operator="equal">
      <formula>"N"</formula>
    </cfRule>
    <cfRule type="cellIs" dxfId="3701" priority="75" operator="equal">
      <formula>"P"</formula>
    </cfRule>
    <cfRule type="cellIs" dxfId="3700" priority="76" operator="equal">
      <formula>"J"</formula>
    </cfRule>
  </conditionalFormatting>
  <conditionalFormatting sqref="M13:N18">
    <cfRule type="cellIs" dxfId="3699" priority="77" operator="equal">
      <formula>"NI"</formula>
    </cfRule>
    <cfRule type="cellIs" dxfId="3698" priority="78" operator="equal">
      <formula>"N"</formula>
    </cfRule>
    <cfRule type="cellIs" dxfId="3697" priority="79" operator="equal">
      <formula>"P"</formula>
    </cfRule>
    <cfRule type="cellIs" dxfId="3696" priority="80" operator="equal">
      <formula>"J"</formula>
    </cfRule>
  </conditionalFormatting>
  <conditionalFormatting sqref="M20:N25">
    <cfRule type="cellIs" dxfId="3695" priority="81" operator="equal">
      <formula>"NI"</formula>
    </cfRule>
    <cfRule type="cellIs" dxfId="3694" priority="82" operator="equal">
      <formula>"N"</formula>
    </cfRule>
    <cfRule type="cellIs" dxfId="3693" priority="83" operator="equal">
      <formula>"P"</formula>
    </cfRule>
    <cfRule type="cellIs" dxfId="3692" priority="84" operator="equal">
      <formula>"J"</formula>
    </cfRule>
  </conditionalFormatting>
  <conditionalFormatting sqref="N32:N33">
    <cfRule type="cellIs" dxfId="3691" priority="85" operator="equal">
      <formula>"NI"</formula>
    </cfRule>
    <cfRule type="cellIs" dxfId="3690" priority="86" operator="equal">
      <formula>"N"</formula>
    </cfRule>
    <cfRule type="cellIs" dxfId="3689" priority="87" operator="equal">
      <formula>"P"</formula>
    </cfRule>
    <cfRule type="cellIs" dxfId="3688" priority="88" operator="equal">
      <formula>"J"</formula>
    </cfRule>
  </conditionalFormatting>
  <conditionalFormatting sqref="N9:N11">
    <cfRule type="cellIs" dxfId="3687" priority="89" operator="equal">
      <formula>"NI"</formula>
    </cfRule>
    <cfRule type="cellIs" dxfId="3686" priority="90" operator="equal">
      <formula>"N"</formula>
    </cfRule>
    <cfRule type="cellIs" dxfId="3685" priority="91" operator="equal">
      <formula>"P"</formula>
    </cfRule>
    <cfRule type="cellIs" dxfId="3684" priority="92" operator="equal">
      <formula>"J"</formula>
    </cfRule>
  </conditionalFormatting>
  <conditionalFormatting sqref="O9:O11 O13:O18 O20:O25 O27:O29 O31:O33">
    <cfRule type="cellIs" dxfId="3683" priority="93" operator="equal">
      <formula>"NI"</formula>
    </cfRule>
    <cfRule type="cellIs" dxfId="3682" priority="94" operator="equal">
      <formula>"N"</formula>
    </cfRule>
    <cfRule type="cellIs" dxfId="3681" priority="95" operator="equal">
      <formula>"P"</formula>
    </cfRule>
    <cfRule type="cellIs" dxfId="3680" priority="96" operator="equal">
      <formula>"J"</formula>
    </cfRule>
  </conditionalFormatting>
  <conditionalFormatting sqref="J9:J11 J13:J18 J20:J25 J27:J29 J31:J33">
    <cfRule type="cellIs" dxfId="3679" priority="53" operator="equal">
      <formula>"NI"</formula>
    </cfRule>
    <cfRule type="cellIs" dxfId="3678" priority="54" operator="equal">
      <formula>"N"</formula>
    </cfRule>
    <cfRule type="cellIs" dxfId="3677" priority="55" operator="equal">
      <formula>"P"</formula>
    </cfRule>
    <cfRule type="cellIs" dxfId="3676" priority="56" operator="equal">
      <formula>"J"</formula>
    </cfRule>
  </conditionalFormatting>
  <conditionalFormatting sqref="K9:K11 K13:K18 K20:K25 K27:K29 K31:K33">
    <cfRule type="cellIs" dxfId="3675" priority="49" operator="equal">
      <formula>"NI"</formula>
    </cfRule>
    <cfRule type="cellIs" dxfId="3674" priority="50" operator="equal">
      <formula>"N"</formula>
    </cfRule>
    <cfRule type="cellIs" dxfId="3673" priority="51" operator="equal">
      <formula>"P"</formula>
    </cfRule>
    <cfRule type="cellIs" dxfId="3672" priority="52" operator="equal">
      <formula>"J"</formula>
    </cfRule>
  </conditionalFormatting>
  <conditionalFormatting sqref="L9:L11 L13:L16 L18 L20:L25 L27:L29 L32">
    <cfRule type="cellIs" dxfId="3671" priority="45" operator="equal">
      <formula>"NI"</formula>
    </cfRule>
    <cfRule type="cellIs" dxfId="3670" priority="46" operator="equal">
      <formula>"N"</formula>
    </cfRule>
    <cfRule type="cellIs" dxfId="3669" priority="47" operator="equal">
      <formula>"P"</formula>
    </cfRule>
    <cfRule type="cellIs" dxfId="3668" priority="48" operator="equal">
      <formula>"J"</formula>
    </cfRule>
  </conditionalFormatting>
  <conditionalFormatting sqref="D9:D11 D13:D18 D20:D25 D27:D29 D31:D33">
    <cfRule type="cellIs" dxfId="3667" priority="41" operator="equal">
      <formula>"NI"</formula>
    </cfRule>
    <cfRule type="cellIs" dxfId="3666" priority="42" operator="equal">
      <formula>"N"</formula>
    </cfRule>
    <cfRule type="cellIs" dxfId="3665" priority="43" operator="equal">
      <formula>"P"</formula>
    </cfRule>
    <cfRule type="cellIs" dxfId="3664" priority="44" operator="equal">
      <formula>"J"</formula>
    </cfRule>
  </conditionalFormatting>
  <conditionalFormatting sqref="E9:E11 E13:E18 E20:E25 E27:E29 E32:E33">
    <cfRule type="cellIs" dxfId="3663" priority="37" operator="equal">
      <formula>"NI"</formula>
    </cfRule>
    <cfRule type="cellIs" dxfId="3662" priority="38" operator="equal">
      <formula>"N"</formula>
    </cfRule>
    <cfRule type="cellIs" dxfId="3661" priority="39" operator="equal">
      <formula>"P"</formula>
    </cfRule>
    <cfRule type="cellIs" dxfId="3660" priority="40" operator="equal">
      <formula>"J"</formula>
    </cfRule>
  </conditionalFormatting>
  <conditionalFormatting sqref="F9:F11 F13:F18 F20:F25 F27:F29 F32:F33">
    <cfRule type="cellIs" dxfId="3659" priority="33" operator="equal">
      <formula>"NI"</formula>
    </cfRule>
    <cfRule type="cellIs" dxfId="3658" priority="34" operator="equal">
      <formula>"N"</formula>
    </cfRule>
    <cfRule type="cellIs" dxfId="3657" priority="35" operator="equal">
      <formula>"P"</formula>
    </cfRule>
    <cfRule type="cellIs" dxfId="3656" priority="36" operator="equal">
      <formula>"J"</formula>
    </cfRule>
  </conditionalFormatting>
  <conditionalFormatting sqref="I9:I11 I13:I18 I20:I25 I27:I29 I31:I32">
    <cfRule type="cellIs" dxfId="3655" priority="29" operator="equal">
      <formula>"NI"</formula>
    </cfRule>
    <cfRule type="cellIs" dxfId="3654" priority="30" operator="equal">
      <formula>"N"</formula>
    </cfRule>
    <cfRule type="cellIs" dxfId="3653" priority="31" operator="equal">
      <formula>"P"</formula>
    </cfRule>
    <cfRule type="cellIs" dxfId="3652" priority="32" operator="equal">
      <formula>"J"</formula>
    </cfRule>
  </conditionalFormatting>
  <conditionalFormatting sqref="I33">
    <cfRule type="cellIs" dxfId="3651" priority="25" operator="equal">
      <formula>"NI"</formula>
    </cfRule>
    <cfRule type="cellIs" dxfId="3650" priority="26" operator="equal">
      <formula>"N"</formula>
    </cfRule>
    <cfRule type="cellIs" dxfId="3649" priority="27" operator="equal">
      <formula>"P"</formula>
    </cfRule>
    <cfRule type="cellIs" dxfId="3648" priority="28" operator="equal">
      <formula>"J"</formula>
    </cfRule>
  </conditionalFormatting>
  <conditionalFormatting sqref="E31:F31">
    <cfRule type="cellIs" dxfId="3647" priority="21" operator="equal">
      <formula>"NI"</formula>
    </cfRule>
    <cfRule type="cellIs" dxfId="3646" priority="22" operator="equal">
      <formula>"N"</formula>
    </cfRule>
    <cfRule type="cellIs" dxfId="3645" priority="23" operator="equal">
      <formula>"P"</formula>
    </cfRule>
    <cfRule type="cellIs" dxfId="3644" priority="24" operator="equal">
      <formula>"J"</formula>
    </cfRule>
  </conditionalFormatting>
  <conditionalFormatting sqref="L17">
    <cfRule type="cellIs" dxfId="3643" priority="17" operator="equal">
      <formula>"NI"</formula>
    </cfRule>
    <cfRule type="cellIs" dxfId="3642" priority="18" operator="equal">
      <formula>"N"</formula>
    </cfRule>
    <cfRule type="cellIs" dxfId="3641" priority="19" operator="equal">
      <formula>"P"</formula>
    </cfRule>
    <cfRule type="cellIs" dxfId="3640" priority="20" operator="equal">
      <formula>"J"</formula>
    </cfRule>
  </conditionalFormatting>
  <conditionalFormatting sqref="L31">
    <cfRule type="cellIs" dxfId="3639" priority="13" operator="equal">
      <formula>"NI"</formula>
    </cfRule>
    <cfRule type="cellIs" dxfId="3638" priority="14" operator="equal">
      <formula>"N"</formula>
    </cfRule>
    <cfRule type="cellIs" dxfId="3637" priority="15" operator="equal">
      <formula>"P"</formula>
    </cfRule>
    <cfRule type="cellIs" dxfId="3636" priority="16" operator="equal">
      <formula>"J"</formula>
    </cfRule>
  </conditionalFormatting>
  <conditionalFormatting sqref="L33">
    <cfRule type="cellIs" dxfId="3635" priority="9" operator="equal">
      <formula>"NI"</formula>
    </cfRule>
    <cfRule type="cellIs" dxfId="3634" priority="10" operator="equal">
      <formula>"N"</formula>
    </cfRule>
    <cfRule type="cellIs" dxfId="3633" priority="11" operator="equal">
      <formula>"P"</formula>
    </cfRule>
    <cfRule type="cellIs" dxfId="3632" priority="12" operator="equal">
      <formula>"J"</formula>
    </cfRule>
  </conditionalFormatting>
  <conditionalFormatting sqref="G9:G11 G13:G18 G20:G25 G27:G29 G31:G33">
    <cfRule type="cellIs" dxfId="3631" priority="5" operator="equal">
      <formula>"NI"</formula>
    </cfRule>
    <cfRule type="cellIs" dxfId="3630" priority="6" operator="equal">
      <formula>"N"</formula>
    </cfRule>
    <cfRule type="cellIs" dxfId="3629" priority="7" operator="equal">
      <formula>"P"</formula>
    </cfRule>
    <cfRule type="cellIs" dxfId="3628" priority="8" operator="equal">
      <formula>"J"</formula>
    </cfRule>
  </conditionalFormatting>
  <conditionalFormatting sqref="H9:H11 H13:H18 H20:H25 H27:H29 H31:H33">
    <cfRule type="cellIs" dxfId="3627" priority="1" operator="equal">
      <formula>"NI"</formula>
    </cfRule>
    <cfRule type="cellIs" dxfId="3626" priority="2" operator="equal">
      <formula>"N"</formula>
    </cfRule>
    <cfRule type="cellIs" dxfId="3625" priority="3" operator="equal">
      <formula>"P"</formula>
    </cfRule>
    <cfRule type="cellIs" dxfId="3624" priority="4" operator="equal">
      <formula>"J"</formula>
    </cfRule>
  </conditionalFormatting>
  <pageMargins left="0.511811024" right="0.511811024" top="0.78740157499999996" bottom="0.78740157499999996" header="0.31496062000000002" footer="0.31496062000000002"/>
  <pageSetup orientation="portrait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showGridLines="0" topLeftCell="A13" workbookViewId="0">
      <selection activeCell="S14" sqref="S14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294</v>
      </c>
      <c r="E5" s="251" t="s">
        <v>171</v>
      </c>
      <c r="K5" s="440" t="s">
        <v>270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0.60833333333333328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0.66041666666666665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0.44861111111111113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0.49236111111111108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0.63611111111111107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0.39652777777777781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0.71944444444444444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0.62152777777777779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295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623" priority="73" operator="equal">
      <formula>"NI"</formula>
    </cfRule>
    <cfRule type="cellIs" dxfId="3622" priority="74" operator="equal">
      <formula>"N"</formula>
    </cfRule>
    <cfRule type="cellIs" dxfId="3621" priority="75" operator="equal">
      <formula>"P"</formula>
    </cfRule>
    <cfRule type="cellIs" dxfId="3620" priority="76" operator="equal">
      <formula>"J"</formula>
    </cfRule>
  </conditionalFormatting>
  <conditionalFormatting sqref="M32:M33">
    <cfRule type="cellIs" dxfId="3619" priority="77" operator="equal">
      <formula>"NI"</formula>
    </cfRule>
    <cfRule type="cellIs" dxfId="3618" priority="78" operator="equal">
      <formula>"N"</formula>
    </cfRule>
    <cfRule type="cellIs" dxfId="3617" priority="79" operator="equal">
      <formula>"P"</formula>
    </cfRule>
    <cfRule type="cellIs" dxfId="3616" priority="80" operator="equal">
      <formula>"J"</formula>
    </cfRule>
  </conditionalFormatting>
  <conditionalFormatting sqref="M9:M10">
    <cfRule type="cellIs" dxfId="3615" priority="81" operator="equal">
      <formula>"NI"</formula>
    </cfRule>
    <cfRule type="cellIs" dxfId="3614" priority="82" operator="equal">
      <formula>"N"</formula>
    </cfRule>
    <cfRule type="cellIs" dxfId="3613" priority="83" operator="equal">
      <formula>"P"</formula>
    </cfRule>
    <cfRule type="cellIs" dxfId="3612" priority="84" operator="equal">
      <formula>"J"</formula>
    </cfRule>
  </conditionalFormatting>
  <conditionalFormatting sqref="M11">
    <cfRule type="cellIs" dxfId="3611" priority="85" operator="equal">
      <formula>"NI"</formula>
    </cfRule>
    <cfRule type="cellIs" dxfId="3610" priority="86" operator="equal">
      <formula>"N"</formula>
    </cfRule>
    <cfRule type="cellIs" dxfId="3609" priority="87" operator="equal">
      <formula>"P"</formula>
    </cfRule>
    <cfRule type="cellIs" dxfId="3608" priority="88" operator="equal">
      <formula>"J"</formula>
    </cfRule>
  </conditionalFormatting>
  <conditionalFormatting sqref="M13:N18">
    <cfRule type="cellIs" dxfId="3607" priority="89" operator="equal">
      <formula>"NI"</formula>
    </cfRule>
    <cfRule type="cellIs" dxfId="3606" priority="90" operator="equal">
      <formula>"N"</formula>
    </cfRule>
    <cfRule type="cellIs" dxfId="3605" priority="91" operator="equal">
      <formula>"P"</formula>
    </cfRule>
    <cfRule type="cellIs" dxfId="3604" priority="92" operator="equal">
      <formula>"J"</formula>
    </cfRule>
  </conditionalFormatting>
  <conditionalFormatting sqref="M20:N25">
    <cfRule type="cellIs" dxfId="3603" priority="93" operator="equal">
      <formula>"NI"</formula>
    </cfRule>
    <cfRule type="cellIs" dxfId="3602" priority="94" operator="equal">
      <formula>"N"</formula>
    </cfRule>
    <cfRule type="cellIs" dxfId="3601" priority="95" operator="equal">
      <formula>"P"</formula>
    </cfRule>
    <cfRule type="cellIs" dxfId="3600" priority="96" operator="equal">
      <formula>"J"</formula>
    </cfRule>
  </conditionalFormatting>
  <conditionalFormatting sqref="N32:N33">
    <cfRule type="cellIs" dxfId="3599" priority="97" operator="equal">
      <formula>"NI"</formula>
    </cfRule>
    <cfRule type="cellIs" dxfId="3598" priority="98" operator="equal">
      <formula>"N"</formula>
    </cfRule>
    <cfRule type="cellIs" dxfId="3597" priority="99" operator="equal">
      <formula>"P"</formula>
    </cfRule>
    <cfRule type="cellIs" dxfId="3596" priority="100" operator="equal">
      <formula>"J"</formula>
    </cfRule>
  </conditionalFormatting>
  <conditionalFormatting sqref="N9:N11">
    <cfRule type="cellIs" dxfId="3595" priority="101" operator="equal">
      <formula>"NI"</formula>
    </cfRule>
    <cfRule type="cellIs" dxfId="3594" priority="102" operator="equal">
      <formula>"N"</formula>
    </cfRule>
    <cfRule type="cellIs" dxfId="3593" priority="103" operator="equal">
      <formula>"P"</formula>
    </cfRule>
    <cfRule type="cellIs" dxfId="3592" priority="104" operator="equal">
      <formula>"J"</formula>
    </cfRule>
  </conditionalFormatting>
  <conditionalFormatting sqref="O9:O11 O13:O18 O20:O25 O27:O29 O31:O33">
    <cfRule type="cellIs" dxfId="3591" priority="105" operator="equal">
      <formula>"NI"</formula>
    </cfRule>
    <cfRule type="cellIs" dxfId="3590" priority="106" operator="equal">
      <formula>"N"</formula>
    </cfRule>
    <cfRule type="cellIs" dxfId="3589" priority="107" operator="equal">
      <formula>"P"</formula>
    </cfRule>
    <cfRule type="cellIs" dxfId="3588" priority="108" operator="equal">
      <formula>"J"</formula>
    </cfRule>
  </conditionalFormatting>
  <conditionalFormatting sqref="J9:J11 J13:J18 J20:J25 J27:J29 J31:J33">
    <cfRule type="cellIs" dxfId="3587" priority="65" operator="equal">
      <formula>"NI"</formula>
    </cfRule>
    <cfRule type="cellIs" dxfId="3586" priority="66" operator="equal">
      <formula>"N"</formula>
    </cfRule>
    <cfRule type="cellIs" dxfId="3585" priority="67" operator="equal">
      <formula>"P"</formula>
    </cfRule>
    <cfRule type="cellIs" dxfId="3584" priority="68" operator="equal">
      <formula>"J"</formula>
    </cfRule>
  </conditionalFormatting>
  <conditionalFormatting sqref="K9:K11 K13:K18 K20:K25 K27:K29 K31:K33">
    <cfRule type="cellIs" dxfId="3583" priority="61" operator="equal">
      <formula>"NI"</formula>
    </cfRule>
    <cfRule type="cellIs" dxfId="3582" priority="62" operator="equal">
      <formula>"N"</formula>
    </cfRule>
    <cfRule type="cellIs" dxfId="3581" priority="63" operator="equal">
      <formula>"P"</formula>
    </cfRule>
    <cfRule type="cellIs" dxfId="3580" priority="64" operator="equal">
      <formula>"J"</formula>
    </cfRule>
  </conditionalFormatting>
  <conditionalFormatting sqref="L9:L11 L13:L16 L18 L20:L25 L27:L29">
    <cfRule type="cellIs" dxfId="3579" priority="57" operator="equal">
      <formula>"NI"</formula>
    </cfRule>
    <cfRule type="cellIs" dxfId="3578" priority="58" operator="equal">
      <formula>"N"</formula>
    </cfRule>
    <cfRule type="cellIs" dxfId="3577" priority="59" operator="equal">
      <formula>"P"</formula>
    </cfRule>
    <cfRule type="cellIs" dxfId="3576" priority="60" operator="equal">
      <formula>"J"</formula>
    </cfRule>
  </conditionalFormatting>
  <conditionalFormatting sqref="D9:D11 D13:D18 D20:D25 D27:D29 D31:D32">
    <cfRule type="cellIs" dxfId="3575" priority="53" operator="equal">
      <formula>"NI"</formula>
    </cfRule>
    <cfRule type="cellIs" dxfId="3574" priority="54" operator="equal">
      <formula>"N"</formula>
    </cfRule>
    <cfRule type="cellIs" dxfId="3573" priority="55" operator="equal">
      <formula>"P"</formula>
    </cfRule>
    <cfRule type="cellIs" dxfId="3572" priority="56" operator="equal">
      <formula>"J"</formula>
    </cfRule>
  </conditionalFormatting>
  <conditionalFormatting sqref="E9:E11 E13:E18 E20:E25 E27:E29 E32">
    <cfRule type="cellIs" dxfId="3571" priority="49" operator="equal">
      <formula>"NI"</formula>
    </cfRule>
    <cfRule type="cellIs" dxfId="3570" priority="50" operator="equal">
      <formula>"N"</formula>
    </cfRule>
    <cfRule type="cellIs" dxfId="3569" priority="51" operator="equal">
      <formula>"P"</formula>
    </cfRule>
    <cfRule type="cellIs" dxfId="3568" priority="52" operator="equal">
      <formula>"J"</formula>
    </cfRule>
  </conditionalFormatting>
  <conditionalFormatting sqref="F9:F11 F13:F18 F20:F25 F27:F29 F32">
    <cfRule type="cellIs" dxfId="3567" priority="45" operator="equal">
      <formula>"NI"</formula>
    </cfRule>
    <cfRule type="cellIs" dxfId="3566" priority="46" operator="equal">
      <formula>"N"</formula>
    </cfRule>
    <cfRule type="cellIs" dxfId="3565" priority="47" operator="equal">
      <formula>"P"</formula>
    </cfRule>
    <cfRule type="cellIs" dxfId="3564" priority="48" operator="equal">
      <formula>"J"</formula>
    </cfRule>
  </conditionalFormatting>
  <conditionalFormatting sqref="I9:I11 I13:I18 I20:I25 I27:I29 I31:I32">
    <cfRule type="cellIs" dxfId="3563" priority="41" operator="equal">
      <formula>"NI"</formula>
    </cfRule>
    <cfRule type="cellIs" dxfId="3562" priority="42" operator="equal">
      <formula>"N"</formula>
    </cfRule>
    <cfRule type="cellIs" dxfId="3561" priority="43" operator="equal">
      <formula>"P"</formula>
    </cfRule>
    <cfRule type="cellIs" dxfId="3560" priority="44" operator="equal">
      <formula>"J"</formula>
    </cfRule>
  </conditionalFormatting>
  <conditionalFormatting sqref="I33">
    <cfRule type="cellIs" dxfId="3559" priority="37" operator="equal">
      <formula>"NI"</formula>
    </cfRule>
    <cfRule type="cellIs" dxfId="3558" priority="38" operator="equal">
      <formula>"N"</formula>
    </cfRule>
    <cfRule type="cellIs" dxfId="3557" priority="39" operator="equal">
      <formula>"P"</formula>
    </cfRule>
    <cfRule type="cellIs" dxfId="3556" priority="40" operator="equal">
      <formula>"J"</formula>
    </cfRule>
  </conditionalFormatting>
  <conditionalFormatting sqref="E31:F31">
    <cfRule type="cellIs" dxfId="3555" priority="33" operator="equal">
      <formula>"NI"</formula>
    </cfRule>
    <cfRule type="cellIs" dxfId="3554" priority="34" operator="equal">
      <formula>"N"</formula>
    </cfRule>
    <cfRule type="cellIs" dxfId="3553" priority="35" operator="equal">
      <formula>"P"</formula>
    </cfRule>
    <cfRule type="cellIs" dxfId="3552" priority="36" operator="equal">
      <formula>"J"</formula>
    </cfRule>
  </conditionalFormatting>
  <conditionalFormatting sqref="D33">
    <cfRule type="cellIs" dxfId="3551" priority="29" operator="equal">
      <formula>"NI"</formula>
    </cfRule>
    <cfRule type="cellIs" dxfId="3550" priority="30" operator="equal">
      <formula>"N"</formula>
    </cfRule>
    <cfRule type="cellIs" dxfId="3549" priority="31" operator="equal">
      <formula>"P"</formula>
    </cfRule>
    <cfRule type="cellIs" dxfId="3548" priority="32" operator="equal">
      <formula>"J"</formula>
    </cfRule>
  </conditionalFormatting>
  <conditionalFormatting sqref="E33">
    <cfRule type="cellIs" dxfId="3547" priority="25" operator="equal">
      <formula>"NI"</formula>
    </cfRule>
    <cfRule type="cellIs" dxfId="3546" priority="26" operator="equal">
      <formula>"N"</formula>
    </cfRule>
    <cfRule type="cellIs" dxfId="3545" priority="27" operator="equal">
      <formula>"P"</formula>
    </cfRule>
    <cfRule type="cellIs" dxfId="3544" priority="28" operator="equal">
      <formula>"J"</formula>
    </cfRule>
  </conditionalFormatting>
  <conditionalFormatting sqref="F33">
    <cfRule type="cellIs" dxfId="3543" priority="21" operator="equal">
      <formula>"NI"</formula>
    </cfRule>
    <cfRule type="cellIs" dxfId="3542" priority="22" operator="equal">
      <formula>"N"</formula>
    </cfRule>
    <cfRule type="cellIs" dxfId="3541" priority="23" operator="equal">
      <formula>"P"</formula>
    </cfRule>
    <cfRule type="cellIs" dxfId="3540" priority="24" operator="equal">
      <formula>"J"</formula>
    </cfRule>
  </conditionalFormatting>
  <conditionalFormatting sqref="L17">
    <cfRule type="cellIs" dxfId="3539" priority="17" operator="equal">
      <formula>"NI"</formula>
    </cfRule>
    <cfRule type="cellIs" dxfId="3538" priority="18" operator="equal">
      <formula>"N"</formula>
    </cfRule>
    <cfRule type="cellIs" dxfId="3537" priority="19" operator="equal">
      <formula>"P"</formula>
    </cfRule>
    <cfRule type="cellIs" dxfId="3536" priority="20" operator="equal">
      <formula>"J"</formula>
    </cfRule>
  </conditionalFormatting>
  <conditionalFormatting sqref="L31:L32">
    <cfRule type="cellIs" dxfId="3535" priority="13" operator="equal">
      <formula>"NI"</formula>
    </cfRule>
    <cfRule type="cellIs" dxfId="3534" priority="14" operator="equal">
      <formula>"N"</formula>
    </cfRule>
    <cfRule type="cellIs" dxfId="3533" priority="15" operator="equal">
      <formula>"P"</formula>
    </cfRule>
    <cfRule type="cellIs" dxfId="3532" priority="16" operator="equal">
      <formula>"J"</formula>
    </cfRule>
  </conditionalFormatting>
  <conditionalFormatting sqref="L33">
    <cfRule type="cellIs" dxfId="3531" priority="9" operator="equal">
      <formula>"NI"</formula>
    </cfRule>
    <cfRule type="cellIs" dxfId="3530" priority="10" operator="equal">
      <formula>"N"</formula>
    </cfRule>
    <cfRule type="cellIs" dxfId="3529" priority="11" operator="equal">
      <formula>"P"</formula>
    </cfRule>
    <cfRule type="cellIs" dxfId="3528" priority="12" operator="equal">
      <formula>"J"</formula>
    </cfRule>
  </conditionalFormatting>
  <conditionalFormatting sqref="G9:G11 G13:G18 G20:G25 G27:G29 G31:G33">
    <cfRule type="cellIs" dxfId="3527" priority="5" operator="equal">
      <formula>"NI"</formula>
    </cfRule>
    <cfRule type="cellIs" dxfId="3526" priority="6" operator="equal">
      <formula>"N"</formula>
    </cfRule>
    <cfRule type="cellIs" dxfId="3525" priority="7" operator="equal">
      <formula>"P"</formula>
    </cfRule>
    <cfRule type="cellIs" dxfId="3524" priority="8" operator="equal">
      <formula>"J"</formula>
    </cfRule>
  </conditionalFormatting>
  <conditionalFormatting sqref="H9:H11 H13:H18 H20:H25 H27:H29 H31:H33">
    <cfRule type="cellIs" dxfId="3523" priority="1" operator="equal">
      <formula>"NI"</formula>
    </cfRule>
    <cfRule type="cellIs" dxfId="3522" priority="2" operator="equal">
      <formula>"N"</formula>
    </cfRule>
    <cfRule type="cellIs" dxfId="3521" priority="3" operator="equal">
      <formula>"P"</formula>
    </cfRule>
    <cfRule type="cellIs" dxfId="352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296</v>
      </c>
      <c r="E5" s="251" t="s">
        <v>171</v>
      </c>
      <c r="K5" s="440" t="s">
        <v>297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0.60902777777777772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0.66111111111111109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0.44930555555555562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0.49305555555555558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0.63680555555555551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0.39861111111111108</v>
      </c>
      <c r="T16" s="247" t="s">
        <v>213</v>
      </c>
    </row>
    <row r="17" spans="1:27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0.72013888888888888</v>
      </c>
      <c r="T17" s="247" t="s">
        <v>213</v>
      </c>
    </row>
    <row r="18" spans="1:27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0.62152777777777779</v>
      </c>
      <c r="T18" s="247" t="s">
        <v>213</v>
      </c>
    </row>
    <row r="19" spans="1:27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298</v>
      </c>
      <c r="T19" s="245" t="s">
        <v>213</v>
      </c>
    </row>
    <row r="20" spans="1:27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7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7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7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7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7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7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7" ht="15.75" customHeight="1" x14ac:dyDescent="0.25">
      <c r="A27" s="441"/>
      <c r="C27" s="259" t="s">
        <v>262</v>
      </c>
      <c r="D27" s="241"/>
      <c r="E27" s="241"/>
      <c r="F27" s="241"/>
      <c r="G27" s="241" t="s">
        <v>196</v>
      </c>
      <c r="H27" s="241" t="s">
        <v>196</v>
      </c>
      <c r="I27" s="241" t="s">
        <v>196</v>
      </c>
      <c r="J27" s="241" t="s">
        <v>196</v>
      </c>
      <c r="K27" s="241" t="s">
        <v>196</v>
      </c>
      <c r="L27" s="241" t="s">
        <v>196</v>
      </c>
      <c r="M27" s="241" t="s">
        <v>196</v>
      </c>
      <c r="N27" s="241" t="s">
        <v>196</v>
      </c>
      <c r="O27" s="241" t="s">
        <v>196</v>
      </c>
      <c r="Q27" s="437"/>
      <c r="R27" s="381"/>
      <c r="S27" s="381"/>
      <c r="T27" s="381"/>
      <c r="U27" s="403"/>
    </row>
    <row r="28" spans="1:27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7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  <c r="AA29" s="275">
        <v>2202</v>
      </c>
    </row>
    <row r="30" spans="1:27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7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7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67"/>
      <c r="E33" s="267"/>
      <c r="F33" s="267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519" priority="101" operator="equal">
      <formula>"NI"</formula>
    </cfRule>
    <cfRule type="cellIs" dxfId="3518" priority="102" operator="equal">
      <formula>"N"</formula>
    </cfRule>
    <cfRule type="cellIs" dxfId="3517" priority="103" operator="equal">
      <formula>"P"</formula>
    </cfRule>
    <cfRule type="cellIs" dxfId="3516" priority="104" operator="equal">
      <formula>"J"</formula>
    </cfRule>
  </conditionalFormatting>
  <conditionalFormatting sqref="M32:M33">
    <cfRule type="cellIs" dxfId="3515" priority="105" operator="equal">
      <formula>"NI"</formula>
    </cfRule>
    <cfRule type="cellIs" dxfId="3514" priority="106" operator="equal">
      <formula>"N"</formula>
    </cfRule>
    <cfRule type="cellIs" dxfId="3513" priority="107" operator="equal">
      <formula>"P"</formula>
    </cfRule>
    <cfRule type="cellIs" dxfId="3512" priority="108" operator="equal">
      <formula>"J"</formula>
    </cfRule>
  </conditionalFormatting>
  <conditionalFormatting sqref="M9:M10">
    <cfRule type="cellIs" dxfId="3511" priority="109" operator="equal">
      <formula>"NI"</formula>
    </cfRule>
    <cfRule type="cellIs" dxfId="3510" priority="110" operator="equal">
      <formula>"N"</formula>
    </cfRule>
    <cfRule type="cellIs" dxfId="3509" priority="111" operator="equal">
      <formula>"P"</formula>
    </cfRule>
    <cfRule type="cellIs" dxfId="3508" priority="112" operator="equal">
      <formula>"J"</formula>
    </cfRule>
  </conditionalFormatting>
  <conditionalFormatting sqref="M11">
    <cfRule type="cellIs" dxfId="3507" priority="113" operator="equal">
      <formula>"NI"</formula>
    </cfRule>
    <cfRule type="cellIs" dxfId="3506" priority="114" operator="equal">
      <formula>"N"</formula>
    </cfRule>
    <cfRule type="cellIs" dxfId="3505" priority="115" operator="equal">
      <formula>"P"</formula>
    </cfRule>
    <cfRule type="cellIs" dxfId="3504" priority="116" operator="equal">
      <formula>"J"</formula>
    </cfRule>
  </conditionalFormatting>
  <conditionalFormatting sqref="M13:N18">
    <cfRule type="cellIs" dxfId="3503" priority="117" operator="equal">
      <formula>"NI"</formula>
    </cfRule>
    <cfRule type="cellIs" dxfId="3502" priority="118" operator="equal">
      <formula>"N"</formula>
    </cfRule>
    <cfRule type="cellIs" dxfId="3501" priority="119" operator="equal">
      <formula>"P"</formula>
    </cfRule>
    <cfRule type="cellIs" dxfId="3500" priority="120" operator="equal">
      <formula>"J"</formula>
    </cfRule>
  </conditionalFormatting>
  <conditionalFormatting sqref="M20:N25">
    <cfRule type="cellIs" dxfId="3499" priority="121" operator="equal">
      <formula>"NI"</formula>
    </cfRule>
    <cfRule type="cellIs" dxfId="3498" priority="122" operator="equal">
      <formula>"N"</formula>
    </cfRule>
    <cfRule type="cellIs" dxfId="3497" priority="123" operator="equal">
      <formula>"P"</formula>
    </cfRule>
    <cfRule type="cellIs" dxfId="3496" priority="124" operator="equal">
      <formula>"J"</formula>
    </cfRule>
  </conditionalFormatting>
  <conditionalFormatting sqref="N32:N33">
    <cfRule type="cellIs" dxfId="3495" priority="125" operator="equal">
      <formula>"NI"</formula>
    </cfRule>
    <cfRule type="cellIs" dxfId="3494" priority="126" operator="equal">
      <formula>"N"</formula>
    </cfRule>
    <cfRule type="cellIs" dxfId="3493" priority="127" operator="equal">
      <formula>"P"</formula>
    </cfRule>
    <cfRule type="cellIs" dxfId="3492" priority="128" operator="equal">
      <formula>"J"</formula>
    </cfRule>
  </conditionalFormatting>
  <conditionalFormatting sqref="N9:N11">
    <cfRule type="cellIs" dxfId="3491" priority="129" operator="equal">
      <formula>"NI"</formula>
    </cfRule>
    <cfRule type="cellIs" dxfId="3490" priority="130" operator="equal">
      <formula>"N"</formula>
    </cfRule>
    <cfRule type="cellIs" dxfId="3489" priority="131" operator="equal">
      <formula>"P"</formula>
    </cfRule>
    <cfRule type="cellIs" dxfId="3488" priority="132" operator="equal">
      <formula>"J"</formula>
    </cfRule>
  </conditionalFormatting>
  <conditionalFormatting sqref="O9:O11 O13:O18 O20:O25 O27:O29 O31:O33">
    <cfRule type="cellIs" dxfId="3487" priority="133" operator="equal">
      <formula>"NI"</formula>
    </cfRule>
    <cfRule type="cellIs" dxfId="3486" priority="134" operator="equal">
      <formula>"N"</formula>
    </cfRule>
    <cfRule type="cellIs" dxfId="3485" priority="135" operator="equal">
      <formula>"P"</formula>
    </cfRule>
    <cfRule type="cellIs" dxfId="3484" priority="136" operator="equal">
      <formula>"J"</formula>
    </cfRule>
  </conditionalFormatting>
  <conditionalFormatting sqref="J9:J11 J13:J18 J20:J25 J27:J29 J31:J33">
    <cfRule type="cellIs" dxfId="3483" priority="93" operator="equal">
      <formula>"NI"</formula>
    </cfRule>
    <cfRule type="cellIs" dxfId="3482" priority="94" operator="equal">
      <formula>"N"</formula>
    </cfRule>
    <cfRule type="cellIs" dxfId="3481" priority="95" operator="equal">
      <formula>"P"</formula>
    </cfRule>
    <cfRule type="cellIs" dxfId="3480" priority="96" operator="equal">
      <formula>"J"</formula>
    </cfRule>
  </conditionalFormatting>
  <conditionalFormatting sqref="K9:K11 K13:K18 K20:K25 K27:K29 K31:K33">
    <cfRule type="cellIs" dxfId="3479" priority="89" operator="equal">
      <formula>"NI"</formula>
    </cfRule>
    <cfRule type="cellIs" dxfId="3478" priority="90" operator="equal">
      <formula>"N"</formula>
    </cfRule>
    <cfRule type="cellIs" dxfId="3477" priority="91" operator="equal">
      <formula>"P"</formula>
    </cfRule>
    <cfRule type="cellIs" dxfId="3476" priority="92" operator="equal">
      <formula>"J"</formula>
    </cfRule>
  </conditionalFormatting>
  <conditionalFormatting sqref="L9:L11 L13:L16 L18 L20:L25 L27:L29 L32">
    <cfRule type="cellIs" dxfId="3475" priority="85" operator="equal">
      <formula>"NI"</formula>
    </cfRule>
    <cfRule type="cellIs" dxfId="3474" priority="86" operator="equal">
      <formula>"N"</formula>
    </cfRule>
    <cfRule type="cellIs" dxfId="3473" priority="87" operator="equal">
      <formula>"P"</formula>
    </cfRule>
    <cfRule type="cellIs" dxfId="3472" priority="88" operator="equal">
      <formula>"J"</formula>
    </cfRule>
  </conditionalFormatting>
  <conditionalFormatting sqref="D9:D11 D13:D18 D31:D32">
    <cfRule type="cellIs" dxfId="3471" priority="81" operator="equal">
      <formula>"NI"</formula>
    </cfRule>
    <cfRule type="cellIs" dxfId="3470" priority="82" operator="equal">
      <formula>"N"</formula>
    </cfRule>
    <cfRule type="cellIs" dxfId="3469" priority="83" operator="equal">
      <formula>"P"</formula>
    </cfRule>
    <cfRule type="cellIs" dxfId="3468" priority="84" operator="equal">
      <formula>"J"</formula>
    </cfRule>
  </conditionalFormatting>
  <conditionalFormatting sqref="E9:E10 E31:E32">
    <cfRule type="cellIs" dxfId="3467" priority="77" operator="equal">
      <formula>"NI"</formula>
    </cfRule>
    <cfRule type="cellIs" dxfId="3466" priority="78" operator="equal">
      <formula>"N"</formula>
    </cfRule>
    <cfRule type="cellIs" dxfId="3465" priority="79" operator="equal">
      <formula>"P"</formula>
    </cfRule>
    <cfRule type="cellIs" dxfId="3464" priority="80" operator="equal">
      <formula>"J"</formula>
    </cfRule>
  </conditionalFormatting>
  <conditionalFormatting sqref="F9:F10 F31:F32">
    <cfRule type="cellIs" dxfId="3463" priority="73" operator="equal">
      <formula>"NI"</formula>
    </cfRule>
    <cfRule type="cellIs" dxfId="3462" priority="74" operator="equal">
      <formula>"N"</formula>
    </cfRule>
    <cfRule type="cellIs" dxfId="3461" priority="75" operator="equal">
      <formula>"P"</formula>
    </cfRule>
    <cfRule type="cellIs" dxfId="3460" priority="76" operator="equal">
      <formula>"J"</formula>
    </cfRule>
  </conditionalFormatting>
  <conditionalFormatting sqref="I9:I11 I13:I18 I20:I25 I27:I29 I31:I32">
    <cfRule type="cellIs" dxfId="3459" priority="69" operator="equal">
      <formula>"NI"</formula>
    </cfRule>
    <cfRule type="cellIs" dxfId="3458" priority="70" operator="equal">
      <formula>"N"</formula>
    </cfRule>
    <cfRule type="cellIs" dxfId="3457" priority="71" operator="equal">
      <formula>"P"</formula>
    </cfRule>
    <cfRule type="cellIs" dxfId="3456" priority="72" operator="equal">
      <formula>"J"</formula>
    </cfRule>
  </conditionalFormatting>
  <conditionalFormatting sqref="I33">
    <cfRule type="cellIs" dxfId="3455" priority="65" operator="equal">
      <formula>"NI"</formula>
    </cfRule>
    <cfRule type="cellIs" dxfId="3454" priority="66" operator="equal">
      <formula>"N"</formula>
    </cfRule>
    <cfRule type="cellIs" dxfId="3453" priority="67" operator="equal">
      <formula>"P"</formula>
    </cfRule>
    <cfRule type="cellIs" dxfId="3452" priority="68" operator="equal">
      <formula>"J"</formula>
    </cfRule>
  </conditionalFormatting>
  <conditionalFormatting sqref="D33">
    <cfRule type="cellIs" dxfId="3451" priority="61" operator="equal">
      <formula>"NI"</formula>
    </cfRule>
    <cfRule type="cellIs" dxfId="3450" priority="62" operator="equal">
      <formula>"N"</formula>
    </cfRule>
    <cfRule type="cellIs" dxfId="3449" priority="63" operator="equal">
      <formula>"P"</formula>
    </cfRule>
    <cfRule type="cellIs" dxfId="3448" priority="64" operator="equal">
      <formula>"J"</formula>
    </cfRule>
  </conditionalFormatting>
  <conditionalFormatting sqref="E33">
    <cfRule type="cellIs" dxfId="3447" priority="57" operator="equal">
      <formula>"NI"</formula>
    </cfRule>
    <cfRule type="cellIs" dxfId="3446" priority="58" operator="equal">
      <formula>"N"</formula>
    </cfRule>
    <cfRule type="cellIs" dxfId="3445" priority="59" operator="equal">
      <formula>"P"</formula>
    </cfRule>
    <cfRule type="cellIs" dxfId="3444" priority="60" operator="equal">
      <formula>"J"</formula>
    </cfRule>
  </conditionalFormatting>
  <conditionalFormatting sqref="F33">
    <cfRule type="cellIs" dxfId="3443" priority="53" operator="equal">
      <formula>"NI"</formula>
    </cfRule>
    <cfRule type="cellIs" dxfId="3442" priority="54" operator="equal">
      <formula>"N"</formula>
    </cfRule>
    <cfRule type="cellIs" dxfId="3441" priority="55" operator="equal">
      <formula>"P"</formula>
    </cfRule>
    <cfRule type="cellIs" dxfId="3440" priority="56" operator="equal">
      <formula>"J"</formula>
    </cfRule>
  </conditionalFormatting>
  <conditionalFormatting sqref="E11">
    <cfRule type="cellIs" dxfId="3439" priority="49" operator="equal">
      <formula>"NI"</formula>
    </cfRule>
    <cfRule type="cellIs" dxfId="3438" priority="50" operator="equal">
      <formula>"N"</formula>
    </cfRule>
    <cfRule type="cellIs" dxfId="3437" priority="51" operator="equal">
      <formula>"P"</formula>
    </cfRule>
    <cfRule type="cellIs" dxfId="3436" priority="52" operator="equal">
      <formula>"J"</formula>
    </cfRule>
  </conditionalFormatting>
  <conditionalFormatting sqref="F11">
    <cfRule type="cellIs" dxfId="3435" priority="45" operator="equal">
      <formula>"NI"</formula>
    </cfRule>
    <cfRule type="cellIs" dxfId="3434" priority="46" operator="equal">
      <formula>"N"</formula>
    </cfRule>
    <cfRule type="cellIs" dxfId="3433" priority="47" operator="equal">
      <formula>"P"</formula>
    </cfRule>
    <cfRule type="cellIs" dxfId="3432" priority="48" operator="equal">
      <formula>"J"</formula>
    </cfRule>
  </conditionalFormatting>
  <conditionalFormatting sqref="E13:F18">
    <cfRule type="cellIs" dxfId="3431" priority="41" operator="equal">
      <formula>"NI"</formula>
    </cfRule>
    <cfRule type="cellIs" dxfId="3430" priority="42" operator="equal">
      <formula>"N"</formula>
    </cfRule>
    <cfRule type="cellIs" dxfId="3429" priority="43" operator="equal">
      <formula>"P"</formula>
    </cfRule>
    <cfRule type="cellIs" dxfId="3428" priority="44" operator="equal">
      <formula>"J"</formula>
    </cfRule>
  </conditionalFormatting>
  <conditionalFormatting sqref="D20:E25">
    <cfRule type="cellIs" dxfId="3427" priority="37" operator="equal">
      <formula>"NI"</formula>
    </cfRule>
    <cfRule type="cellIs" dxfId="3426" priority="38" operator="equal">
      <formula>"N"</formula>
    </cfRule>
    <cfRule type="cellIs" dxfId="3425" priority="39" operator="equal">
      <formula>"P"</formula>
    </cfRule>
    <cfRule type="cellIs" dxfId="3424" priority="40" operator="equal">
      <formula>"J"</formula>
    </cfRule>
  </conditionalFormatting>
  <conditionalFormatting sqref="F25">
    <cfRule type="cellIs" dxfId="3423" priority="33" operator="equal">
      <formula>"NI"</formula>
    </cfRule>
    <cfRule type="cellIs" dxfId="3422" priority="34" operator="equal">
      <formula>"N"</formula>
    </cfRule>
    <cfRule type="cellIs" dxfId="3421" priority="35" operator="equal">
      <formula>"P"</formula>
    </cfRule>
    <cfRule type="cellIs" dxfId="3420" priority="36" operator="equal">
      <formula>"J"</formula>
    </cfRule>
  </conditionalFormatting>
  <conditionalFormatting sqref="F20:F24">
    <cfRule type="cellIs" dxfId="3419" priority="29" operator="equal">
      <formula>"NI"</formula>
    </cfRule>
    <cfRule type="cellIs" dxfId="3418" priority="30" operator="equal">
      <formula>"N"</formula>
    </cfRule>
    <cfRule type="cellIs" dxfId="3417" priority="31" operator="equal">
      <formula>"P"</formula>
    </cfRule>
    <cfRule type="cellIs" dxfId="3416" priority="32" operator="equal">
      <formula>"J"</formula>
    </cfRule>
  </conditionalFormatting>
  <conditionalFormatting sqref="D27:E29">
    <cfRule type="cellIs" dxfId="3415" priority="25" operator="equal">
      <formula>"NI"</formula>
    </cfRule>
    <cfRule type="cellIs" dxfId="3414" priority="26" operator="equal">
      <formula>"N"</formula>
    </cfRule>
    <cfRule type="cellIs" dxfId="3413" priority="27" operator="equal">
      <formula>"P"</formula>
    </cfRule>
    <cfRule type="cellIs" dxfId="3412" priority="28" operator="equal">
      <formula>"J"</formula>
    </cfRule>
  </conditionalFormatting>
  <conditionalFormatting sqref="F27:F29">
    <cfRule type="cellIs" dxfId="3411" priority="21" operator="equal">
      <formula>"NI"</formula>
    </cfRule>
    <cfRule type="cellIs" dxfId="3410" priority="22" operator="equal">
      <formula>"N"</formula>
    </cfRule>
    <cfRule type="cellIs" dxfId="3409" priority="23" operator="equal">
      <formula>"P"</formula>
    </cfRule>
    <cfRule type="cellIs" dxfId="3408" priority="24" operator="equal">
      <formula>"J"</formula>
    </cfRule>
  </conditionalFormatting>
  <conditionalFormatting sqref="L17">
    <cfRule type="cellIs" dxfId="3407" priority="17" operator="equal">
      <formula>"NI"</formula>
    </cfRule>
    <cfRule type="cellIs" dxfId="3406" priority="18" operator="equal">
      <formula>"N"</formula>
    </cfRule>
    <cfRule type="cellIs" dxfId="3405" priority="19" operator="equal">
      <formula>"P"</formula>
    </cfRule>
    <cfRule type="cellIs" dxfId="3404" priority="20" operator="equal">
      <formula>"J"</formula>
    </cfRule>
  </conditionalFormatting>
  <conditionalFormatting sqref="L31">
    <cfRule type="cellIs" dxfId="3403" priority="13" operator="equal">
      <formula>"NI"</formula>
    </cfRule>
    <cfRule type="cellIs" dxfId="3402" priority="14" operator="equal">
      <formula>"N"</formula>
    </cfRule>
    <cfRule type="cellIs" dxfId="3401" priority="15" operator="equal">
      <formula>"P"</formula>
    </cfRule>
    <cfRule type="cellIs" dxfId="3400" priority="16" operator="equal">
      <formula>"J"</formula>
    </cfRule>
  </conditionalFormatting>
  <conditionalFormatting sqref="L33">
    <cfRule type="cellIs" dxfId="3399" priority="9" operator="equal">
      <formula>"NI"</formula>
    </cfRule>
    <cfRule type="cellIs" dxfId="3398" priority="10" operator="equal">
      <formula>"N"</formula>
    </cfRule>
    <cfRule type="cellIs" dxfId="3397" priority="11" operator="equal">
      <formula>"P"</formula>
    </cfRule>
    <cfRule type="cellIs" dxfId="3396" priority="12" operator="equal">
      <formula>"J"</formula>
    </cfRule>
  </conditionalFormatting>
  <conditionalFormatting sqref="G9:G11 G13:G18 G20:G25 G27:G29 G31:G33">
    <cfRule type="cellIs" dxfId="3395" priority="5" operator="equal">
      <formula>"NI"</formula>
    </cfRule>
    <cfRule type="cellIs" dxfId="3394" priority="6" operator="equal">
      <formula>"N"</formula>
    </cfRule>
    <cfRule type="cellIs" dxfId="3393" priority="7" operator="equal">
      <formula>"P"</formula>
    </cfRule>
    <cfRule type="cellIs" dxfId="3392" priority="8" operator="equal">
      <formula>"J"</formula>
    </cfRule>
  </conditionalFormatting>
  <conditionalFormatting sqref="H9:H11 H13:H18 H20:H25 H27:H29 H31:H33">
    <cfRule type="cellIs" dxfId="3391" priority="1" operator="equal">
      <formula>"NI"</formula>
    </cfRule>
    <cfRule type="cellIs" dxfId="3390" priority="2" operator="equal">
      <formula>"N"</formula>
    </cfRule>
    <cfRule type="cellIs" dxfId="3389" priority="3" operator="equal">
      <formula>"P"</formula>
    </cfRule>
    <cfRule type="cellIs" dxfId="338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3"/>
  <sheetViews>
    <sheetView topLeftCell="A4"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244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299</v>
      </c>
      <c r="E5" s="251" t="s">
        <v>171</v>
      </c>
      <c r="K5" s="440" t="s">
        <v>300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193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183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38"/>
      <c r="S9" s="239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183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38"/>
      <c r="S10" s="239"/>
      <c r="T10" s="240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183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0.62986111111111109</v>
      </c>
      <c r="T11" s="95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193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0.66111111111111109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183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0.45069444444444451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183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0.49305555555555558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183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0.63680555555555551</v>
      </c>
      <c r="T15" s="242" t="s">
        <v>213</v>
      </c>
    </row>
    <row r="16" spans="1:23" x14ac:dyDescent="0.25">
      <c r="A16" s="441"/>
      <c r="C16" s="259" t="s">
        <v>218</v>
      </c>
      <c r="D16" s="241"/>
      <c r="E16" s="241"/>
      <c r="F16" s="183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0.39930555555555558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183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0.72013888888888888</v>
      </c>
      <c r="T17" s="247" t="s">
        <v>213</v>
      </c>
    </row>
    <row r="18" spans="1:21" x14ac:dyDescent="0.25">
      <c r="A18" s="441"/>
      <c r="B18" s="254" t="s">
        <v>220</v>
      </c>
      <c r="C18" s="255"/>
      <c r="D18" s="237"/>
      <c r="E18" s="237"/>
      <c r="F18" s="193"/>
      <c r="G18" s="256">
        <v>2</v>
      </c>
      <c r="H18" s="237">
        <v>2</v>
      </c>
      <c r="I18" s="237">
        <v>2</v>
      </c>
      <c r="J18" s="237">
        <v>2</v>
      </c>
      <c r="K18" s="237">
        <v>2</v>
      </c>
      <c r="L18" s="237">
        <v>2</v>
      </c>
      <c r="M18" s="256">
        <v>2</v>
      </c>
      <c r="N18" s="256">
        <v>2</v>
      </c>
      <c r="O18" s="256">
        <v>2</v>
      </c>
      <c r="Q18" s="258" t="s">
        <v>25</v>
      </c>
      <c r="R18" s="245">
        <v>45681</v>
      </c>
      <c r="S18" s="245">
        <v>0.62222222222222223</v>
      </c>
      <c r="T18" s="245" t="s">
        <v>213</v>
      </c>
    </row>
    <row r="19" spans="1:21" x14ac:dyDescent="0.25">
      <c r="A19" s="441"/>
      <c r="C19" s="259" t="s">
        <v>222</v>
      </c>
      <c r="D19" s="241"/>
      <c r="E19" s="241"/>
      <c r="F19" s="183"/>
      <c r="G19" s="241" t="s">
        <v>200</v>
      </c>
      <c r="H19" s="241" t="s">
        <v>200</v>
      </c>
      <c r="I19" s="241" t="s">
        <v>200</v>
      </c>
      <c r="J19" s="241" t="s">
        <v>200</v>
      </c>
      <c r="K19" s="241" t="s">
        <v>200</v>
      </c>
      <c r="L19" s="241" t="s">
        <v>200</v>
      </c>
      <c r="M19" s="241" t="s">
        <v>200</v>
      </c>
      <c r="N19" s="241" t="s">
        <v>200</v>
      </c>
      <c r="O19" s="241" t="s">
        <v>200</v>
      </c>
      <c r="Q19" s="258" t="s">
        <v>26</v>
      </c>
      <c r="R19" s="261">
        <v>45712</v>
      </c>
      <c r="S19" s="262">
        <v>0.62083333333333335</v>
      </c>
      <c r="T19" s="263" t="s">
        <v>213</v>
      </c>
    </row>
    <row r="20" spans="1:21" ht="15.75" customHeight="1" thickBot="1" x14ac:dyDescent="0.3">
      <c r="A20" s="441"/>
      <c r="C20" s="259" t="s">
        <v>267</v>
      </c>
      <c r="D20" s="241"/>
      <c r="E20" s="241"/>
      <c r="F20" s="183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51" t="s">
        <v>224</v>
      </c>
    </row>
    <row r="21" spans="1:21" ht="15.75" customHeight="1" x14ac:dyDescent="0.25">
      <c r="A21" s="441"/>
      <c r="C21" s="259" t="s">
        <v>226</v>
      </c>
      <c r="D21" s="241"/>
      <c r="E21" s="241"/>
      <c r="F21" s="183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465"/>
      <c r="R21" s="466"/>
      <c r="S21" s="466"/>
      <c r="T21" s="466"/>
      <c r="U21" s="467"/>
    </row>
    <row r="22" spans="1:21" ht="15.75" customHeight="1" x14ac:dyDescent="0.25">
      <c r="A22" s="441"/>
      <c r="C22" s="259" t="s">
        <v>259</v>
      </c>
      <c r="D22" s="241"/>
      <c r="E22" s="241"/>
      <c r="F22" s="183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37"/>
      <c r="R22" s="381"/>
      <c r="S22" s="381"/>
      <c r="T22" s="381"/>
      <c r="U22" s="403"/>
    </row>
    <row r="23" spans="1:21" ht="15.75" customHeight="1" x14ac:dyDescent="0.25">
      <c r="A23" s="441"/>
      <c r="C23" s="259" t="s">
        <v>227</v>
      </c>
      <c r="D23" s="241"/>
      <c r="E23" s="241"/>
      <c r="F23" s="183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9"/>
      <c r="R23" s="423"/>
      <c r="S23" s="423"/>
      <c r="T23" s="423"/>
      <c r="U23" s="424"/>
    </row>
    <row r="24" spans="1:21" ht="15.75" customHeight="1" x14ac:dyDescent="0.25">
      <c r="A24" s="441"/>
      <c r="B24" s="254" t="s">
        <v>229</v>
      </c>
      <c r="C24" s="255"/>
      <c r="D24" s="237"/>
      <c r="E24" s="237"/>
      <c r="F24" s="193"/>
      <c r="G24" s="256">
        <v>2</v>
      </c>
      <c r="H24" s="237">
        <v>2</v>
      </c>
      <c r="I24" s="237">
        <v>2</v>
      </c>
      <c r="J24" s="237">
        <v>2</v>
      </c>
      <c r="K24" s="237">
        <v>2</v>
      </c>
      <c r="L24" s="237">
        <v>2</v>
      </c>
      <c r="M24" s="256">
        <v>2</v>
      </c>
      <c r="N24" s="256">
        <v>2</v>
      </c>
      <c r="O24" s="256">
        <v>2</v>
      </c>
      <c r="Q24" s="437"/>
      <c r="R24" s="381"/>
      <c r="S24" s="381"/>
      <c r="T24" s="381"/>
      <c r="U24" s="403"/>
    </row>
    <row r="25" spans="1:21" ht="15.75" customHeight="1" x14ac:dyDescent="0.25">
      <c r="A25" s="441"/>
      <c r="C25" s="259" t="s">
        <v>262</v>
      </c>
      <c r="D25" s="241"/>
      <c r="E25" s="241"/>
      <c r="F25" s="183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C26" s="264" t="s">
        <v>231</v>
      </c>
      <c r="D26" s="241"/>
      <c r="E26" s="241"/>
      <c r="F26" s="183"/>
      <c r="G26" s="241" t="s">
        <v>196</v>
      </c>
      <c r="H26" s="241" t="s">
        <v>200</v>
      </c>
      <c r="I26" s="241" t="s">
        <v>200</v>
      </c>
      <c r="J26" s="241" t="s">
        <v>200</v>
      </c>
      <c r="K26" s="241" t="s">
        <v>200</v>
      </c>
      <c r="L26" s="241" t="s">
        <v>200</v>
      </c>
      <c r="M26" s="241" t="s">
        <v>200</v>
      </c>
      <c r="N26" s="241" t="s">
        <v>200</v>
      </c>
      <c r="O26" s="241" t="s">
        <v>200</v>
      </c>
      <c r="Q26" s="437"/>
      <c r="R26" s="381"/>
      <c r="S26" s="381"/>
      <c r="T26" s="381"/>
      <c r="U26" s="403"/>
    </row>
    <row r="27" spans="1:21" ht="15.75" customHeight="1" x14ac:dyDescent="0.25">
      <c r="A27" s="333"/>
      <c r="C27" s="264" t="s">
        <v>254</v>
      </c>
      <c r="D27" s="241"/>
      <c r="E27" s="241"/>
      <c r="F27" s="183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7" t="s">
        <v>233</v>
      </c>
      <c r="B28" s="341"/>
      <c r="C28" s="341"/>
      <c r="D28" s="248"/>
      <c r="E28" s="248"/>
      <c r="F28" s="248"/>
      <c r="G28" s="265"/>
      <c r="H28" s="248"/>
      <c r="I28" s="248"/>
      <c r="J28" s="248"/>
      <c r="K28" s="248"/>
      <c r="L28" s="248"/>
      <c r="M28" s="265"/>
      <c r="N28" s="265"/>
      <c r="O28" s="265"/>
      <c r="Q28" s="437"/>
      <c r="R28" s="381"/>
      <c r="S28" s="381"/>
      <c r="T28" s="381"/>
      <c r="U28" s="403"/>
    </row>
    <row r="29" spans="1:21" ht="15.75" customHeight="1" x14ac:dyDescent="0.25">
      <c r="A29" s="255"/>
      <c r="C29" s="259" t="s">
        <v>83</v>
      </c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Q29" s="437"/>
      <c r="R29" s="381"/>
      <c r="S29" s="381"/>
      <c r="T29" s="381"/>
      <c r="U29" s="403"/>
    </row>
    <row r="30" spans="1:21" ht="15.75" customHeight="1" x14ac:dyDescent="0.25">
      <c r="A30" s="255"/>
      <c r="C30" s="264" t="s">
        <v>234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Q30" s="437"/>
      <c r="R30" s="381"/>
      <c r="S30" s="381"/>
      <c r="T30" s="381"/>
      <c r="U30" s="403"/>
    </row>
    <row r="31" spans="1:21" ht="15.75" customHeight="1" x14ac:dyDescent="0.25">
      <c r="A31" s="255"/>
      <c r="C31" s="266" t="s">
        <v>85</v>
      </c>
      <c r="D31" s="267"/>
      <c r="E31" s="267"/>
      <c r="F31" s="267"/>
      <c r="G31" s="241"/>
      <c r="H31" s="241"/>
      <c r="I31" s="241"/>
      <c r="J31" s="241"/>
      <c r="K31" s="241"/>
      <c r="L31" s="267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thickBot="1" x14ac:dyDescent="0.3">
      <c r="A32" s="449" t="s">
        <v>235</v>
      </c>
      <c r="B32" s="341"/>
      <c r="C32" s="341"/>
      <c r="D32" s="249"/>
      <c r="E32" s="249"/>
      <c r="F32" s="249"/>
      <c r="G32" s="249" t="s">
        <v>240</v>
      </c>
      <c r="H32" s="249" t="s">
        <v>240</v>
      </c>
      <c r="I32" s="249" t="s">
        <v>240</v>
      </c>
      <c r="J32" s="249" t="s">
        <v>240</v>
      </c>
      <c r="K32" s="249" t="s">
        <v>240</v>
      </c>
      <c r="L32" s="249" t="s">
        <v>240</v>
      </c>
      <c r="M32" s="268" t="s">
        <v>240</v>
      </c>
      <c r="N32" s="268" t="s">
        <v>240</v>
      </c>
      <c r="O32" s="268" t="s">
        <v>240</v>
      </c>
      <c r="Q32" s="445"/>
      <c r="R32" s="400"/>
      <c r="S32" s="400"/>
      <c r="T32" s="400"/>
      <c r="U32" s="401"/>
    </row>
    <row r="33" spans="1:1" ht="15.75" customHeight="1" x14ac:dyDescent="0.25">
      <c r="A33" s="269" t="s">
        <v>241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23">
    <mergeCell ref="A7:C7"/>
    <mergeCell ref="A2:O2"/>
    <mergeCell ref="A8:A27"/>
    <mergeCell ref="A32:C32"/>
    <mergeCell ref="Q29:U29"/>
    <mergeCell ref="Q23:U23"/>
    <mergeCell ref="Q26:U26"/>
    <mergeCell ref="A28:C28"/>
    <mergeCell ref="Q31:U31"/>
    <mergeCell ref="A5:B5"/>
    <mergeCell ref="Q22:U22"/>
    <mergeCell ref="Q27:U27"/>
    <mergeCell ref="Q30:U30"/>
    <mergeCell ref="A4:B4"/>
    <mergeCell ref="Q32:U32"/>
    <mergeCell ref="A6:O6"/>
    <mergeCell ref="Q6:T6"/>
    <mergeCell ref="Q25:U25"/>
    <mergeCell ref="Q21:U21"/>
    <mergeCell ref="Q28:U28"/>
    <mergeCell ref="I4:O4"/>
    <mergeCell ref="Q24:U24"/>
    <mergeCell ref="K5:O5"/>
  </mergeCells>
  <conditionalFormatting sqref="M25:N27 M29:N29">
    <cfRule type="cellIs" dxfId="3387" priority="73" operator="equal">
      <formula>"NI"</formula>
    </cfRule>
    <cfRule type="cellIs" dxfId="3386" priority="74" operator="equal">
      <formula>"N"</formula>
    </cfRule>
    <cfRule type="cellIs" dxfId="3385" priority="75" operator="equal">
      <formula>"P"</formula>
    </cfRule>
    <cfRule type="cellIs" dxfId="3384" priority="76" operator="equal">
      <formula>"J"</formula>
    </cfRule>
  </conditionalFormatting>
  <conditionalFormatting sqref="M30:M31">
    <cfRule type="cellIs" dxfId="3383" priority="77" operator="equal">
      <formula>"NI"</formula>
    </cfRule>
    <cfRule type="cellIs" dxfId="3382" priority="78" operator="equal">
      <formula>"N"</formula>
    </cfRule>
    <cfRule type="cellIs" dxfId="3381" priority="79" operator="equal">
      <formula>"P"</formula>
    </cfRule>
    <cfRule type="cellIs" dxfId="3380" priority="80" operator="equal">
      <formula>"J"</formula>
    </cfRule>
  </conditionalFormatting>
  <conditionalFormatting sqref="M9:M10">
    <cfRule type="cellIs" dxfId="3379" priority="81" operator="equal">
      <formula>"NI"</formula>
    </cfRule>
    <cfRule type="cellIs" dxfId="3378" priority="82" operator="equal">
      <formula>"N"</formula>
    </cfRule>
    <cfRule type="cellIs" dxfId="3377" priority="83" operator="equal">
      <formula>"P"</formula>
    </cfRule>
    <cfRule type="cellIs" dxfId="3376" priority="84" operator="equal">
      <formula>"J"</formula>
    </cfRule>
  </conditionalFormatting>
  <conditionalFormatting sqref="M11">
    <cfRule type="cellIs" dxfId="3375" priority="85" operator="equal">
      <formula>"NI"</formula>
    </cfRule>
    <cfRule type="cellIs" dxfId="3374" priority="86" operator="equal">
      <formula>"N"</formula>
    </cfRule>
    <cfRule type="cellIs" dxfId="3373" priority="87" operator="equal">
      <formula>"P"</formula>
    </cfRule>
    <cfRule type="cellIs" dxfId="3372" priority="88" operator="equal">
      <formula>"J"</formula>
    </cfRule>
  </conditionalFormatting>
  <conditionalFormatting sqref="M13:N17">
    <cfRule type="cellIs" dxfId="3371" priority="89" operator="equal">
      <formula>"NI"</formula>
    </cfRule>
    <cfRule type="cellIs" dxfId="3370" priority="90" operator="equal">
      <formula>"N"</formula>
    </cfRule>
    <cfRule type="cellIs" dxfId="3369" priority="91" operator="equal">
      <formula>"P"</formula>
    </cfRule>
    <cfRule type="cellIs" dxfId="3368" priority="92" operator="equal">
      <formula>"J"</formula>
    </cfRule>
  </conditionalFormatting>
  <conditionalFormatting sqref="M19:N23">
    <cfRule type="cellIs" dxfId="3367" priority="93" operator="equal">
      <formula>"NI"</formula>
    </cfRule>
    <cfRule type="cellIs" dxfId="3366" priority="94" operator="equal">
      <formula>"N"</formula>
    </cfRule>
    <cfRule type="cellIs" dxfId="3365" priority="95" operator="equal">
      <formula>"P"</formula>
    </cfRule>
    <cfRule type="cellIs" dxfId="3364" priority="96" operator="equal">
      <formula>"J"</formula>
    </cfRule>
  </conditionalFormatting>
  <conditionalFormatting sqref="N30:N31">
    <cfRule type="cellIs" dxfId="3363" priority="97" operator="equal">
      <formula>"NI"</formula>
    </cfRule>
    <cfRule type="cellIs" dxfId="3362" priority="98" operator="equal">
      <formula>"N"</formula>
    </cfRule>
    <cfRule type="cellIs" dxfId="3361" priority="99" operator="equal">
      <formula>"P"</formula>
    </cfRule>
    <cfRule type="cellIs" dxfId="3360" priority="100" operator="equal">
      <formula>"J"</formula>
    </cfRule>
  </conditionalFormatting>
  <conditionalFormatting sqref="N9:N11">
    <cfRule type="cellIs" dxfId="3359" priority="101" operator="equal">
      <formula>"NI"</formula>
    </cfRule>
    <cfRule type="cellIs" dxfId="3358" priority="102" operator="equal">
      <formula>"N"</formula>
    </cfRule>
    <cfRule type="cellIs" dxfId="3357" priority="103" operator="equal">
      <formula>"P"</formula>
    </cfRule>
    <cfRule type="cellIs" dxfId="3356" priority="104" operator="equal">
      <formula>"J"</formula>
    </cfRule>
  </conditionalFormatting>
  <conditionalFormatting sqref="O9:O11 O13:O17 O19:O23 O25:O27 O29:O31">
    <cfRule type="cellIs" dxfId="3355" priority="105" operator="equal">
      <formula>"NI"</formula>
    </cfRule>
    <cfRule type="cellIs" dxfId="3354" priority="106" operator="equal">
      <formula>"N"</formula>
    </cfRule>
    <cfRule type="cellIs" dxfId="3353" priority="107" operator="equal">
      <formula>"P"</formula>
    </cfRule>
    <cfRule type="cellIs" dxfId="3352" priority="108" operator="equal">
      <formula>"J"</formula>
    </cfRule>
  </conditionalFormatting>
  <conditionalFormatting sqref="J9:J11 J13:J17 J19:J23 J25:J27 J29:J31">
    <cfRule type="cellIs" dxfId="3351" priority="65" operator="equal">
      <formula>"NI"</formula>
    </cfRule>
    <cfRule type="cellIs" dxfId="3350" priority="66" operator="equal">
      <formula>"N"</formula>
    </cfRule>
    <cfRule type="cellIs" dxfId="3349" priority="67" operator="equal">
      <formula>"P"</formula>
    </cfRule>
    <cfRule type="cellIs" dxfId="3348" priority="68" operator="equal">
      <formula>"J"</formula>
    </cfRule>
  </conditionalFormatting>
  <conditionalFormatting sqref="K9:K11 K13:K17 K19:K23 K25:K27 K29:K31">
    <cfRule type="cellIs" dxfId="3347" priority="61" operator="equal">
      <formula>"NI"</formula>
    </cfRule>
    <cfRule type="cellIs" dxfId="3346" priority="62" operator="equal">
      <formula>"N"</formula>
    </cfRule>
    <cfRule type="cellIs" dxfId="3345" priority="63" operator="equal">
      <formula>"P"</formula>
    </cfRule>
    <cfRule type="cellIs" dxfId="3344" priority="64" operator="equal">
      <formula>"J"</formula>
    </cfRule>
  </conditionalFormatting>
  <conditionalFormatting sqref="L9:L11 L13:L16 L19:L23 L25:L27 L30">
    <cfRule type="cellIs" dxfId="3343" priority="57" operator="equal">
      <formula>"NI"</formula>
    </cfRule>
    <cfRule type="cellIs" dxfId="3342" priority="58" operator="equal">
      <formula>"N"</formula>
    </cfRule>
    <cfRule type="cellIs" dxfId="3341" priority="59" operator="equal">
      <formula>"P"</formula>
    </cfRule>
    <cfRule type="cellIs" dxfId="3340" priority="60" operator="equal">
      <formula>"J"</formula>
    </cfRule>
  </conditionalFormatting>
  <conditionalFormatting sqref="D9:D11 D13:D17 D19:D23 D25:D27 D29:D30">
    <cfRule type="cellIs" dxfId="3339" priority="53" operator="equal">
      <formula>"NI"</formula>
    </cfRule>
    <cfRule type="cellIs" dxfId="3338" priority="54" operator="equal">
      <formula>"N"</formula>
    </cfRule>
    <cfRule type="cellIs" dxfId="3337" priority="55" operator="equal">
      <formula>"P"</formula>
    </cfRule>
    <cfRule type="cellIs" dxfId="3336" priority="56" operator="equal">
      <formula>"J"</formula>
    </cfRule>
  </conditionalFormatting>
  <conditionalFormatting sqref="E9:E11 E13:E17 E19:E23 E25:E27 E29:E30">
    <cfRule type="cellIs" dxfId="3335" priority="49" operator="equal">
      <formula>"NI"</formula>
    </cfRule>
    <cfRule type="cellIs" dxfId="3334" priority="50" operator="equal">
      <formula>"N"</formula>
    </cfRule>
    <cfRule type="cellIs" dxfId="3333" priority="51" operator="equal">
      <formula>"P"</formula>
    </cfRule>
    <cfRule type="cellIs" dxfId="3332" priority="52" operator="equal">
      <formula>"J"</formula>
    </cfRule>
  </conditionalFormatting>
  <conditionalFormatting sqref="F29:F30">
    <cfRule type="cellIs" dxfId="3331" priority="45" operator="equal">
      <formula>"NI"</formula>
    </cfRule>
    <cfRule type="cellIs" dxfId="3330" priority="46" operator="equal">
      <formula>"N"</formula>
    </cfRule>
    <cfRule type="cellIs" dxfId="3329" priority="47" operator="equal">
      <formula>"P"</formula>
    </cfRule>
    <cfRule type="cellIs" dxfId="3328" priority="48" operator="equal">
      <formula>"J"</formula>
    </cfRule>
  </conditionalFormatting>
  <conditionalFormatting sqref="I9:I11 I13:I17 I19:I23 I25:I27 I29:I30">
    <cfRule type="cellIs" dxfId="3327" priority="41" operator="equal">
      <formula>"NI"</formula>
    </cfRule>
    <cfRule type="cellIs" dxfId="3326" priority="42" operator="equal">
      <formula>"N"</formula>
    </cfRule>
    <cfRule type="cellIs" dxfId="3325" priority="43" operator="equal">
      <formula>"P"</formula>
    </cfRule>
    <cfRule type="cellIs" dxfId="3324" priority="44" operator="equal">
      <formula>"J"</formula>
    </cfRule>
  </conditionalFormatting>
  <conditionalFormatting sqref="I31">
    <cfRule type="cellIs" dxfId="3323" priority="37" operator="equal">
      <formula>"NI"</formula>
    </cfRule>
    <cfRule type="cellIs" dxfId="3322" priority="38" operator="equal">
      <formula>"N"</formula>
    </cfRule>
    <cfRule type="cellIs" dxfId="3321" priority="39" operator="equal">
      <formula>"P"</formula>
    </cfRule>
    <cfRule type="cellIs" dxfId="3320" priority="40" operator="equal">
      <formula>"J"</formula>
    </cfRule>
  </conditionalFormatting>
  <conditionalFormatting sqref="D31">
    <cfRule type="cellIs" dxfId="3319" priority="33" operator="equal">
      <formula>"NI"</formula>
    </cfRule>
    <cfRule type="cellIs" dxfId="3318" priority="34" operator="equal">
      <formula>"N"</formula>
    </cfRule>
    <cfRule type="cellIs" dxfId="3317" priority="35" operator="equal">
      <formula>"P"</formula>
    </cfRule>
    <cfRule type="cellIs" dxfId="3316" priority="36" operator="equal">
      <formula>"J"</formula>
    </cfRule>
  </conditionalFormatting>
  <conditionalFormatting sqref="E31">
    <cfRule type="cellIs" dxfId="3315" priority="29" operator="equal">
      <formula>"NI"</formula>
    </cfRule>
    <cfRule type="cellIs" dxfId="3314" priority="30" operator="equal">
      <formula>"N"</formula>
    </cfRule>
    <cfRule type="cellIs" dxfId="3313" priority="31" operator="equal">
      <formula>"P"</formula>
    </cfRule>
    <cfRule type="cellIs" dxfId="3312" priority="32" operator="equal">
      <formula>"J"</formula>
    </cfRule>
  </conditionalFormatting>
  <conditionalFormatting sqref="F31">
    <cfRule type="cellIs" dxfId="3311" priority="25" operator="equal">
      <formula>"NI"</formula>
    </cfRule>
    <cfRule type="cellIs" dxfId="3310" priority="26" operator="equal">
      <formula>"N"</formula>
    </cfRule>
    <cfRule type="cellIs" dxfId="3309" priority="27" operator="equal">
      <formula>"P"</formula>
    </cfRule>
    <cfRule type="cellIs" dxfId="3308" priority="28" operator="equal">
      <formula>"J"</formula>
    </cfRule>
  </conditionalFormatting>
  <conditionalFormatting sqref="L17">
    <cfRule type="cellIs" dxfId="3307" priority="21" operator="equal">
      <formula>"NI"</formula>
    </cfRule>
    <cfRule type="cellIs" dxfId="3306" priority="22" operator="equal">
      <formula>"N"</formula>
    </cfRule>
    <cfRule type="cellIs" dxfId="3305" priority="23" operator="equal">
      <formula>"P"</formula>
    </cfRule>
    <cfRule type="cellIs" dxfId="3304" priority="24" operator="equal">
      <formula>"J"</formula>
    </cfRule>
  </conditionalFormatting>
  <conditionalFormatting sqref="L29">
    <cfRule type="cellIs" dxfId="3303" priority="17" operator="equal">
      <formula>"NI"</formula>
    </cfRule>
    <cfRule type="cellIs" dxfId="3302" priority="18" operator="equal">
      <formula>"N"</formula>
    </cfRule>
    <cfRule type="cellIs" dxfId="3301" priority="19" operator="equal">
      <formula>"P"</formula>
    </cfRule>
    <cfRule type="cellIs" dxfId="3300" priority="20" operator="equal">
      <formula>"J"</formula>
    </cfRule>
  </conditionalFormatting>
  <conditionalFormatting sqref="L31">
    <cfRule type="cellIs" dxfId="3299" priority="13" operator="equal">
      <formula>"NI"</formula>
    </cfRule>
    <cfRule type="cellIs" dxfId="3298" priority="14" operator="equal">
      <formula>"N"</formula>
    </cfRule>
    <cfRule type="cellIs" dxfId="3297" priority="15" operator="equal">
      <formula>"P"</formula>
    </cfRule>
    <cfRule type="cellIs" dxfId="3296" priority="16" operator="equal">
      <formula>"J"</formula>
    </cfRule>
  </conditionalFormatting>
  <conditionalFormatting sqref="F9:F11 F13:F17 F19:F23 F25:F27">
    <cfRule type="cellIs" dxfId="3295" priority="9" operator="equal">
      <formula>"NI"</formula>
    </cfRule>
    <cfRule type="cellIs" dxfId="3294" priority="10" operator="equal">
      <formula>"N"</formula>
    </cfRule>
    <cfRule type="cellIs" dxfId="3293" priority="11" operator="equal">
      <formula>"P"</formula>
    </cfRule>
    <cfRule type="cellIs" dxfId="3292" priority="12" operator="equal">
      <formula>"J"</formula>
    </cfRule>
  </conditionalFormatting>
  <conditionalFormatting sqref="G9:G11 G13:G17 G19:G23 G25:G27 G29:G31">
    <cfRule type="cellIs" dxfId="3291" priority="5" operator="equal">
      <formula>"NI"</formula>
    </cfRule>
    <cfRule type="cellIs" dxfId="3290" priority="6" operator="equal">
      <formula>"N"</formula>
    </cfRule>
    <cfRule type="cellIs" dxfId="3289" priority="7" operator="equal">
      <formula>"P"</formula>
    </cfRule>
    <cfRule type="cellIs" dxfId="3288" priority="8" operator="equal">
      <formula>"J"</formula>
    </cfRule>
  </conditionalFormatting>
  <conditionalFormatting sqref="H9:H11 H13:H17 H19:H23 H25:H27 H29:H31">
    <cfRule type="cellIs" dxfId="3287" priority="1" operator="equal">
      <formula>"NI"</formula>
    </cfRule>
    <cfRule type="cellIs" dxfId="3286" priority="2" operator="equal">
      <formula>"N"</formula>
    </cfRule>
    <cfRule type="cellIs" dxfId="3285" priority="3" operator="equal">
      <formula>"P"</formula>
    </cfRule>
    <cfRule type="cellIs" dxfId="328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T15" sqref="T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136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301</v>
      </c>
      <c r="E5" s="251" t="s">
        <v>171</v>
      </c>
      <c r="K5" s="440" t="s">
        <v>300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43"/>
      <c r="S9" s="244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43"/>
      <c r="S10" s="244"/>
      <c r="T10" s="242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0.63124999999999998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0.66180555555555554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0.45069444444444451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0.49375000000000002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0.63749999999999996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0.39930555555555558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0.72013888888888888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0.62291666666666667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>
        <v>0.62152777777777779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41"/>
      <c r="E33" s="241"/>
      <c r="F33" s="241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283" priority="57" operator="equal">
      <formula>"NI"</formula>
    </cfRule>
    <cfRule type="cellIs" dxfId="3282" priority="58" operator="equal">
      <formula>"N"</formula>
    </cfRule>
    <cfRule type="cellIs" dxfId="3281" priority="59" operator="equal">
      <formula>"P"</formula>
    </cfRule>
    <cfRule type="cellIs" dxfId="3280" priority="60" operator="equal">
      <formula>"J"</formula>
    </cfRule>
  </conditionalFormatting>
  <conditionalFormatting sqref="M32:M33">
    <cfRule type="cellIs" dxfId="3279" priority="61" operator="equal">
      <formula>"NI"</formula>
    </cfRule>
    <cfRule type="cellIs" dxfId="3278" priority="62" operator="equal">
      <formula>"N"</formula>
    </cfRule>
    <cfRule type="cellIs" dxfId="3277" priority="63" operator="equal">
      <formula>"P"</formula>
    </cfRule>
    <cfRule type="cellIs" dxfId="3276" priority="64" operator="equal">
      <formula>"J"</formula>
    </cfRule>
  </conditionalFormatting>
  <conditionalFormatting sqref="M9:M10">
    <cfRule type="cellIs" dxfId="3275" priority="65" operator="equal">
      <formula>"NI"</formula>
    </cfRule>
    <cfRule type="cellIs" dxfId="3274" priority="66" operator="equal">
      <formula>"N"</formula>
    </cfRule>
    <cfRule type="cellIs" dxfId="3273" priority="67" operator="equal">
      <formula>"P"</formula>
    </cfRule>
    <cfRule type="cellIs" dxfId="3272" priority="68" operator="equal">
      <formula>"J"</formula>
    </cfRule>
  </conditionalFormatting>
  <conditionalFormatting sqref="M11">
    <cfRule type="cellIs" dxfId="3271" priority="69" operator="equal">
      <formula>"NI"</formula>
    </cfRule>
    <cfRule type="cellIs" dxfId="3270" priority="70" operator="equal">
      <formula>"N"</formula>
    </cfRule>
    <cfRule type="cellIs" dxfId="3269" priority="71" operator="equal">
      <formula>"P"</formula>
    </cfRule>
    <cfRule type="cellIs" dxfId="3268" priority="72" operator="equal">
      <formula>"J"</formula>
    </cfRule>
  </conditionalFormatting>
  <conditionalFormatting sqref="M13:N18">
    <cfRule type="cellIs" dxfId="3267" priority="73" operator="equal">
      <formula>"NI"</formula>
    </cfRule>
    <cfRule type="cellIs" dxfId="3266" priority="74" operator="equal">
      <formula>"N"</formula>
    </cfRule>
    <cfRule type="cellIs" dxfId="3265" priority="75" operator="equal">
      <formula>"P"</formula>
    </cfRule>
    <cfRule type="cellIs" dxfId="3264" priority="76" operator="equal">
      <formula>"J"</formula>
    </cfRule>
  </conditionalFormatting>
  <conditionalFormatting sqref="M20:N25">
    <cfRule type="cellIs" dxfId="3263" priority="77" operator="equal">
      <formula>"NI"</formula>
    </cfRule>
    <cfRule type="cellIs" dxfId="3262" priority="78" operator="equal">
      <formula>"N"</formula>
    </cfRule>
    <cfRule type="cellIs" dxfId="3261" priority="79" operator="equal">
      <formula>"P"</formula>
    </cfRule>
    <cfRule type="cellIs" dxfId="3260" priority="80" operator="equal">
      <formula>"J"</formula>
    </cfRule>
  </conditionalFormatting>
  <conditionalFormatting sqref="N32:N33">
    <cfRule type="cellIs" dxfId="3259" priority="81" operator="equal">
      <formula>"NI"</formula>
    </cfRule>
    <cfRule type="cellIs" dxfId="3258" priority="82" operator="equal">
      <formula>"N"</formula>
    </cfRule>
    <cfRule type="cellIs" dxfId="3257" priority="83" operator="equal">
      <formula>"P"</formula>
    </cfRule>
    <cfRule type="cellIs" dxfId="3256" priority="84" operator="equal">
      <formula>"J"</formula>
    </cfRule>
  </conditionalFormatting>
  <conditionalFormatting sqref="N9:N11">
    <cfRule type="cellIs" dxfId="3255" priority="85" operator="equal">
      <formula>"NI"</formula>
    </cfRule>
    <cfRule type="cellIs" dxfId="3254" priority="86" operator="equal">
      <formula>"N"</formula>
    </cfRule>
    <cfRule type="cellIs" dxfId="3253" priority="87" operator="equal">
      <formula>"P"</formula>
    </cfRule>
    <cfRule type="cellIs" dxfId="3252" priority="88" operator="equal">
      <formula>"J"</formula>
    </cfRule>
  </conditionalFormatting>
  <conditionalFormatting sqref="O9:O11 O13:O18 O20:O25 O27:O29 O31:O33">
    <cfRule type="cellIs" dxfId="3251" priority="89" operator="equal">
      <formula>"NI"</formula>
    </cfRule>
    <cfRule type="cellIs" dxfId="3250" priority="90" operator="equal">
      <formula>"N"</formula>
    </cfRule>
    <cfRule type="cellIs" dxfId="3249" priority="91" operator="equal">
      <formula>"P"</formula>
    </cfRule>
    <cfRule type="cellIs" dxfId="3248" priority="92" operator="equal">
      <formula>"J"</formula>
    </cfRule>
  </conditionalFormatting>
  <conditionalFormatting sqref="J9:J11 J13:J18 J20:J25 J27:J29 J31:J33">
    <cfRule type="cellIs" dxfId="3247" priority="49" operator="equal">
      <formula>"NI"</formula>
    </cfRule>
    <cfRule type="cellIs" dxfId="3246" priority="50" operator="equal">
      <formula>"N"</formula>
    </cfRule>
    <cfRule type="cellIs" dxfId="3245" priority="51" operator="equal">
      <formula>"P"</formula>
    </cfRule>
    <cfRule type="cellIs" dxfId="3244" priority="52" operator="equal">
      <formula>"J"</formula>
    </cfRule>
  </conditionalFormatting>
  <conditionalFormatting sqref="K9:K11 K13:K18 K20:K25 K27:K29 K31:K33">
    <cfRule type="cellIs" dxfId="3243" priority="45" operator="equal">
      <formula>"NI"</formula>
    </cfRule>
    <cfRule type="cellIs" dxfId="3242" priority="46" operator="equal">
      <formula>"N"</formula>
    </cfRule>
    <cfRule type="cellIs" dxfId="3241" priority="47" operator="equal">
      <formula>"P"</formula>
    </cfRule>
    <cfRule type="cellIs" dxfId="3240" priority="48" operator="equal">
      <formula>"J"</formula>
    </cfRule>
  </conditionalFormatting>
  <conditionalFormatting sqref="L9:L11 L13:L18 L20:L25 L27:L29">
    <cfRule type="cellIs" dxfId="3239" priority="41" operator="equal">
      <formula>"NI"</formula>
    </cfRule>
    <cfRule type="cellIs" dxfId="3238" priority="42" operator="equal">
      <formula>"N"</formula>
    </cfRule>
    <cfRule type="cellIs" dxfId="3237" priority="43" operator="equal">
      <formula>"P"</formula>
    </cfRule>
    <cfRule type="cellIs" dxfId="3236" priority="44" operator="equal">
      <formula>"J"</formula>
    </cfRule>
  </conditionalFormatting>
  <conditionalFormatting sqref="D9:D11 D13:D18 D20:D25 D27:D29 D31:D33">
    <cfRule type="cellIs" dxfId="3235" priority="37" operator="equal">
      <formula>"NI"</formula>
    </cfRule>
    <cfRule type="cellIs" dxfId="3234" priority="38" operator="equal">
      <formula>"N"</formula>
    </cfRule>
    <cfRule type="cellIs" dxfId="3233" priority="39" operator="equal">
      <formula>"P"</formula>
    </cfRule>
    <cfRule type="cellIs" dxfId="3232" priority="40" operator="equal">
      <formula>"J"</formula>
    </cfRule>
  </conditionalFormatting>
  <conditionalFormatting sqref="E9:E11 E13:E18 E20:E25 E27:E29 E31:E33">
    <cfRule type="cellIs" dxfId="3231" priority="33" operator="equal">
      <formula>"NI"</formula>
    </cfRule>
    <cfRule type="cellIs" dxfId="3230" priority="34" operator="equal">
      <formula>"N"</formula>
    </cfRule>
    <cfRule type="cellIs" dxfId="3229" priority="35" operator="equal">
      <formula>"P"</formula>
    </cfRule>
    <cfRule type="cellIs" dxfId="3228" priority="36" operator="equal">
      <formula>"J"</formula>
    </cfRule>
  </conditionalFormatting>
  <conditionalFormatting sqref="F9:F11 F13:F18 F20:F25 F27:F29 F31:F33">
    <cfRule type="cellIs" dxfId="3227" priority="29" operator="equal">
      <formula>"NI"</formula>
    </cfRule>
    <cfRule type="cellIs" dxfId="3226" priority="30" operator="equal">
      <formula>"N"</formula>
    </cfRule>
    <cfRule type="cellIs" dxfId="3225" priority="31" operator="equal">
      <formula>"P"</formula>
    </cfRule>
    <cfRule type="cellIs" dxfId="3224" priority="32" operator="equal">
      <formula>"J"</formula>
    </cfRule>
  </conditionalFormatting>
  <conditionalFormatting sqref="I9:I11 I13:I18 I20:I25 I27:I29 I31:I32">
    <cfRule type="cellIs" dxfId="3223" priority="25" operator="equal">
      <formula>"NI"</formula>
    </cfRule>
    <cfRule type="cellIs" dxfId="3222" priority="26" operator="equal">
      <formula>"N"</formula>
    </cfRule>
    <cfRule type="cellIs" dxfId="3221" priority="27" operator="equal">
      <formula>"P"</formula>
    </cfRule>
    <cfRule type="cellIs" dxfId="3220" priority="28" operator="equal">
      <formula>"J"</formula>
    </cfRule>
  </conditionalFormatting>
  <conditionalFormatting sqref="I33">
    <cfRule type="cellIs" dxfId="3219" priority="21" operator="equal">
      <formula>"NI"</formula>
    </cfRule>
    <cfRule type="cellIs" dxfId="3218" priority="22" operator="equal">
      <formula>"N"</formula>
    </cfRule>
    <cfRule type="cellIs" dxfId="3217" priority="23" operator="equal">
      <formula>"P"</formula>
    </cfRule>
    <cfRule type="cellIs" dxfId="3216" priority="24" operator="equal">
      <formula>"J"</formula>
    </cfRule>
  </conditionalFormatting>
  <conditionalFormatting sqref="L32">
    <cfRule type="cellIs" dxfId="3215" priority="17" operator="equal">
      <formula>"NI"</formula>
    </cfRule>
    <cfRule type="cellIs" dxfId="3214" priority="18" operator="equal">
      <formula>"N"</formula>
    </cfRule>
    <cfRule type="cellIs" dxfId="3213" priority="19" operator="equal">
      <formula>"P"</formula>
    </cfRule>
    <cfRule type="cellIs" dxfId="3212" priority="20" operator="equal">
      <formula>"J"</formula>
    </cfRule>
  </conditionalFormatting>
  <conditionalFormatting sqref="L31">
    <cfRule type="cellIs" dxfId="3211" priority="13" operator="equal">
      <formula>"NI"</formula>
    </cfRule>
    <cfRule type="cellIs" dxfId="3210" priority="14" operator="equal">
      <formula>"N"</formula>
    </cfRule>
    <cfRule type="cellIs" dxfId="3209" priority="15" operator="equal">
      <formula>"P"</formula>
    </cfRule>
    <cfRule type="cellIs" dxfId="3208" priority="16" operator="equal">
      <formula>"J"</formula>
    </cfRule>
  </conditionalFormatting>
  <conditionalFormatting sqref="L33">
    <cfRule type="cellIs" dxfId="3207" priority="9" operator="equal">
      <formula>"NI"</formula>
    </cfRule>
    <cfRule type="cellIs" dxfId="3206" priority="10" operator="equal">
      <formula>"N"</formula>
    </cfRule>
    <cfRule type="cellIs" dxfId="3205" priority="11" operator="equal">
      <formula>"P"</formula>
    </cfRule>
    <cfRule type="cellIs" dxfId="3204" priority="12" operator="equal">
      <formula>"J"</formula>
    </cfRule>
  </conditionalFormatting>
  <conditionalFormatting sqref="G9:G11 G13:G18 G20:G25 G27:G29 G31:G33">
    <cfRule type="cellIs" dxfId="3203" priority="5" operator="equal">
      <formula>"NI"</formula>
    </cfRule>
    <cfRule type="cellIs" dxfId="3202" priority="6" operator="equal">
      <formula>"N"</formula>
    </cfRule>
    <cfRule type="cellIs" dxfId="3201" priority="7" operator="equal">
      <formula>"P"</formula>
    </cfRule>
    <cfRule type="cellIs" dxfId="3200" priority="8" operator="equal">
      <formula>"J"</formula>
    </cfRule>
  </conditionalFormatting>
  <conditionalFormatting sqref="H9:H11 H13:H18 H20:H25 H27:H29 H31:H33">
    <cfRule type="cellIs" dxfId="3199" priority="1" operator="equal">
      <formula>"NI"</formula>
    </cfRule>
    <cfRule type="cellIs" dxfId="3198" priority="2" operator="equal">
      <formula>"N"</formula>
    </cfRule>
    <cfRule type="cellIs" dxfId="3197" priority="3" operator="equal">
      <formula>"P"</formula>
    </cfRule>
    <cfRule type="cellIs" dxfId="319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13" workbookViewId="0">
      <selection activeCell="D21" sqref="D21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136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302</v>
      </c>
      <c r="E5" s="251" t="s">
        <v>171</v>
      </c>
      <c r="K5" s="440" t="s">
        <v>300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43"/>
      <c r="S9" s="244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43"/>
      <c r="S10" s="244"/>
      <c r="T10" s="242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0.63194444444444442</v>
      </c>
      <c r="T11" s="95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0.66180555555555554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0.46388888888888891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0.49375000000000002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0.63749999999999996</v>
      </c>
      <c r="T15" s="242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0.4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0.72083333333333333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45315</v>
      </c>
      <c r="S18" s="246">
        <v>0.62638888888888888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303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41"/>
      <c r="E33" s="241"/>
      <c r="F33" s="241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195" priority="57" operator="equal">
      <formula>"NI"</formula>
    </cfRule>
    <cfRule type="cellIs" dxfId="3194" priority="58" operator="equal">
      <formula>"N"</formula>
    </cfRule>
    <cfRule type="cellIs" dxfId="3193" priority="59" operator="equal">
      <formula>"P"</formula>
    </cfRule>
    <cfRule type="cellIs" dxfId="3192" priority="60" operator="equal">
      <formula>"J"</formula>
    </cfRule>
  </conditionalFormatting>
  <conditionalFormatting sqref="M32:M33">
    <cfRule type="cellIs" dxfId="3191" priority="61" operator="equal">
      <formula>"NI"</formula>
    </cfRule>
    <cfRule type="cellIs" dxfId="3190" priority="62" operator="equal">
      <formula>"N"</formula>
    </cfRule>
    <cfRule type="cellIs" dxfId="3189" priority="63" operator="equal">
      <formula>"P"</formula>
    </cfRule>
    <cfRule type="cellIs" dxfId="3188" priority="64" operator="equal">
      <formula>"J"</formula>
    </cfRule>
  </conditionalFormatting>
  <conditionalFormatting sqref="M9:M10">
    <cfRule type="cellIs" dxfId="3187" priority="65" operator="equal">
      <formula>"NI"</formula>
    </cfRule>
    <cfRule type="cellIs" dxfId="3186" priority="66" operator="equal">
      <formula>"N"</formula>
    </cfRule>
    <cfRule type="cellIs" dxfId="3185" priority="67" operator="equal">
      <formula>"P"</formula>
    </cfRule>
    <cfRule type="cellIs" dxfId="3184" priority="68" operator="equal">
      <formula>"J"</formula>
    </cfRule>
  </conditionalFormatting>
  <conditionalFormatting sqref="M11">
    <cfRule type="cellIs" dxfId="3183" priority="69" operator="equal">
      <formula>"NI"</formula>
    </cfRule>
    <cfRule type="cellIs" dxfId="3182" priority="70" operator="equal">
      <formula>"N"</formula>
    </cfRule>
    <cfRule type="cellIs" dxfId="3181" priority="71" operator="equal">
      <formula>"P"</formula>
    </cfRule>
    <cfRule type="cellIs" dxfId="3180" priority="72" operator="equal">
      <formula>"J"</formula>
    </cfRule>
  </conditionalFormatting>
  <conditionalFormatting sqref="M13:N18">
    <cfRule type="cellIs" dxfId="3179" priority="73" operator="equal">
      <formula>"NI"</formula>
    </cfRule>
    <cfRule type="cellIs" dxfId="3178" priority="74" operator="equal">
      <formula>"N"</formula>
    </cfRule>
    <cfRule type="cellIs" dxfId="3177" priority="75" operator="equal">
      <formula>"P"</formula>
    </cfRule>
    <cfRule type="cellIs" dxfId="3176" priority="76" operator="equal">
      <formula>"J"</formula>
    </cfRule>
  </conditionalFormatting>
  <conditionalFormatting sqref="M20:N25">
    <cfRule type="cellIs" dxfId="3175" priority="77" operator="equal">
      <formula>"NI"</formula>
    </cfRule>
    <cfRule type="cellIs" dxfId="3174" priority="78" operator="equal">
      <formula>"N"</formula>
    </cfRule>
    <cfRule type="cellIs" dxfId="3173" priority="79" operator="equal">
      <formula>"P"</formula>
    </cfRule>
    <cfRule type="cellIs" dxfId="3172" priority="80" operator="equal">
      <formula>"J"</formula>
    </cfRule>
  </conditionalFormatting>
  <conditionalFormatting sqref="N32:N33">
    <cfRule type="cellIs" dxfId="3171" priority="81" operator="equal">
      <formula>"NI"</formula>
    </cfRule>
    <cfRule type="cellIs" dxfId="3170" priority="82" operator="equal">
      <formula>"N"</formula>
    </cfRule>
    <cfRule type="cellIs" dxfId="3169" priority="83" operator="equal">
      <formula>"P"</formula>
    </cfRule>
    <cfRule type="cellIs" dxfId="3168" priority="84" operator="equal">
      <formula>"J"</formula>
    </cfRule>
  </conditionalFormatting>
  <conditionalFormatting sqref="N9:N11">
    <cfRule type="cellIs" dxfId="3167" priority="85" operator="equal">
      <formula>"NI"</formula>
    </cfRule>
    <cfRule type="cellIs" dxfId="3166" priority="86" operator="equal">
      <formula>"N"</formula>
    </cfRule>
    <cfRule type="cellIs" dxfId="3165" priority="87" operator="equal">
      <formula>"P"</formula>
    </cfRule>
    <cfRule type="cellIs" dxfId="3164" priority="88" operator="equal">
      <formula>"J"</formula>
    </cfRule>
  </conditionalFormatting>
  <conditionalFormatting sqref="O9:O11 O13:O18 O20:O25 O27:O29 O31:O33">
    <cfRule type="cellIs" dxfId="3163" priority="89" operator="equal">
      <formula>"NI"</formula>
    </cfRule>
    <cfRule type="cellIs" dxfId="3162" priority="90" operator="equal">
      <formula>"N"</formula>
    </cfRule>
    <cfRule type="cellIs" dxfId="3161" priority="91" operator="equal">
      <formula>"P"</formula>
    </cfRule>
    <cfRule type="cellIs" dxfId="3160" priority="92" operator="equal">
      <formula>"J"</formula>
    </cfRule>
  </conditionalFormatting>
  <conditionalFormatting sqref="J9:J11 J13:J18 J20:J25 J27:J29 J31:J33">
    <cfRule type="cellIs" dxfId="3159" priority="49" operator="equal">
      <formula>"NI"</formula>
    </cfRule>
    <cfRule type="cellIs" dxfId="3158" priority="50" operator="equal">
      <formula>"N"</formula>
    </cfRule>
    <cfRule type="cellIs" dxfId="3157" priority="51" operator="equal">
      <formula>"P"</formula>
    </cfRule>
    <cfRule type="cellIs" dxfId="3156" priority="52" operator="equal">
      <formula>"J"</formula>
    </cfRule>
  </conditionalFormatting>
  <conditionalFormatting sqref="K9:K11 K13:K18 K20:K25 K27:K29 K31:K33">
    <cfRule type="cellIs" dxfId="3155" priority="45" operator="equal">
      <formula>"NI"</formula>
    </cfRule>
    <cfRule type="cellIs" dxfId="3154" priority="46" operator="equal">
      <formula>"N"</formula>
    </cfRule>
    <cfRule type="cellIs" dxfId="3153" priority="47" operator="equal">
      <formula>"P"</formula>
    </cfRule>
    <cfRule type="cellIs" dxfId="3152" priority="48" operator="equal">
      <formula>"J"</formula>
    </cfRule>
  </conditionalFormatting>
  <conditionalFormatting sqref="L9:L11 L13:L16 L18 L20:L25 L27:L29 L32">
    <cfRule type="cellIs" dxfId="3151" priority="41" operator="equal">
      <formula>"NI"</formula>
    </cfRule>
    <cfRule type="cellIs" dxfId="3150" priority="42" operator="equal">
      <formula>"N"</formula>
    </cfRule>
    <cfRule type="cellIs" dxfId="3149" priority="43" operator="equal">
      <formula>"P"</formula>
    </cfRule>
    <cfRule type="cellIs" dxfId="3148" priority="44" operator="equal">
      <formula>"J"</formula>
    </cfRule>
  </conditionalFormatting>
  <conditionalFormatting sqref="D9:D11 D13:D18 D20:D25 D27:D29 D31:D33">
    <cfRule type="cellIs" dxfId="3147" priority="37" operator="equal">
      <formula>"NI"</formula>
    </cfRule>
    <cfRule type="cellIs" dxfId="3146" priority="38" operator="equal">
      <formula>"N"</formula>
    </cfRule>
    <cfRule type="cellIs" dxfId="3145" priority="39" operator="equal">
      <formula>"P"</formula>
    </cfRule>
    <cfRule type="cellIs" dxfId="3144" priority="40" operator="equal">
      <formula>"J"</formula>
    </cfRule>
  </conditionalFormatting>
  <conditionalFormatting sqref="E9:E11 E13:E18 E20:E25 E27:E29 E31:E33">
    <cfRule type="cellIs" dxfId="3143" priority="33" operator="equal">
      <formula>"NI"</formula>
    </cfRule>
    <cfRule type="cellIs" dxfId="3142" priority="34" operator="equal">
      <formula>"N"</formula>
    </cfRule>
    <cfRule type="cellIs" dxfId="3141" priority="35" operator="equal">
      <formula>"P"</formula>
    </cfRule>
    <cfRule type="cellIs" dxfId="3140" priority="36" operator="equal">
      <formula>"J"</formula>
    </cfRule>
  </conditionalFormatting>
  <conditionalFormatting sqref="F9:F11 F13:F18 F20:F25 F27:F29 F31:F33">
    <cfRule type="cellIs" dxfId="3139" priority="29" operator="equal">
      <formula>"NI"</formula>
    </cfRule>
    <cfRule type="cellIs" dxfId="3138" priority="30" operator="equal">
      <formula>"N"</formula>
    </cfRule>
    <cfRule type="cellIs" dxfId="3137" priority="31" operator="equal">
      <formula>"P"</formula>
    </cfRule>
    <cfRule type="cellIs" dxfId="3136" priority="32" operator="equal">
      <formula>"J"</formula>
    </cfRule>
  </conditionalFormatting>
  <conditionalFormatting sqref="I9:I11 I13:I18 I20:I25 I27:I29 I31:I32">
    <cfRule type="cellIs" dxfId="3135" priority="25" operator="equal">
      <formula>"NI"</formula>
    </cfRule>
    <cfRule type="cellIs" dxfId="3134" priority="26" operator="equal">
      <formula>"N"</formula>
    </cfRule>
    <cfRule type="cellIs" dxfId="3133" priority="27" operator="equal">
      <formula>"P"</formula>
    </cfRule>
    <cfRule type="cellIs" dxfId="3132" priority="28" operator="equal">
      <formula>"J"</formula>
    </cfRule>
  </conditionalFormatting>
  <conditionalFormatting sqref="I33">
    <cfRule type="cellIs" dxfId="3131" priority="21" operator="equal">
      <formula>"NI"</formula>
    </cfRule>
    <cfRule type="cellIs" dxfId="3130" priority="22" operator="equal">
      <formula>"N"</formula>
    </cfRule>
    <cfRule type="cellIs" dxfId="3129" priority="23" operator="equal">
      <formula>"P"</formula>
    </cfRule>
    <cfRule type="cellIs" dxfId="3128" priority="24" operator="equal">
      <formula>"J"</formula>
    </cfRule>
  </conditionalFormatting>
  <conditionalFormatting sqref="L17">
    <cfRule type="cellIs" dxfId="3127" priority="17" operator="equal">
      <formula>"NI"</formula>
    </cfRule>
    <cfRule type="cellIs" dxfId="3126" priority="18" operator="equal">
      <formula>"N"</formula>
    </cfRule>
    <cfRule type="cellIs" dxfId="3125" priority="19" operator="equal">
      <formula>"P"</formula>
    </cfRule>
    <cfRule type="cellIs" dxfId="3124" priority="20" operator="equal">
      <formula>"J"</formula>
    </cfRule>
  </conditionalFormatting>
  <conditionalFormatting sqref="L31">
    <cfRule type="cellIs" dxfId="3123" priority="13" operator="equal">
      <formula>"NI"</formula>
    </cfRule>
    <cfRule type="cellIs" dxfId="3122" priority="14" operator="equal">
      <formula>"N"</formula>
    </cfRule>
    <cfRule type="cellIs" dxfId="3121" priority="15" operator="equal">
      <formula>"P"</formula>
    </cfRule>
    <cfRule type="cellIs" dxfId="3120" priority="16" operator="equal">
      <formula>"J"</formula>
    </cfRule>
  </conditionalFormatting>
  <conditionalFormatting sqref="L33">
    <cfRule type="cellIs" dxfId="3119" priority="9" operator="equal">
      <formula>"NI"</formula>
    </cfRule>
    <cfRule type="cellIs" dxfId="3118" priority="10" operator="equal">
      <formula>"N"</formula>
    </cfRule>
    <cfRule type="cellIs" dxfId="3117" priority="11" operator="equal">
      <formula>"P"</formula>
    </cfRule>
    <cfRule type="cellIs" dxfId="3116" priority="12" operator="equal">
      <formula>"J"</formula>
    </cfRule>
  </conditionalFormatting>
  <conditionalFormatting sqref="G9:G11 G13:G18 G20:G25 G27:G29 G31:G33">
    <cfRule type="cellIs" dxfId="3115" priority="5" operator="equal">
      <formula>"NI"</formula>
    </cfRule>
    <cfRule type="cellIs" dxfId="3114" priority="6" operator="equal">
      <formula>"N"</formula>
    </cfRule>
    <cfRule type="cellIs" dxfId="3113" priority="7" operator="equal">
      <formula>"P"</formula>
    </cfRule>
    <cfRule type="cellIs" dxfId="3112" priority="8" operator="equal">
      <formula>"J"</formula>
    </cfRule>
  </conditionalFormatting>
  <conditionalFormatting sqref="H9:H11 H13:H18 H20:H25 H27:H29 H31:H33">
    <cfRule type="cellIs" dxfId="3111" priority="1" operator="equal">
      <formula>"NI"</formula>
    </cfRule>
    <cfRule type="cellIs" dxfId="3110" priority="2" operator="equal">
      <formula>"N"</formula>
    </cfRule>
    <cfRule type="cellIs" dxfId="3109" priority="3" operator="equal">
      <formula>"P"</formula>
    </cfRule>
    <cfRule type="cellIs" dxfId="310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M15" sqref="M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136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304</v>
      </c>
      <c r="E5" s="251" t="s">
        <v>171</v>
      </c>
      <c r="K5" s="440" t="s">
        <v>300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43"/>
      <c r="S9" s="244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43"/>
      <c r="S10" s="244"/>
      <c r="T10" s="242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0.63263888888888886</v>
      </c>
      <c r="T11" s="247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0.66249999999999998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0.46388888888888891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0.49444444444444452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0.6381944444444444</v>
      </c>
      <c r="T15" s="247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0.40069444444444452</v>
      </c>
      <c r="T16" s="247" t="s">
        <v>213</v>
      </c>
    </row>
    <row r="17" spans="1:21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0.72083333333333333</v>
      </c>
      <c r="T17" s="247" t="s">
        <v>213</v>
      </c>
    </row>
    <row r="18" spans="1:21" x14ac:dyDescent="0.25">
      <c r="A18" s="441"/>
      <c r="C18" s="259" t="s">
        <v>271</v>
      </c>
      <c r="D18" s="241"/>
      <c r="E18" s="241"/>
      <c r="F18" s="241"/>
      <c r="G18" s="241" t="s">
        <v>200</v>
      </c>
      <c r="H18" s="241" t="s">
        <v>200</v>
      </c>
      <c r="I18" s="241" t="s">
        <v>200</v>
      </c>
      <c r="J18" s="241" t="s">
        <v>200</v>
      </c>
      <c r="K18" s="241" t="s">
        <v>200</v>
      </c>
      <c r="L18" s="241" t="s">
        <v>200</v>
      </c>
      <c r="M18" s="241" t="s">
        <v>200</v>
      </c>
      <c r="N18" s="241" t="s">
        <v>200</v>
      </c>
      <c r="O18" s="241" t="s">
        <v>200</v>
      </c>
      <c r="Q18" s="258" t="s">
        <v>25</v>
      </c>
      <c r="R18" s="245">
        <v>45681</v>
      </c>
      <c r="S18" s="246">
        <v>0.62708333333333333</v>
      </c>
      <c r="T18" s="247" t="s">
        <v>213</v>
      </c>
    </row>
    <row r="19" spans="1:21" x14ac:dyDescent="0.25">
      <c r="A19" s="441"/>
      <c r="B19" s="254" t="s">
        <v>220</v>
      </c>
      <c r="C19" s="255"/>
      <c r="D19" s="237"/>
      <c r="E19" s="237"/>
      <c r="F19" s="237"/>
      <c r="G19" s="256">
        <v>2</v>
      </c>
      <c r="H19" s="237">
        <v>2</v>
      </c>
      <c r="I19" s="237">
        <v>2</v>
      </c>
      <c r="J19" s="237">
        <v>2</v>
      </c>
      <c r="K19" s="237">
        <v>2</v>
      </c>
      <c r="L19" s="237">
        <v>2</v>
      </c>
      <c r="M19" s="256">
        <v>2</v>
      </c>
      <c r="N19" s="256">
        <v>2</v>
      </c>
      <c r="O19" s="256">
        <v>2</v>
      </c>
      <c r="Q19" s="260" t="s">
        <v>26</v>
      </c>
      <c r="R19" s="245">
        <v>45712</v>
      </c>
      <c r="S19" s="245" t="s">
        <v>305</v>
      </c>
      <c r="T19" s="245" t="s">
        <v>213</v>
      </c>
    </row>
    <row r="20" spans="1:21" x14ac:dyDescent="0.25">
      <c r="A20" s="441"/>
      <c r="C20" s="259" t="s">
        <v>222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60"/>
      <c r="R20" s="261"/>
      <c r="S20" s="262"/>
      <c r="T20" s="263"/>
    </row>
    <row r="21" spans="1:21" ht="15.75" customHeight="1" thickBot="1" x14ac:dyDescent="0.3">
      <c r="A21" s="441"/>
      <c r="C21" s="259" t="s">
        <v>267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251" t="s">
        <v>224</v>
      </c>
    </row>
    <row r="22" spans="1:21" ht="15.75" customHeight="1" x14ac:dyDescent="0.25">
      <c r="A22" s="441"/>
      <c r="C22" s="259" t="s">
        <v>226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65"/>
      <c r="R22" s="466"/>
      <c r="S22" s="466"/>
      <c r="T22" s="466"/>
      <c r="U22" s="467"/>
    </row>
    <row r="23" spans="1:21" ht="15.75" customHeight="1" x14ac:dyDescent="0.25">
      <c r="A23" s="441"/>
      <c r="C23" s="259" t="s">
        <v>259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37"/>
      <c r="R23" s="381"/>
      <c r="S23" s="381"/>
      <c r="T23" s="381"/>
      <c r="U23" s="403"/>
    </row>
    <row r="24" spans="1:21" ht="15.75" customHeight="1" x14ac:dyDescent="0.25">
      <c r="A24" s="441"/>
      <c r="C24" s="259" t="s">
        <v>227</v>
      </c>
      <c r="D24" s="241"/>
      <c r="E24" s="241"/>
      <c r="F24" s="241"/>
      <c r="G24" s="241" t="s">
        <v>200</v>
      </c>
      <c r="H24" s="241" t="s">
        <v>200</v>
      </c>
      <c r="I24" s="241" t="s">
        <v>200</v>
      </c>
      <c r="J24" s="241" t="s">
        <v>200</v>
      </c>
      <c r="K24" s="241" t="s">
        <v>200</v>
      </c>
      <c r="L24" s="241" t="s">
        <v>200</v>
      </c>
      <c r="M24" s="241" t="s">
        <v>200</v>
      </c>
      <c r="N24" s="241" t="s">
        <v>200</v>
      </c>
      <c r="O24" s="241" t="s">
        <v>200</v>
      </c>
      <c r="Q24" s="439"/>
      <c r="R24" s="423"/>
      <c r="S24" s="423"/>
      <c r="T24" s="423"/>
      <c r="U24" s="424"/>
    </row>
    <row r="25" spans="1:21" ht="15.75" customHeight="1" x14ac:dyDescent="0.25">
      <c r="A25" s="441"/>
      <c r="C25" s="259" t="s">
        <v>223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1" ht="15.75" customHeight="1" x14ac:dyDescent="0.25">
      <c r="A26" s="441"/>
      <c r="B26" s="254" t="s">
        <v>229</v>
      </c>
      <c r="C26" s="255"/>
      <c r="D26" s="237"/>
      <c r="E26" s="237"/>
      <c r="F26" s="237"/>
      <c r="G26" s="256">
        <v>2</v>
      </c>
      <c r="H26" s="237">
        <v>2</v>
      </c>
      <c r="I26" s="237">
        <v>2</v>
      </c>
      <c r="J26" s="237">
        <v>2</v>
      </c>
      <c r="K26" s="237">
        <v>2</v>
      </c>
      <c r="L26" s="237">
        <v>2</v>
      </c>
      <c r="M26" s="256">
        <v>2</v>
      </c>
      <c r="N26" s="256">
        <v>2</v>
      </c>
      <c r="O26" s="256">
        <v>2</v>
      </c>
      <c r="Q26" s="437"/>
      <c r="R26" s="381"/>
      <c r="S26" s="381"/>
      <c r="T26" s="381"/>
      <c r="U26" s="403"/>
    </row>
    <row r="27" spans="1:21" ht="15.75" customHeight="1" x14ac:dyDescent="0.25">
      <c r="A27" s="441"/>
      <c r="C27" s="259" t="s">
        <v>262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1" ht="15.75" customHeight="1" x14ac:dyDescent="0.25">
      <c r="A28" s="441"/>
      <c r="C28" s="264" t="s">
        <v>231</v>
      </c>
      <c r="D28" s="241"/>
      <c r="E28" s="241"/>
      <c r="F28" s="241"/>
      <c r="G28" s="241" t="s">
        <v>196</v>
      </c>
      <c r="H28" s="241" t="s">
        <v>200</v>
      </c>
      <c r="I28" s="241" t="s">
        <v>200</v>
      </c>
      <c r="J28" s="241" t="s">
        <v>200</v>
      </c>
      <c r="K28" s="241" t="s">
        <v>200</v>
      </c>
      <c r="L28" s="241" t="s">
        <v>200</v>
      </c>
      <c r="M28" s="241" t="s">
        <v>200</v>
      </c>
      <c r="N28" s="241" t="s">
        <v>200</v>
      </c>
      <c r="O28" s="241" t="s">
        <v>200</v>
      </c>
      <c r="Q28" s="437"/>
      <c r="R28" s="381"/>
      <c r="S28" s="381"/>
      <c r="T28" s="381"/>
      <c r="U28" s="403"/>
    </row>
    <row r="29" spans="1:21" ht="15.75" customHeight="1" x14ac:dyDescent="0.25">
      <c r="A29" s="333"/>
      <c r="C29" s="264" t="s">
        <v>254</v>
      </c>
      <c r="D29" s="241"/>
      <c r="E29" s="241"/>
      <c r="F29" s="241"/>
      <c r="G29" s="241" t="s">
        <v>200</v>
      </c>
      <c r="H29" s="241" t="s">
        <v>200</v>
      </c>
      <c r="I29" s="241" t="s">
        <v>200</v>
      </c>
      <c r="J29" s="241" t="s">
        <v>200</v>
      </c>
      <c r="K29" s="241" t="s">
        <v>200</v>
      </c>
      <c r="L29" s="241" t="s">
        <v>200</v>
      </c>
      <c r="M29" s="241" t="s">
        <v>200</v>
      </c>
      <c r="N29" s="241" t="s">
        <v>200</v>
      </c>
      <c r="O29" s="241" t="s">
        <v>200</v>
      </c>
      <c r="Q29" s="437"/>
      <c r="R29" s="381"/>
      <c r="S29" s="381"/>
      <c r="T29" s="381"/>
      <c r="U29" s="403"/>
    </row>
    <row r="30" spans="1:21" ht="15.75" customHeight="1" x14ac:dyDescent="0.25">
      <c r="A30" s="447" t="s">
        <v>233</v>
      </c>
      <c r="B30" s="341"/>
      <c r="C30" s="341"/>
      <c r="D30" s="248"/>
      <c r="E30" s="248"/>
      <c r="F30" s="248"/>
      <c r="G30" s="265"/>
      <c r="H30" s="248"/>
      <c r="I30" s="248"/>
      <c r="J30" s="248"/>
      <c r="K30" s="248"/>
      <c r="L30" s="248"/>
      <c r="M30" s="265"/>
      <c r="N30" s="265"/>
      <c r="O30" s="265"/>
      <c r="Q30" s="437"/>
      <c r="R30" s="381"/>
      <c r="S30" s="381"/>
      <c r="T30" s="381"/>
      <c r="U30" s="403"/>
    </row>
    <row r="31" spans="1:21" ht="15.75" customHeight="1" x14ac:dyDescent="0.25">
      <c r="A31" s="255"/>
      <c r="C31" s="259" t="s">
        <v>83</v>
      </c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Q31" s="437"/>
      <c r="R31" s="381"/>
      <c r="S31" s="381"/>
      <c r="T31" s="381"/>
      <c r="U31" s="403"/>
    </row>
    <row r="32" spans="1:21" ht="15.75" customHeight="1" x14ac:dyDescent="0.25">
      <c r="A32" s="255"/>
      <c r="C32" s="264" t="s">
        <v>234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Q32" s="437"/>
      <c r="R32" s="381"/>
      <c r="S32" s="381"/>
      <c r="T32" s="381"/>
      <c r="U32" s="403"/>
    </row>
    <row r="33" spans="1:21" ht="15.75" customHeight="1" x14ac:dyDescent="0.25">
      <c r="A33" s="255"/>
      <c r="C33" s="266" t="s">
        <v>85</v>
      </c>
      <c r="D33" s="241"/>
      <c r="E33" s="241"/>
      <c r="F33" s="241"/>
      <c r="G33" s="241"/>
      <c r="H33" s="241"/>
      <c r="I33" s="241"/>
      <c r="J33" s="241"/>
      <c r="K33" s="241"/>
      <c r="L33" s="267"/>
      <c r="M33" s="241"/>
      <c r="N33" s="241"/>
      <c r="O33" s="241"/>
      <c r="Q33" s="437"/>
      <c r="R33" s="381"/>
      <c r="S33" s="381"/>
      <c r="T33" s="381"/>
      <c r="U33" s="403"/>
    </row>
    <row r="34" spans="1:21" ht="15.75" customHeight="1" thickBot="1" x14ac:dyDescent="0.3">
      <c r="A34" s="449" t="s">
        <v>235</v>
      </c>
      <c r="B34" s="341"/>
      <c r="C34" s="341"/>
      <c r="D34" s="249"/>
      <c r="E34" s="249"/>
      <c r="F34" s="249"/>
      <c r="G34" s="249" t="s">
        <v>240</v>
      </c>
      <c r="H34" s="249" t="s">
        <v>240</v>
      </c>
      <c r="I34" s="249" t="s">
        <v>240</v>
      </c>
      <c r="J34" s="249" t="s">
        <v>240</v>
      </c>
      <c r="K34" s="249" t="s">
        <v>240</v>
      </c>
      <c r="L34" s="249" t="s">
        <v>240</v>
      </c>
      <c r="M34" s="268" t="s">
        <v>240</v>
      </c>
      <c r="N34" s="268" t="s">
        <v>240</v>
      </c>
      <c r="O34" s="268" t="s">
        <v>240</v>
      </c>
      <c r="Q34" s="445"/>
      <c r="R34" s="400"/>
      <c r="S34" s="400"/>
      <c r="T34" s="400"/>
      <c r="U34" s="401"/>
    </row>
    <row r="35" spans="1:21" ht="15.75" customHeight="1" x14ac:dyDescent="0.25">
      <c r="A35" s="26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3107" priority="61" operator="equal">
      <formula>"NI"</formula>
    </cfRule>
    <cfRule type="cellIs" dxfId="3106" priority="62" operator="equal">
      <formula>"N"</formula>
    </cfRule>
    <cfRule type="cellIs" dxfId="3105" priority="63" operator="equal">
      <formula>"P"</formula>
    </cfRule>
    <cfRule type="cellIs" dxfId="3104" priority="64" operator="equal">
      <formula>"J"</formula>
    </cfRule>
  </conditionalFormatting>
  <conditionalFormatting sqref="M32:M33">
    <cfRule type="cellIs" dxfId="3103" priority="65" operator="equal">
      <formula>"NI"</formula>
    </cfRule>
    <cfRule type="cellIs" dxfId="3102" priority="66" operator="equal">
      <formula>"N"</formula>
    </cfRule>
    <cfRule type="cellIs" dxfId="3101" priority="67" operator="equal">
      <formula>"P"</formula>
    </cfRule>
    <cfRule type="cellIs" dxfId="3100" priority="68" operator="equal">
      <formula>"J"</formula>
    </cfRule>
  </conditionalFormatting>
  <conditionalFormatting sqref="M9:M10">
    <cfRule type="cellIs" dxfId="3099" priority="69" operator="equal">
      <formula>"NI"</formula>
    </cfRule>
    <cfRule type="cellIs" dxfId="3098" priority="70" operator="equal">
      <formula>"N"</formula>
    </cfRule>
    <cfRule type="cellIs" dxfId="3097" priority="71" operator="equal">
      <formula>"P"</formula>
    </cfRule>
    <cfRule type="cellIs" dxfId="3096" priority="72" operator="equal">
      <formula>"J"</formula>
    </cfRule>
  </conditionalFormatting>
  <conditionalFormatting sqref="M11">
    <cfRule type="cellIs" dxfId="3095" priority="73" operator="equal">
      <formula>"NI"</formula>
    </cfRule>
    <cfRule type="cellIs" dxfId="3094" priority="74" operator="equal">
      <formula>"N"</formula>
    </cfRule>
    <cfRule type="cellIs" dxfId="3093" priority="75" operator="equal">
      <formula>"P"</formula>
    </cfRule>
    <cfRule type="cellIs" dxfId="3092" priority="76" operator="equal">
      <formula>"J"</formula>
    </cfRule>
  </conditionalFormatting>
  <conditionalFormatting sqref="M13:N18">
    <cfRule type="cellIs" dxfId="3091" priority="77" operator="equal">
      <formula>"NI"</formula>
    </cfRule>
    <cfRule type="cellIs" dxfId="3090" priority="78" operator="equal">
      <formula>"N"</formula>
    </cfRule>
    <cfRule type="cellIs" dxfId="3089" priority="79" operator="equal">
      <formula>"P"</formula>
    </cfRule>
    <cfRule type="cellIs" dxfId="3088" priority="80" operator="equal">
      <formula>"J"</formula>
    </cfRule>
  </conditionalFormatting>
  <conditionalFormatting sqref="M20:N25">
    <cfRule type="cellIs" dxfId="3087" priority="81" operator="equal">
      <formula>"NI"</formula>
    </cfRule>
    <cfRule type="cellIs" dxfId="3086" priority="82" operator="equal">
      <formula>"N"</formula>
    </cfRule>
    <cfRule type="cellIs" dxfId="3085" priority="83" operator="equal">
      <formula>"P"</formula>
    </cfRule>
    <cfRule type="cellIs" dxfId="3084" priority="84" operator="equal">
      <formula>"J"</formula>
    </cfRule>
  </conditionalFormatting>
  <conditionalFormatting sqref="N32:N33">
    <cfRule type="cellIs" dxfId="3083" priority="85" operator="equal">
      <formula>"NI"</formula>
    </cfRule>
    <cfRule type="cellIs" dxfId="3082" priority="86" operator="equal">
      <formula>"N"</formula>
    </cfRule>
    <cfRule type="cellIs" dxfId="3081" priority="87" operator="equal">
      <formula>"P"</formula>
    </cfRule>
    <cfRule type="cellIs" dxfId="3080" priority="88" operator="equal">
      <formula>"J"</formula>
    </cfRule>
  </conditionalFormatting>
  <conditionalFormatting sqref="N9:N11">
    <cfRule type="cellIs" dxfId="3079" priority="89" operator="equal">
      <formula>"NI"</formula>
    </cfRule>
    <cfRule type="cellIs" dxfId="3078" priority="90" operator="equal">
      <formula>"N"</formula>
    </cfRule>
    <cfRule type="cellIs" dxfId="3077" priority="91" operator="equal">
      <formula>"P"</formula>
    </cfRule>
    <cfRule type="cellIs" dxfId="3076" priority="92" operator="equal">
      <formula>"J"</formula>
    </cfRule>
  </conditionalFormatting>
  <conditionalFormatting sqref="O9:O11 O13:O18 O20:O25 O27:O29 O31:O33">
    <cfRule type="cellIs" dxfId="3075" priority="93" operator="equal">
      <formula>"NI"</formula>
    </cfRule>
    <cfRule type="cellIs" dxfId="3074" priority="94" operator="equal">
      <formula>"N"</formula>
    </cfRule>
    <cfRule type="cellIs" dxfId="3073" priority="95" operator="equal">
      <formula>"P"</formula>
    </cfRule>
    <cfRule type="cellIs" dxfId="3072" priority="96" operator="equal">
      <formula>"J"</formula>
    </cfRule>
  </conditionalFormatting>
  <conditionalFormatting sqref="J9:J11 J13:J18 J20:J25 J27:J29 J31:J33">
    <cfRule type="cellIs" dxfId="3071" priority="53" operator="equal">
      <formula>"NI"</formula>
    </cfRule>
    <cfRule type="cellIs" dxfId="3070" priority="54" operator="equal">
      <formula>"N"</formula>
    </cfRule>
    <cfRule type="cellIs" dxfId="3069" priority="55" operator="equal">
      <formula>"P"</formula>
    </cfRule>
    <cfRule type="cellIs" dxfId="3068" priority="56" operator="equal">
      <formula>"J"</formula>
    </cfRule>
  </conditionalFormatting>
  <conditionalFormatting sqref="K9:K11 K13:K18 K20:K25 K27:K29 K31:K33">
    <cfRule type="cellIs" dxfId="3067" priority="49" operator="equal">
      <formula>"NI"</formula>
    </cfRule>
    <cfRule type="cellIs" dxfId="3066" priority="50" operator="equal">
      <formula>"N"</formula>
    </cfRule>
    <cfRule type="cellIs" dxfId="3065" priority="51" operator="equal">
      <formula>"P"</formula>
    </cfRule>
    <cfRule type="cellIs" dxfId="3064" priority="52" operator="equal">
      <formula>"J"</formula>
    </cfRule>
  </conditionalFormatting>
  <conditionalFormatting sqref="L9:L11 L13:L16 L18 L20:L25 L27:L29">
    <cfRule type="cellIs" dxfId="3063" priority="45" operator="equal">
      <formula>"NI"</formula>
    </cfRule>
    <cfRule type="cellIs" dxfId="3062" priority="46" operator="equal">
      <formula>"N"</formula>
    </cfRule>
    <cfRule type="cellIs" dxfId="3061" priority="47" operator="equal">
      <formula>"P"</formula>
    </cfRule>
    <cfRule type="cellIs" dxfId="3060" priority="48" operator="equal">
      <formula>"J"</formula>
    </cfRule>
  </conditionalFormatting>
  <conditionalFormatting sqref="D9:D11 D13:D18 D20:D25 D27:D29 D31:D33">
    <cfRule type="cellIs" dxfId="3059" priority="41" operator="equal">
      <formula>"NI"</formula>
    </cfRule>
    <cfRule type="cellIs" dxfId="3058" priority="42" operator="equal">
      <formula>"N"</formula>
    </cfRule>
    <cfRule type="cellIs" dxfId="3057" priority="43" operator="equal">
      <formula>"P"</formula>
    </cfRule>
    <cfRule type="cellIs" dxfId="3056" priority="44" operator="equal">
      <formula>"J"</formula>
    </cfRule>
  </conditionalFormatting>
  <conditionalFormatting sqref="E9:E11 E13:E18 E20:E25 E27:E29 E31:E33">
    <cfRule type="cellIs" dxfId="3055" priority="37" operator="equal">
      <formula>"NI"</formula>
    </cfRule>
    <cfRule type="cellIs" dxfId="3054" priority="38" operator="equal">
      <formula>"N"</formula>
    </cfRule>
    <cfRule type="cellIs" dxfId="3053" priority="39" operator="equal">
      <formula>"P"</formula>
    </cfRule>
    <cfRule type="cellIs" dxfId="3052" priority="40" operator="equal">
      <formula>"J"</formula>
    </cfRule>
  </conditionalFormatting>
  <conditionalFormatting sqref="F9:F11 F13:F18 F20:F25 F27:F29 F31:F33">
    <cfRule type="cellIs" dxfId="3051" priority="33" operator="equal">
      <formula>"NI"</formula>
    </cfRule>
    <cfRule type="cellIs" dxfId="3050" priority="34" operator="equal">
      <formula>"N"</formula>
    </cfRule>
    <cfRule type="cellIs" dxfId="3049" priority="35" operator="equal">
      <formula>"P"</formula>
    </cfRule>
    <cfRule type="cellIs" dxfId="3048" priority="36" operator="equal">
      <formula>"J"</formula>
    </cfRule>
  </conditionalFormatting>
  <conditionalFormatting sqref="I9:I11 I13:I18 I20:I25 I27:I29 I31:I32">
    <cfRule type="cellIs" dxfId="3047" priority="29" operator="equal">
      <formula>"NI"</formula>
    </cfRule>
    <cfRule type="cellIs" dxfId="3046" priority="30" operator="equal">
      <formula>"N"</formula>
    </cfRule>
    <cfRule type="cellIs" dxfId="3045" priority="31" operator="equal">
      <formula>"P"</formula>
    </cfRule>
    <cfRule type="cellIs" dxfId="3044" priority="32" operator="equal">
      <formula>"J"</formula>
    </cfRule>
  </conditionalFormatting>
  <conditionalFormatting sqref="I33">
    <cfRule type="cellIs" dxfId="3043" priority="25" operator="equal">
      <formula>"NI"</formula>
    </cfRule>
    <cfRule type="cellIs" dxfId="3042" priority="26" operator="equal">
      <formula>"N"</formula>
    </cfRule>
    <cfRule type="cellIs" dxfId="3041" priority="27" operator="equal">
      <formula>"P"</formula>
    </cfRule>
    <cfRule type="cellIs" dxfId="3040" priority="28" operator="equal">
      <formula>"J"</formula>
    </cfRule>
  </conditionalFormatting>
  <conditionalFormatting sqref="L17">
    <cfRule type="cellIs" dxfId="3039" priority="21" operator="equal">
      <formula>"NI"</formula>
    </cfRule>
    <cfRule type="cellIs" dxfId="3038" priority="22" operator="equal">
      <formula>"N"</formula>
    </cfRule>
    <cfRule type="cellIs" dxfId="3037" priority="23" operator="equal">
      <formula>"P"</formula>
    </cfRule>
    <cfRule type="cellIs" dxfId="3036" priority="24" operator="equal">
      <formula>"J"</formula>
    </cfRule>
  </conditionalFormatting>
  <conditionalFormatting sqref="L32">
    <cfRule type="cellIs" dxfId="3035" priority="17" operator="equal">
      <formula>"NI"</formula>
    </cfRule>
    <cfRule type="cellIs" dxfId="3034" priority="18" operator="equal">
      <formula>"N"</formula>
    </cfRule>
    <cfRule type="cellIs" dxfId="3033" priority="19" operator="equal">
      <formula>"P"</formula>
    </cfRule>
    <cfRule type="cellIs" dxfId="3032" priority="20" operator="equal">
      <formula>"J"</formula>
    </cfRule>
  </conditionalFormatting>
  <conditionalFormatting sqref="L31">
    <cfRule type="cellIs" dxfId="3031" priority="13" operator="equal">
      <formula>"NI"</formula>
    </cfRule>
    <cfRule type="cellIs" dxfId="3030" priority="14" operator="equal">
      <formula>"N"</formula>
    </cfRule>
    <cfRule type="cellIs" dxfId="3029" priority="15" operator="equal">
      <formula>"P"</formula>
    </cfRule>
    <cfRule type="cellIs" dxfId="3028" priority="16" operator="equal">
      <formula>"J"</formula>
    </cfRule>
  </conditionalFormatting>
  <conditionalFormatting sqref="L33">
    <cfRule type="cellIs" dxfId="3027" priority="9" operator="equal">
      <formula>"NI"</formula>
    </cfRule>
    <cfRule type="cellIs" dxfId="3026" priority="10" operator="equal">
      <formula>"N"</formula>
    </cfRule>
    <cfRule type="cellIs" dxfId="3025" priority="11" operator="equal">
      <formula>"P"</formula>
    </cfRule>
    <cfRule type="cellIs" dxfId="3024" priority="12" operator="equal">
      <formula>"J"</formula>
    </cfRule>
  </conditionalFormatting>
  <conditionalFormatting sqref="G9:G11 G13:G18 G20:G25 G27:G29 G31:G33">
    <cfRule type="cellIs" dxfId="3023" priority="5" operator="equal">
      <formula>"NI"</formula>
    </cfRule>
    <cfRule type="cellIs" dxfId="3022" priority="6" operator="equal">
      <formula>"N"</formula>
    </cfRule>
    <cfRule type="cellIs" dxfId="3021" priority="7" operator="equal">
      <formula>"P"</formula>
    </cfRule>
    <cfRule type="cellIs" dxfId="3020" priority="8" operator="equal">
      <formula>"J"</formula>
    </cfRule>
  </conditionalFormatting>
  <conditionalFormatting sqref="H9:H11 H13:H18 H20:H25 H27:H29 H31:H33">
    <cfRule type="cellIs" dxfId="3019" priority="1" operator="equal">
      <formula>"NI"</formula>
    </cfRule>
    <cfRule type="cellIs" dxfId="3018" priority="2" operator="equal">
      <formula>"N"</formula>
    </cfRule>
    <cfRule type="cellIs" dxfId="3017" priority="3" operator="equal">
      <formula>"P"</formula>
    </cfRule>
    <cfRule type="cellIs" dxfId="301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3"/>
  <sheetViews>
    <sheetView workbookViewId="0">
      <selection activeCell="S15" sqref="S15"/>
    </sheetView>
  </sheetViews>
  <sheetFormatPr defaultColWidth="12.625" defaultRowHeight="15" x14ac:dyDescent="0.25"/>
  <cols>
    <col min="1" max="2" width="4.875" style="307" customWidth="1"/>
    <col min="3" max="3" width="54.875" style="307" customWidth="1"/>
    <col min="4" max="4" width="3.875" style="307" customWidth="1"/>
    <col min="5" max="5" width="3.75" style="307" customWidth="1"/>
    <col min="6" max="6" width="4.5" style="307" customWidth="1"/>
    <col min="7" max="8" width="4" style="307" customWidth="1"/>
    <col min="9" max="9" width="3.875" style="307" customWidth="1"/>
    <col min="10" max="10" width="3.375" style="307" customWidth="1"/>
    <col min="11" max="11" width="4.375" style="307" customWidth="1"/>
    <col min="12" max="12" width="3.5" style="307" customWidth="1"/>
    <col min="13" max="13" width="4.125" style="307" customWidth="1"/>
    <col min="14" max="14" width="4.5" style="307" customWidth="1"/>
    <col min="15" max="15" width="3.75" style="307" customWidth="1"/>
    <col min="16" max="16" width="2.25" style="307" customWidth="1"/>
    <col min="17" max="17" width="9.375" style="307" customWidth="1"/>
    <col min="18" max="18" width="10.5" style="307" customWidth="1"/>
    <col min="19" max="19" width="9.375" style="307" customWidth="1"/>
    <col min="20" max="20" width="14.75" style="307" customWidth="1"/>
    <col min="21" max="22" width="8" style="307" customWidth="1"/>
    <col min="23" max="23" width="19.625" style="307" customWidth="1"/>
    <col min="24" max="26" width="7.625" style="307" customWidth="1"/>
    <col min="27" max="1024" width="12.625" style="307" customWidth="1"/>
    <col min="1025" max="1031" width="12.625" style="250" customWidth="1"/>
    <col min="1032" max="16384" width="12.625" style="250"/>
  </cols>
  <sheetData>
    <row r="1" spans="1:23" ht="3.75" customHeight="1" x14ac:dyDescent="0.25"/>
    <row r="2" spans="1:23" ht="18.75" customHeight="1" x14ac:dyDescent="0.3">
      <c r="A2" s="442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46" t="s">
        <v>243</v>
      </c>
      <c r="B4" s="441"/>
      <c r="C4" s="305" t="s">
        <v>136</v>
      </c>
      <c r="E4" s="251" t="s">
        <v>168</v>
      </c>
      <c r="I4" s="438" t="s">
        <v>268</v>
      </c>
      <c r="J4" s="385"/>
      <c r="K4" s="385"/>
      <c r="L4" s="385"/>
      <c r="M4" s="385"/>
      <c r="N4" s="385"/>
      <c r="O4" s="385"/>
    </row>
    <row r="5" spans="1:23" x14ac:dyDescent="0.25">
      <c r="A5" s="446" t="s">
        <v>246</v>
      </c>
      <c r="B5" s="441"/>
      <c r="C5" s="306" t="s">
        <v>306</v>
      </c>
      <c r="E5" s="251" t="s">
        <v>171</v>
      </c>
      <c r="K5" s="440" t="s">
        <v>300</v>
      </c>
      <c r="L5" s="441"/>
      <c r="M5" s="441"/>
      <c r="N5" s="441"/>
      <c r="O5" s="441"/>
    </row>
    <row r="6" spans="1:23" ht="22.5" customHeight="1" x14ac:dyDescent="0.25">
      <c r="A6" s="450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51" t="s">
        <v>174</v>
      </c>
      <c r="R6" s="441"/>
      <c r="S6" s="441"/>
      <c r="T6" s="441"/>
    </row>
    <row r="7" spans="1:23" x14ac:dyDescent="0.25">
      <c r="A7" s="447" t="s">
        <v>175</v>
      </c>
      <c r="B7" s="341"/>
      <c r="C7" s="341"/>
      <c r="D7" s="252" t="s">
        <v>176</v>
      </c>
      <c r="E7" s="252" t="s">
        <v>177</v>
      </c>
      <c r="F7" s="252" t="s">
        <v>178</v>
      </c>
      <c r="G7" s="252" t="s">
        <v>179</v>
      </c>
      <c r="H7" s="252" t="s">
        <v>180</v>
      </c>
      <c r="I7" s="252" t="s">
        <v>181</v>
      </c>
      <c r="J7" s="252" t="s">
        <v>182</v>
      </c>
      <c r="K7" s="252" t="s">
        <v>183</v>
      </c>
      <c r="L7" s="252" t="s">
        <v>184</v>
      </c>
      <c r="M7" s="252" t="s">
        <v>185</v>
      </c>
      <c r="N7" s="252" t="s">
        <v>186</v>
      </c>
      <c r="O7" s="252" t="s">
        <v>187</v>
      </c>
      <c r="Q7" s="253" t="s">
        <v>188</v>
      </c>
      <c r="R7" s="253" t="s">
        <v>189</v>
      </c>
      <c r="S7" s="253" t="s">
        <v>190</v>
      </c>
      <c r="T7" s="253" t="s">
        <v>191</v>
      </c>
      <c r="V7" s="253" t="s">
        <v>192</v>
      </c>
      <c r="W7" s="308"/>
    </row>
    <row r="8" spans="1:23" ht="15" customHeight="1" x14ac:dyDescent="0.25">
      <c r="A8" s="444" t="s">
        <v>193</v>
      </c>
      <c r="B8" s="254" t="s">
        <v>194</v>
      </c>
      <c r="C8" s="255"/>
      <c r="D8" s="237"/>
      <c r="E8" s="237"/>
      <c r="F8" s="237"/>
      <c r="G8" s="256">
        <v>2</v>
      </c>
      <c r="H8" s="237">
        <v>2</v>
      </c>
      <c r="I8" s="237">
        <v>2</v>
      </c>
      <c r="J8" s="237">
        <v>2</v>
      </c>
      <c r="K8" s="237">
        <v>2</v>
      </c>
      <c r="L8" s="237">
        <v>2</v>
      </c>
      <c r="M8" s="256">
        <v>2</v>
      </c>
      <c r="N8" s="256">
        <v>2</v>
      </c>
      <c r="O8" s="256">
        <v>2</v>
      </c>
      <c r="Q8" s="257" t="s">
        <v>15</v>
      </c>
      <c r="R8" s="238"/>
      <c r="S8" s="239"/>
      <c r="T8" s="240"/>
      <c r="V8" s="215" t="s">
        <v>196</v>
      </c>
      <c r="W8" s="208" t="s">
        <v>197</v>
      </c>
    </row>
    <row r="9" spans="1:23" x14ac:dyDescent="0.25">
      <c r="A9" s="441"/>
      <c r="C9" s="216" t="s">
        <v>198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Q9" s="258" t="s">
        <v>16</v>
      </c>
      <c r="R9" s="243"/>
      <c r="S9" s="244"/>
      <c r="T9" s="240"/>
      <c r="V9" s="215" t="s">
        <v>200</v>
      </c>
      <c r="W9" s="208" t="s">
        <v>201</v>
      </c>
    </row>
    <row r="10" spans="1:23" x14ac:dyDescent="0.25">
      <c r="A10" s="441"/>
      <c r="C10" s="214" t="s">
        <v>202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Q10" s="258" t="s">
        <v>17</v>
      </c>
      <c r="R10" s="243"/>
      <c r="S10" s="244"/>
      <c r="T10" s="242"/>
      <c r="V10" s="209" t="s">
        <v>204</v>
      </c>
      <c r="W10" s="208" t="s">
        <v>205</v>
      </c>
    </row>
    <row r="11" spans="1:23" x14ac:dyDescent="0.25">
      <c r="A11" s="441"/>
      <c r="C11" s="213" t="s">
        <v>206</v>
      </c>
      <c r="D11" s="241"/>
      <c r="E11" s="241"/>
      <c r="F11" s="241"/>
      <c r="G11" s="241" t="s">
        <v>200</v>
      </c>
      <c r="H11" s="241" t="s">
        <v>200</v>
      </c>
      <c r="I11" s="241" t="s">
        <v>200</v>
      </c>
      <c r="J11" s="241" t="s">
        <v>200</v>
      </c>
      <c r="K11" s="241" t="s">
        <v>200</v>
      </c>
      <c r="L11" s="241" t="s">
        <v>200</v>
      </c>
      <c r="M11" s="241" t="s">
        <v>200</v>
      </c>
      <c r="N11" s="241" t="s">
        <v>200</v>
      </c>
      <c r="O11" s="241" t="s">
        <v>200</v>
      </c>
      <c r="Q11" s="258" t="s">
        <v>18</v>
      </c>
      <c r="R11" s="245">
        <v>45470</v>
      </c>
      <c r="S11" s="246">
        <v>0.63402777777777775</v>
      </c>
      <c r="T11" s="95" t="s">
        <v>213</v>
      </c>
      <c r="V11" s="209" t="s">
        <v>207</v>
      </c>
      <c r="W11" s="208" t="s">
        <v>208</v>
      </c>
    </row>
    <row r="12" spans="1:23" x14ac:dyDescent="0.25">
      <c r="A12" s="441"/>
      <c r="B12" s="254" t="s">
        <v>209</v>
      </c>
      <c r="C12" s="255"/>
      <c r="D12" s="237"/>
      <c r="E12" s="237"/>
      <c r="F12" s="237"/>
      <c r="G12" s="256">
        <v>2</v>
      </c>
      <c r="H12" s="237">
        <v>2</v>
      </c>
      <c r="I12" s="237">
        <v>2</v>
      </c>
      <c r="J12" s="237">
        <v>2</v>
      </c>
      <c r="K12" s="237">
        <v>2</v>
      </c>
      <c r="L12" s="237">
        <v>2</v>
      </c>
      <c r="M12" s="256">
        <v>2</v>
      </c>
      <c r="N12" s="256">
        <v>2</v>
      </c>
      <c r="O12" s="256">
        <v>2</v>
      </c>
      <c r="Q12" s="258" t="s">
        <v>19</v>
      </c>
      <c r="R12" s="93">
        <v>45506</v>
      </c>
      <c r="S12" s="94">
        <v>0.66249999999999998</v>
      </c>
      <c r="T12" s="95" t="s">
        <v>213</v>
      </c>
    </row>
    <row r="13" spans="1:23" x14ac:dyDescent="0.25">
      <c r="A13" s="441"/>
      <c r="C13" s="259" t="s">
        <v>258</v>
      </c>
      <c r="D13" s="241"/>
      <c r="E13" s="241"/>
      <c r="F13" s="241"/>
      <c r="G13" s="241" t="s">
        <v>200</v>
      </c>
      <c r="H13" s="241" t="s">
        <v>200</v>
      </c>
      <c r="I13" s="241" t="s">
        <v>200</v>
      </c>
      <c r="J13" s="241" t="s">
        <v>200</v>
      </c>
      <c r="K13" s="241" t="s">
        <v>200</v>
      </c>
      <c r="L13" s="241" t="s">
        <v>200</v>
      </c>
      <c r="M13" s="241" t="s">
        <v>200</v>
      </c>
      <c r="N13" s="241" t="s">
        <v>200</v>
      </c>
      <c r="O13" s="241" t="s">
        <v>200</v>
      </c>
      <c r="Q13" s="258" t="s">
        <v>20</v>
      </c>
      <c r="R13" s="280">
        <v>45531</v>
      </c>
      <c r="S13" s="281">
        <v>0.46527777777777779</v>
      </c>
      <c r="T13" t="s">
        <v>213</v>
      </c>
    </row>
    <row r="14" spans="1:23" x14ac:dyDescent="0.25">
      <c r="A14" s="441"/>
      <c r="C14" s="259" t="s">
        <v>216</v>
      </c>
      <c r="D14" s="241"/>
      <c r="E14" s="241"/>
      <c r="F14" s="241"/>
      <c r="G14" s="241" t="s">
        <v>200</v>
      </c>
      <c r="H14" s="241" t="s">
        <v>200</v>
      </c>
      <c r="I14" s="241" t="s">
        <v>200</v>
      </c>
      <c r="J14" s="241" t="s">
        <v>200</v>
      </c>
      <c r="K14" s="241" t="s">
        <v>200</v>
      </c>
      <c r="L14" s="241" t="s">
        <v>200</v>
      </c>
      <c r="M14" s="241" t="s">
        <v>200</v>
      </c>
      <c r="N14" s="241" t="s">
        <v>200</v>
      </c>
      <c r="O14" s="241" t="s">
        <v>200</v>
      </c>
      <c r="Q14" s="258" t="s">
        <v>21</v>
      </c>
      <c r="R14" s="245">
        <v>45562</v>
      </c>
      <c r="S14" s="246">
        <v>0.49444444444444452</v>
      </c>
      <c r="T14" s="247" t="s">
        <v>213</v>
      </c>
    </row>
    <row r="15" spans="1:23" x14ac:dyDescent="0.25">
      <c r="A15" s="441"/>
      <c r="C15" s="259" t="s">
        <v>217</v>
      </c>
      <c r="D15" s="241"/>
      <c r="E15" s="241"/>
      <c r="F15" s="241"/>
      <c r="G15" s="241" t="s">
        <v>200</v>
      </c>
      <c r="H15" s="241" t="s">
        <v>200</v>
      </c>
      <c r="I15" s="241" t="s">
        <v>200</v>
      </c>
      <c r="J15" s="241" t="s">
        <v>200</v>
      </c>
      <c r="K15" s="241" t="s">
        <v>200</v>
      </c>
      <c r="L15" s="241" t="s">
        <v>200</v>
      </c>
      <c r="M15" s="241" t="s">
        <v>200</v>
      </c>
      <c r="N15" s="241" t="s">
        <v>200</v>
      </c>
      <c r="O15" s="241" t="s">
        <v>200</v>
      </c>
      <c r="Q15" s="258" t="s">
        <v>22</v>
      </c>
      <c r="R15" s="245">
        <v>45589</v>
      </c>
      <c r="S15" s="246">
        <v>0.6381944444444444</v>
      </c>
      <c r="T15" s="242" t="s">
        <v>213</v>
      </c>
    </row>
    <row r="16" spans="1:23" x14ac:dyDescent="0.25">
      <c r="A16" s="441"/>
      <c r="C16" s="259" t="s">
        <v>218</v>
      </c>
      <c r="D16" s="241"/>
      <c r="E16" s="241"/>
      <c r="F16" s="241"/>
      <c r="G16" s="241" t="s">
        <v>200</v>
      </c>
      <c r="H16" s="241" t="s">
        <v>200</v>
      </c>
      <c r="I16" s="241" t="s">
        <v>200</v>
      </c>
      <c r="J16" s="241" t="s">
        <v>200</v>
      </c>
      <c r="K16" s="241" t="s">
        <v>200</v>
      </c>
      <c r="L16" s="241" t="s">
        <v>200</v>
      </c>
      <c r="M16" s="241" t="s">
        <v>200</v>
      </c>
      <c r="N16" s="241" t="s">
        <v>200</v>
      </c>
      <c r="O16" s="241" t="s">
        <v>200</v>
      </c>
      <c r="Q16" s="258" t="s">
        <v>23</v>
      </c>
      <c r="R16" s="245">
        <v>45635</v>
      </c>
      <c r="S16" s="246">
        <v>0.40069444444444452</v>
      </c>
      <c r="T16" s="247" t="s">
        <v>213</v>
      </c>
    </row>
    <row r="17" spans="1:29" x14ac:dyDescent="0.25">
      <c r="A17" s="441"/>
      <c r="C17" s="259" t="s">
        <v>214</v>
      </c>
      <c r="D17" s="241"/>
      <c r="E17" s="241"/>
      <c r="F17" s="241"/>
      <c r="G17" s="241" t="s">
        <v>200</v>
      </c>
      <c r="H17" s="241" t="s">
        <v>200</v>
      </c>
      <c r="I17" s="241" t="s">
        <v>200</v>
      </c>
      <c r="J17" s="241" t="s">
        <v>200</v>
      </c>
      <c r="K17" s="241" t="s">
        <v>200</v>
      </c>
      <c r="L17" s="241" t="s">
        <v>200</v>
      </c>
      <c r="M17" s="241" t="s">
        <v>200</v>
      </c>
      <c r="N17" s="241" t="s">
        <v>200</v>
      </c>
      <c r="O17" s="241" t="s">
        <v>200</v>
      </c>
      <c r="Q17" s="258" t="s">
        <v>24</v>
      </c>
      <c r="R17" s="245">
        <v>45670</v>
      </c>
      <c r="S17" s="246">
        <v>0.72083333333333333</v>
      </c>
      <c r="T17" s="247" t="s">
        <v>213</v>
      </c>
    </row>
    <row r="18" spans="1:29" x14ac:dyDescent="0.25">
      <c r="A18" s="441"/>
      <c r="B18" s="254" t="s">
        <v>220</v>
      </c>
      <c r="C18" s="255"/>
      <c r="D18" s="237"/>
      <c r="E18" s="237"/>
      <c r="F18" s="237"/>
      <c r="G18" s="256">
        <v>2</v>
      </c>
      <c r="H18" s="237">
        <v>2</v>
      </c>
      <c r="I18" s="237">
        <v>2</v>
      </c>
      <c r="J18" s="237">
        <v>2</v>
      </c>
      <c r="K18" s="237">
        <v>2</v>
      </c>
      <c r="L18" s="237">
        <v>2</v>
      </c>
      <c r="M18" s="256">
        <v>2</v>
      </c>
      <c r="N18" s="256">
        <v>2</v>
      </c>
      <c r="O18" s="256">
        <v>2</v>
      </c>
      <c r="Q18" s="258" t="s">
        <v>25</v>
      </c>
      <c r="R18" s="245">
        <v>45681</v>
      </c>
      <c r="S18" s="245" t="s">
        <v>307</v>
      </c>
      <c r="T18" s="245" t="s">
        <v>213</v>
      </c>
    </row>
    <row r="19" spans="1:29" x14ac:dyDescent="0.25">
      <c r="A19" s="441"/>
      <c r="C19" s="259" t="s">
        <v>222</v>
      </c>
      <c r="D19" s="241"/>
      <c r="E19" s="241"/>
      <c r="F19" s="241"/>
      <c r="G19" s="241" t="s">
        <v>200</v>
      </c>
      <c r="H19" s="241" t="s">
        <v>200</v>
      </c>
      <c r="I19" s="241" t="s">
        <v>200</v>
      </c>
      <c r="J19" s="241" t="s">
        <v>200</v>
      </c>
      <c r="K19" s="241" t="s">
        <v>200</v>
      </c>
      <c r="L19" s="241" t="s">
        <v>200</v>
      </c>
      <c r="M19" s="241" t="s">
        <v>200</v>
      </c>
      <c r="N19" s="241" t="s">
        <v>200</v>
      </c>
      <c r="O19" s="241" t="s">
        <v>200</v>
      </c>
      <c r="Q19" s="258" t="s">
        <v>26</v>
      </c>
      <c r="R19" s="261">
        <v>45712</v>
      </c>
      <c r="S19" s="262">
        <v>0.62291666666666667</v>
      </c>
      <c r="T19" s="263" t="s">
        <v>213</v>
      </c>
    </row>
    <row r="20" spans="1:29" ht="15.75" customHeight="1" thickBot="1" x14ac:dyDescent="0.3">
      <c r="A20" s="441"/>
      <c r="C20" s="259" t="s">
        <v>267</v>
      </c>
      <c r="D20" s="241"/>
      <c r="E20" s="241"/>
      <c r="F20" s="241"/>
      <c r="G20" s="241" t="s">
        <v>200</v>
      </c>
      <c r="H20" s="241" t="s">
        <v>200</v>
      </c>
      <c r="I20" s="241" t="s">
        <v>200</v>
      </c>
      <c r="J20" s="241" t="s">
        <v>200</v>
      </c>
      <c r="K20" s="241" t="s">
        <v>200</v>
      </c>
      <c r="L20" s="241" t="s">
        <v>200</v>
      </c>
      <c r="M20" s="241" t="s">
        <v>200</v>
      </c>
      <c r="N20" s="241" t="s">
        <v>200</v>
      </c>
      <c r="O20" s="241" t="s">
        <v>200</v>
      </c>
      <c r="Q20" s="251" t="s">
        <v>224</v>
      </c>
    </row>
    <row r="21" spans="1:29" ht="15.75" customHeight="1" x14ac:dyDescent="0.25">
      <c r="A21" s="441"/>
      <c r="C21" s="259" t="s">
        <v>226</v>
      </c>
      <c r="D21" s="241"/>
      <c r="E21" s="241"/>
      <c r="F21" s="241"/>
      <c r="G21" s="241" t="s">
        <v>200</v>
      </c>
      <c r="H21" s="241" t="s">
        <v>200</v>
      </c>
      <c r="I21" s="241" t="s">
        <v>200</v>
      </c>
      <c r="J21" s="241" t="s">
        <v>200</v>
      </c>
      <c r="K21" s="241" t="s">
        <v>200</v>
      </c>
      <c r="L21" s="241" t="s">
        <v>200</v>
      </c>
      <c r="M21" s="241" t="s">
        <v>200</v>
      </c>
      <c r="N21" s="241" t="s">
        <v>200</v>
      </c>
      <c r="O21" s="241" t="s">
        <v>200</v>
      </c>
      <c r="Q21" s="465"/>
      <c r="R21" s="466"/>
      <c r="S21" s="466"/>
      <c r="T21" s="466"/>
      <c r="U21" s="467"/>
    </row>
    <row r="22" spans="1:29" ht="15.75" customHeight="1" x14ac:dyDescent="0.25">
      <c r="A22" s="441"/>
      <c r="C22" s="259" t="s">
        <v>259</v>
      </c>
      <c r="D22" s="241"/>
      <c r="E22" s="241"/>
      <c r="F22" s="241"/>
      <c r="G22" s="241" t="s">
        <v>200</v>
      </c>
      <c r="H22" s="241" t="s">
        <v>200</v>
      </c>
      <c r="I22" s="241" t="s">
        <v>200</v>
      </c>
      <c r="J22" s="241" t="s">
        <v>200</v>
      </c>
      <c r="K22" s="241" t="s">
        <v>200</v>
      </c>
      <c r="L22" s="241" t="s">
        <v>200</v>
      </c>
      <c r="M22" s="241" t="s">
        <v>200</v>
      </c>
      <c r="N22" s="241" t="s">
        <v>200</v>
      </c>
      <c r="O22" s="241" t="s">
        <v>200</v>
      </c>
      <c r="Q22" s="437"/>
      <c r="R22" s="381"/>
      <c r="S22" s="381"/>
      <c r="T22" s="381"/>
      <c r="U22" s="403"/>
    </row>
    <row r="23" spans="1:29" ht="15.75" customHeight="1" x14ac:dyDescent="0.25">
      <c r="A23" s="441"/>
      <c r="C23" s="259" t="s">
        <v>227</v>
      </c>
      <c r="D23" s="241"/>
      <c r="E23" s="241"/>
      <c r="F23" s="241"/>
      <c r="G23" s="241" t="s">
        <v>200</v>
      </c>
      <c r="H23" s="241" t="s">
        <v>200</v>
      </c>
      <c r="I23" s="241" t="s">
        <v>200</v>
      </c>
      <c r="J23" s="241" t="s">
        <v>200</v>
      </c>
      <c r="K23" s="241" t="s">
        <v>200</v>
      </c>
      <c r="L23" s="241" t="s">
        <v>200</v>
      </c>
      <c r="M23" s="241" t="s">
        <v>200</v>
      </c>
      <c r="N23" s="241" t="s">
        <v>200</v>
      </c>
      <c r="O23" s="241" t="s">
        <v>200</v>
      </c>
      <c r="Q23" s="468"/>
      <c r="R23" s="423"/>
      <c r="S23" s="423"/>
      <c r="T23" s="423"/>
      <c r="U23" s="424"/>
    </row>
    <row r="24" spans="1:29" ht="15.75" customHeight="1" x14ac:dyDescent="0.25">
      <c r="A24" s="441"/>
      <c r="B24" s="254" t="s">
        <v>229</v>
      </c>
      <c r="C24" s="255"/>
      <c r="D24" s="237"/>
      <c r="E24" s="237"/>
      <c r="F24" s="237"/>
      <c r="G24" s="256">
        <v>2</v>
      </c>
      <c r="H24" s="237">
        <v>2</v>
      </c>
      <c r="I24" s="237">
        <v>2</v>
      </c>
      <c r="J24" s="237">
        <v>2</v>
      </c>
      <c r="K24" s="237">
        <v>2</v>
      </c>
      <c r="L24" s="237">
        <v>2</v>
      </c>
      <c r="M24" s="256">
        <v>2</v>
      </c>
      <c r="N24" s="256">
        <v>2</v>
      </c>
      <c r="O24" s="256">
        <v>2</v>
      </c>
      <c r="Q24" s="437"/>
      <c r="R24" s="381"/>
      <c r="S24" s="381"/>
      <c r="T24" s="381"/>
      <c r="U24" s="403"/>
    </row>
    <row r="25" spans="1:29" ht="15.75" customHeight="1" x14ac:dyDescent="0.25">
      <c r="A25" s="441"/>
      <c r="C25" s="259" t="s">
        <v>262</v>
      </c>
      <c r="D25" s="241"/>
      <c r="E25" s="241"/>
      <c r="F25" s="241"/>
      <c r="G25" s="241" t="s">
        <v>200</v>
      </c>
      <c r="H25" s="241" t="s">
        <v>200</v>
      </c>
      <c r="I25" s="241" t="s">
        <v>200</v>
      </c>
      <c r="J25" s="241" t="s">
        <v>200</v>
      </c>
      <c r="K25" s="241" t="s">
        <v>200</v>
      </c>
      <c r="L25" s="241" t="s">
        <v>200</v>
      </c>
      <c r="M25" s="241" t="s">
        <v>200</v>
      </c>
      <c r="N25" s="241" t="s">
        <v>200</v>
      </c>
      <c r="O25" s="241" t="s">
        <v>200</v>
      </c>
      <c r="Q25" s="437"/>
      <c r="R25" s="381"/>
      <c r="S25" s="381"/>
      <c r="T25" s="381"/>
      <c r="U25" s="403"/>
    </row>
    <row r="26" spans="1:29" ht="15.75" customHeight="1" x14ac:dyDescent="0.25">
      <c r="A26" s="441"/>
      <c r="C26" s="264" t="s">
        <v>231</v>
      </c>
      <c r="D26" s="241"/>
      <c r="E26" s="241"/>
      <c r="F26" s="241"/>
      <c r="G26" s="241" t="s">
        <v>196</v>
      </c>
      <c r="H26" s="241" t="s">
        <v>200</v>
      </c>
      <c r="I26" s="241" t="s">
        <v>200</v>
      </c>
      <c r="J26" s="241" t="s">
        <v>200</v>
      </c>
      <c r="K26" s="241" t="s">
        <v>200</v>
      </c>
      <c r="L26" s="241" t="s">
        <v>200</v>
      </c>
      <c r="M26" s="241" t="s">
        <v>200</v>
      </c>
      <c r="N26" s="241" t="s">
        <v>200</v>
      </c>
      <c r="O26" s="241" t="s">
        <v>200</v>
      </c>
      <c r="Q26" s="437"/>
      <c r="R26" s="381"/>
      <c r="S26" s="381"/>
      <c r="T26" s="381"/>
      <c r="U26" s="403"/>
    </row>
    <row r="27" spans="1:29" ht="15.75" customHeight="1" thickBot="1" x14ac:dyDescent="0.3">
      <c r="A27" s="333"/>
      <c r="C27" s="264" t="s">
        <v>254</v>
      </c>
      <c r="D27" s="241"/>
      <c r="E27" s="241"/>
      <c r="F27" s="241"/>
      <c r="G27" s="241" t="s">
        <v>200</v>
      </c>
      <c r="H27" s="241" t="s">
        <v>200</v>
      </c>
      <c r="I27" s="241" t="s">
        <v>200</v>
      </c>
      <c r="J27" s="241" t="s">
        <v>200</v>
      </c>
      <c r="K27" s="241" t="s">
        <v>200</v>
      </c>
      <c r="L27" s="241" t="s">
        <v>200</v>
      </c>
      <c r="M27" s="241" t="s">
        <v>200</v>
      </c>
      <c r="N27" s="241" t="s">
        <v>200</v>
      </c>
      <c r="O27" s="241" t="s">
        <v>200</v>
      </c>
      <c r="Q27" s="437"/>
      <c r="R27" s="381"/>
      <c r="S27" s="381"/>
      <c r="T27" s="381"/>
      <c r="U27" s="403"/>
    </row>
    <row r="28" spans="1:29" ht="15.75" customHeight="1" x14ac:dyDescent="0.25">
      <c r="A28" s="447" t="s">
        <v>233</v>
      </c>
      <c r="B28" s="341"/>
      <c r="C28" s="341"/>
      <c r="D28" s="248"/>
      <c r="E28" s="248"/>
      <c r="F28" s="248"/>
      <c r="G28" s="265"/>
      <c r="H28" s="248"/>
      <c r="I28" s="248"/>
      <c r="J28" s="248"/>
      <c r="K28" s="248"/>
      <c r="L28" s="248"/>
      <c r="M28" s="265"/>
      <c r="N28" s="265"/>
      <c r="O28" s="265"/>
      <c r="Q28" s="437"/>
      <c r="R28" s="381"/>
      <c r="S28" s="381"/>
      <c r="T28" s="381"/>
      <c r="U28" s="403"/>
      <c r="Y28" s="465"/>
      <c r="Z28" s="466"/>
      <c r="AA28" s="466"/>
      <c r="AB28" s="466"/>
      <c r="AC28" s="467"/>
    </row>
    <row r="29" spans="1:29" ht="15.75" customHeight="1" x14ac:dyDescent="0.25">
      <c r="A29" s="255"/>
      <c r="C29" s="259" t="s">
        <v>83</v>
      </c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Q29" s="437"/>
      <c r="R29" s="381"/>
      <c r="S29" s="381"/>
      <c r="T29" s="381"/>
      <c r="U29" s="403"/>
    </row>
    <row r="30" spans="1:29" ht="15.75" customHeight="1" x14ac:dyDescent="0.25">
      <c r="A30" s="255"/>
      <c r="C30" s="264" t="s">
        <v>234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Q30" s="437"/>
      <c r="R30" s="381"/>
      <c r="S30" s="381"/>
      <c r="T30" s="381"/>
      <c r="U30" s="403"/>
    </row>
    <row r="31" spans="1:29" ht="15.75" customHeight="1" x14ac:dyDescent="0.25">
      <c r="A31" s="255"/>
      <c r="C31" s="266" t="s">
        <v>85</v>
      </c>
      <c r="D31" s="241"/>
      <c r="E31" s="241"/>
      <c r="F31" s="241"/>
      <c r="G31" s="241"/>
      <c r="H31" s="241"/>
      <c r="I31" s="241"/>
      <c r="J31" s="241"/>
      <c r="K31" s="241"/>
      <c r="L31" s="267"/>
      <c r="M31" s="241"/>
      <c r="N31" s="241"/>
      <c r="O31" s="241"/>
      <c r="Q31" s="437"/>
      <c r="R31" s="381"/>
      <c r="S31" s="381"/>
      <c r="T31" s="381"/>
      <c r="U31" s="403"/>
    </row>
    <row r="32" spans="1:29" ht="15.75" customHeight="1" thickBot="1" x14ac:dyDescent="0.3">
      <c r="A32" s="449" t="s">
        <v>235</v>
      </c>
      <c r="B32" s="341"/>
      <c r="C32" s="341"/>
      <c r="D32" s="249"/>
      <c r="E32" s="249"/>
      <c r="F32" s="249"/>
      <c r="G32" s="249" t="s">
        <v>240</v>
      </c>
      <c r="H32" s="249" t="s">
        <v>240</v>
      </c>
      <c r="I32" s="249" t="s">
        <v>240</v>
      </c>
      <c r="J32" s="249" t="s">
        <v>240</v>
      </c>
      <c r="K32" s="249" t="s">
        <v>240</v>
      </c>
      <c r="L32" s="249" t="s">
        <v>240</v>
      </c>
      <c r="M32" s="268" t="s">
        <v>240</v>
      </c>
      <c r="N32" s="268"/>
      <c r="O32" s="268" t="s">
        <v>240</v>
      </c>
      <c r="Q32" s="445"/>
      <c r="R32" s="400"/>
      <c r="S32" s="400"/>
      <c r="T32" s="400"/>
      <c r="U32" s="401"/>
    </row>
    <row r="33" spans="1:1" ht="15.75" customHeight="1" x14ac:dyDescent="0.25">
      <c r="A33" s="269" t="s">
        <v>241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24">
    <mergeCell ref="Y28:AC28"/>
    <mergeCell ref="Q22:U22"/>
    <mergeCell ref="Q30:U30"/>
    <mergeCell ref="Q27:U27"/>
    <mergeCell ref="A4:B4"/>
    <mergeCell ref="A6:O6"/>
    <mergeCell ref="Q6:T6"/>
    <mergeCell ref="A7:C7"/>
    <mergeCell ref="A2:O2"/>
    <mergeCell ref="A8:A27"/>
    <mergeCell ref="A32:C32"/>
    <mergeCell ref="Q29:U29"/>
    <mergeCell ref="Q23:U23"/>
    <mergeCell ref="Q26:U26"/>
    <mergeCell ref="A28:C28"/>
    <mergeCell ref="Q31:U31"/>
    <mergeCell ref="A5:B5"/>
    <mergeCell ref="Q32:U32"/>
    <mergeCell ref="Q25:U25"/>
    <mergeCell ref="Q21:U21"/>
    <mergeCell ref="Q28:U28"/>
    <mergeCell ref="I4:O4"/>
    <mergeCell ref="Q24:U24"/>
    <mergeCell ref="K5:O5"/>
  </mergeCells>
  <conditionalFormatting sqref="M25:N27 M29:N29">
    <cfRule type="cellIs" dxfId="3015" priority="57" operator="equal">
      <formula>"NI"</formula>
    </cfRule>
    <cfRule type="cellIs" dxfId="3014" priority="58" operator="equal">
      <formula>"N"</formula>
    </cfRule>
    <cfRule type="cellIs" dxfId="3013" priority="59" operator="equal">
      <formula>"P"</formula>
    </cfRule>
    <cfRule type="cellIs" dxfId="3012" priority="60" operator="equal">
      <formula>"J"</formula>
    </cfRule>
  </conditionalFormatting>
  <conditionalFormatting sqref="M30:M31">
    <cfRule type="cellIs" dxfId="3011" priority="61" operator="equal">
      <formula>"NI"</formula>
    </cfRule>
    <cfRule type="cellIs" dxfId="3010" priority="62" operator="equal">
      <formula>"N"</formula>
    </cfRule>
    <cfRule type="cellIs" dxfId="3009" priority="63" operator="equal">
      <formula>"P"</formula>
    </cfRule>
    <cfRule type="cellIs" dxfId="3008" priority="64" operator="equal">
      <formula>"J"</formula>
    </cfRule>
  </conditionalFormatting>
  <conditionalFormatting sqref="M9:M10">
    <cfRule type="cellIs" dxfId="3007" priority="65" operator="equal">
      <formula>"NI"</formula>
    </cfRule>
    <cfRule type="cellIs" dxfId="3006" priority="66" operator="equal">
      <formula>"N"</formula>
    </cfRule>
    <cfRule type="cellIs" dxfId="3005" priority="67" operator="equal">
      <formula>"P"</formula>
    </cfRule>
    <cfRule type="cellIs" dxfId="3004" priority="68" operator="equal">
      <formula>"J"</formula>
    </cfRule>
  </conditionalFormatting>
  <conditionalFormatting sqref="M11">
    <cfRule type="cellIs" dxfId="3003" priority="69" operator="equal">
      <formula>"NI"</formula>
    </cfRule>
    <cfRule type="cellIs" dxfId="3002" priority="70" operator="equal">
      <formula>"N"</formula>
    </cfRule>
    <cfRule type="cellIs" dxfId="3001" priority="71" operator="equal">
      <formula>"P"</formula>
    </cfRule>
    <cfRule type="cellIs" dxfId="3000" priority="72" operator="equal">
      <formula>"J"</formula>
    </cfRule>
  </conditionalFormatting>
  <conditionalFormatting sqref="M13:N17">
    <cfRule type="cellIs" dxfId="2999" priority="73" operator="equal">
      <formula>"NI"</formula>
    </cfRule>
    <cfRule type="cellIs" dxfId="2998" priority="74" operator="equal">
      <formula>"N"</formula>
    </cfRule>
    <cfRule type="cellIs" dxfId="2997" priority="75" operator="equal">
      <formula>"P"</formula>
    </cfRule>
    <cfRule type="cellIs" dxfId="2996" priority="76" operator="equal">
      <formula>"J"</formula>
    </cfRule>
  </conditionalFormatting>
  <conditionalFormatting sqref="M19:N23">
    <cfRule type="cellIs" dxfId="2995" priority="77" operator="equal">
      <formula>"NI"</formula>
    </cfRule>
    <cfRule type="cellIs" dxfId="2994" priority="78" operator="equal">
      <formula>"N"</formula>
    </cfRule>
    <cfRule type="cellIs" dxfId="2993" priority="79" operator="equal">
      <formula>"P"</formula>
    </cfRule>
    <cfRule type="cellIs" dxfId="2992" priority="80" operator="equal">
      <formula>"J"</formula>
    </cfRule>
  </conditionalFormatting>
  <conditionalFormatting sqref="N30:N31">
    <cfRule type="cellIs" dxfId="2991" priority="81" operator="equal">
      <formula>"NI"</formula>
    </cfRule>
    <cfRule type="cellIs" dxfId="2990" priority="82" operator="equal">
      <formula>"N"</formula>
    </cfRule>
    <cfRule type="cellIs" dxfId="2989" priority="83" operator="equal">
      <formula>"P"</formula>
    </cfRule>
    <cfRule type="cellIs" dxfId="2988" priority="84" operator="equal">
      <formula>"J"</formula>
    </cfRule>
  </conditionalFormatting>
  <conditionalFormatting sqref="N9:N11">
    <cfRule type="cellIs" dxfId="2987" priority="85" operator="equal">
      <formula>"NI"</formula>
    </cfRule>
    <cfRule type="cellIs" dxfId="2986" priority="86" operator="equal">
      <formula>"N"</formula>
    </cfRule>
    <cfRule type="cellIs" dxfId="2985" priority="87" operator="equal">
      <formula>"P"</formula>
    </cfRule>
    <cfRule type="cellIs" dxfId="2984" priority="88" operator="equal">
      <formula>"J"</formula>
    </cfRule>
  </conditionalFormatting>
  <conditionalFormatting sqref="O9:O11 O13:O17 O19:O23 O25:O27 O29:O31">
    <cfRule type="cellIs" dxfId="2983" priority="89" operator="equal">
      <formula>"NI"</formula>
    </cfRule>
    <cfRule type="cellIs" dxfId="2982" priority="90" operator="equal">
      <formula>"N"</formula>
    </cfRule>
    <cfRule type="cellIs" dxfId="2981" priority="91" operator="equal">
      <formula>"P"</formula>
    </cfRule>
    <cfRule type="cellIs" dxfId="2980" priority="92" operator="equal">
      <formula>"J"</formula>
    </cfRule>
  </conditionalFormatting>
  <conditionalFormatting sqref="J9:J11 J13:J17 J19:J23 J25:J27 J29:J31">
    <cfRule type="cellIs" dxfId="2979" priority="49" operator="equal">
      <formula>"NI"</formula>
    </cfRule>
    <cfRule type="cellIs" dxfId="2978" priority="50" operator="equal">
      <formula>"N"</formula>
    </cfRule>
    <cfRule type="cellIs" dxfId="2977" priority="51" operator="equal">
      <formula>"P"</formula>
    </cfRule>
    <cfRule type="cellIs" dxfId="2976" priority="52" operator="equal">
      <formula>"J"</formula>
    </cfRule>
  </conditionalFormatting>
  <conditionalFormatting sqref="K9:K11 K13:K17 K19:K23 K25:K27 K29:K31">
    <cfRule type="cellIs" dxfId="2975" priority="45" operator="equal">
      <formula>"NI"</formula>
    </cfRule>
    <cfRule type="cellIs" dxfId="2974" priority="46" operator="equal">
      <formula>"N"</formula>
    </cfRule>
    <cfRule type="cellIs" dxfId="2973" priority="47" operator="equal">
      <formula>"P"</formula>
    </cfRule>
    <cfRule type="cellIs" dxfId="2972" priority="48" operator="equal">
      <formula>"J"</formula>
    </cfRule>
  </conditionalFormatting>
  <conditionalFormatting sqref="L9:L11 L13:L17 L19:L23 L25:L27">
    <cfRule type="cellIs" dxfId="2971" priority="41" operator="equal">
      <formula>"NI"</formula>
    </cfRule>
    <cfRule type="cellIs" dxfId="2970" priority="42" operator="equal">
      <formula>"N"</formula>
    </cfRule>
    <cfRule type="cellIs" dxfId="2969" priority="43" operator="equal">
      <formula>"P"</formula>
    </cfRule>
    <cfRule type="cellIs" dxfId="2968" priority="44" operator="equal">
      <formula>"J"</formula>
    </cfRule>
  </conditionalFormatting>
  <conditionalFormatting sqref="D9:D11 D13:D17 D19:D23 D25:D27 D29:D31">
    <cfRule type="cellIs" dxfId="2967" priority="37" operator="equal">
      <formula>"NI"</formula>
    </cfRule>
    <cfRule type="cellIs" dxfId="2966" priority="38" operator="equal">
      <formula>"N"</formula>
    </cfRule>
    <cfRule type="cellIs" dxfId="2965" priority="39" operator="equal">
      <formula>"P"</formula>
    </cfRule>
    <cfRule type="cellIs" dxfId="2964" priority="40" operator="equal">
      <formula>"J"</formula>
    </cfRule>
  </conditionalFormatting>
  <conditionalFormatting sqref="E9:E11 E13:E17 E19:E23 E25:E27 E29:E31">
    <cfRule type="cellIs" dxfId="2963" priority="33" operator="equal">
      <formula>"NI"</formula>
    </cfRule>
    <cfRule type="cellIs" dxfId="2962" priority="34" operator="equal">
      <formula>"N"</formula>
    </cfRule>
    <cfRule type="cellIs" dxfId="2961" priority="35" operator="equal">
      <formula>"P"</formula>
    </cfRule>
    <cfRule type="cellIs" dxfId="2960" priority="36" operator="equal">
      <formula>"J"</formula>
    </cfRule>
  </conditionalFormatting>
  <conditionalFormatting sqref="F9:F11 F13:F17 F19:F23 F25:F27 F29:F31">
    <cfRule type="cellIs" dxfId="2959" priority="29" operator="equal">
      <formula>"NI"</formula>
    </cfRule>
    <cfRule type="cellIs" dxfId="2958" priority="30" operator="equal">
      <formula>"N"</formula>
    </cfRule>
    <cfRule type="cellIs" dxfId="2957" priority="31" operator="equal">
      <formula>"P"</formula>
    </cfRule>
    <cfRule type="cellIs" dxfId="2956" priority="32" operator="equal">
      <formula>"J"</formula>
    </cfRule>
  </conditionalFormatting>
  <conditionalFormatting sqref="I9:I11 I13:I17 I19:I23 I25:I27 I29:I30">
    <cfRule type="cellIs" dxfId="2955" priority="25" operator="equal">
      <formula>"NI"</formula>
    </cfRule>
    <cfRule type="cellIs" dxfId="2954" priority="26" operator="equal">
      <formula>"N"</formula>
    </cfRule>
    <cfRule type="cellIs" dxfId="2953" priority="27" operator="equal">
      <formula>"P"</formula>
    </cfRule>
    <cfRule type="cellIs" dxfId="2952" priority="28" operator="equal">
      <formula>"J"</formula>
    </cfRule>
  </conditionalFormatting>
  <conditionalFormatting sqref="I31">
    <cfRule type="cellIs" dxfId="2951" priority="21" operator="equal">
      <formula>"NI"</formula>
    </cfRule>
    <cfRule type="cellIs" dxfId="2950" priority="22" operator="equal">
      <formula>"N"</formula>
    </cfRule>
    <cfRule type="cellIs" dxfId="2949" priority="23" operator="equal">
      <formula>"P"</formula>
    </cfRule>
    <cfRule type="cellIs" dxfId="2948" priority="24" operator="equal">
      <formula>"J"</formula>
    </cfRule>
  </conditionalFormatting>
  <conditionalFormatting sqref="L30">
    <cfRule type="cellIs" dxfId="2947" priority="17" operator="equal">
      <formula>"NI"</formula>
    </cfRule>
    <cfRule type="cellIs" dxfId="2946" priority="18" operator="equal">
      <formula>"N"</formula>
    </cfRule>
    <cfRule type="cellIs" dxfId="2945" priority="19" operator="equal">
      <formula>"P"</formula>
    </cfRule>
    <cfRule type="cellIs" dxfId="2944" priority="20" operator="equal">
      <formula>"J"</formula>
    </cfRule>
  </conditionalFormatting>
  <conditionalFormatting sqref="L29">
    <cfRule type="cellIs" dxfId="2943" priority="13" operator="equal">
      <formula>"NI"</formula>
    </cfRule>
    <cfRule type="cellIs" dxfId="2942" priority="14" operator="equal">
      <formula>"N"</formula>
    </cfRule>
    <cfRule type="cellIs" dxfId="2941" priority="15" operator="equal">
      <formula>"P"</formula>
    </cfRule>
    <cfRule type="cellIs" dxfId="2940" priority="16" operator="equal">
      <formula>"J"</formula>
    </cfRule>
  </conditionalFormatting>
  <conditionalFormatting sqref="L31">
    <cfRule type="cellIs" dxfId="2939" priority="9" operator="equal">
      <formula>"NI"</formula>
    </cfRule>
    <cfRule type="cellIs" dxfId="2938" priority="10" operator="equal">
      <formula>"N"</formula>
    </cfRule>
    <cfRule type="cellIs" dxfId="2937" priority="11" operator="equal">
      <formula>"P"</formula>
    </cfRule>
    <cfRule type="cellIs" dxfId="2936" priority="12" operator="equal">
      <formula>"J"</formula>
    </cfRule>
  </conditionalFormatting>
  <conditionalFormatting sqref="G9:G11 G13:G17 G19:G23 G25:G27 G29:G31">
    <cfRule type="cellIs" dxfId="2935" priority="5" operator="equal">
      <formula>"NI"</formula>
    </cfRule>
    <cfRule type="cellIs" dxfId="2934" priority="6" operator="equal">
      <formula>"N"</formula>
    </cfRule>
    <cfRule type="cellIs" dxfId="2933" priority="7" operator="equal">
      <formula>"P"</formula>
    </cfRule>
    <cfRule type="cellIs" dxfId="2932" priority="8" operator="equal">
      <formula>"J"</formula>
    </cfRule>
  </conditionalFormatting>
  <conditionalFormatting sqref="H9:H11 H13:H17 H19:H23 H25:H27 H29:H31">
    <cfRule type="cellIs" dxfId="2931" priority="1" operator="equal">
      <formula>"NI"</formula>
    </cfRule>
    <cfRule type="cellIs" dxfId="2930" priority="2" operator="equal">
      <formula>"N"</formula>
    </cfRule>
    <cfRule type="cellIs" dxfId="2929" priority="3" operator="equal">
      <formula>"P"</formula>
    </cfRule>
    <cfRule type="cellIs" dxfId="292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6"/>
  <sheetViews>
    <sheetView zoomScale="80" zoomScaleNormal="80" workbookViewId="0">
      <selection activeCell="G6" sqref="G6"/>
    </sheetView>
  </sheetViews>
  <sheetFormatPr defaultColWidth="9" defaultRowHeight="15" x14ac:dyDescent="0.25"/>
  <cols>
    <col min="1" max="1" width="6.375" style="309" customWidth="1"/>
    <col min="2" max="2" width="18.125" style="309" customWidth="1"/>
    <col min="3" max="3" width="73.25" style="309" customWidth="1"/>
    <col min="4" max="4" width="3.25" style="309" customWidth="1"/>
    <col min="5" max="5" width="3.125" style="309" customWidth="1"/>
    <col min="6" max="1022" width="9" style="309" customWidth="1"/>
  </cols>
  <sheetData>
    <row r="1" spans="1:5" ht="15.75" customHeight="1" x14ac:dyDescent="0.25">
      <c r="A1" s="102"/>
      <c r="B1" s="103"/>
      <c r="C1" s="104"/>
      <c r="E1" s="102"/>
    </row>
    <row r="2" spans="1:5" ht="18.75" customHeight="1" x14ac:dyDescent="0.25">
      <c r="A2" s="105"/>
      <c r="B2" s="471" t="s">
        <v>308</v>
      </c>
      <c r="C2" s="323"/>
      <c r="E2" s="105"/>
    </row>
    <row r="3" spans="1:5" ht="60" customHeight="1" x14ac:dyDescent="0.25">
      <c r="A3" s="469" t="s">
        <v>175</v>
      </c>
      <c r="B3" s="106" t="s">
        <v>79</v>
      </c>
      <c r="C3" s="107" t="s">
        <v>309</v>
      </c>
      <c r="E3" s="469"/>
    </row>
    <row r="4" spans="1:5" ht="150" customHeight="1" x14ac:dyDescent="0.25">
      <c r="A4" s="470"/>
      <c r="B4" s="106" t="s">
        <v>310</v>
      </c>
      <c r="C4" s="107" t="s">
        <v>311</v>
      </c>
      <c r="E4" s="470"/>
    </row>
    <row r="5" spans="1:5" ht="135" customHeight="1" x14ac:dyDescent="0.25">
      <c r="A5" s="470"/>
      <c r="B5" s="106" t="s">
        <v>81</v>
      </c>
      <c r="C5" s="107" t="s">
        <v>312</v>
      </c>
      <c r="E5" s="470"/>
    </row>
    <row r="6" spans="1:5" ht="105" customHeight="1" x14ac:dyDescent="0.25">
      <c r="A6" s="470"/>
      <c r="B6" s="106" t="s">
        <v>82</v>
      </c>
      <c r="C6" s="107" t="s">
        <v>313</v>
      </c>
      <c r="E6" s="470"/>
    </row>
  </sheetData>
  <mergeCells count="3">
    <mergeCell ref="A3:A6"/>
    <mergeCell ref="E3:E6"/>
    <mergeCell ref="B2: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7"/>
  <sheetViews>
    <sheetView zoomScale="80" zoomScaleNormal="80" workbookViewId="0">
      <selection activeCell="K5" sqref="K5"/>
    </sheetView>
  </sheetViews>
  <sheetFormatPr defaultColWidth="9" defaultRowHeight="15" x14ac:dyDescent="0.25"/>
  <cols>
    <col min="1" max="1" width="6.375" style="309" customWidth="1"/>
    <col min="2" max="2" width="18.125" style="309" customWidth="1"/>
    <col min="3" max="3" width="73.25" style="309" customWidth="1"/>
    <col min="4" max="4" width="3.25" style="309" customWidth="1"/>
    <col min="5" max="5" width="3.125" style="309" customWidth="1"/>
    <col min="6" max="1022" width="9" style="309" customWidth="1"/>
  </cols>
  <sheetData>
    <row r="1" spans="1:5" ht="15.75" customHeight="1" x14ac:dyDescent="0.25">
      <c r="A1" s="102"/>
      <c r="B1" s="103"/>
      <c r="C1" s="104"/>
      <c r="E1" s="102"/>
    </row>
    <row r="2" spans="1:5" ht="18.75" customHeight="1" x14ac:dyDescent="0.25">
      <c r="A2" s="105"/>
      <c r="B2" s="471" t="s">
        <v>314</v>
      </c>
      <c r="C2" s="323"/>
      <c r="E2" s="105"/>
    </row>
    <row r="3" spans="1:5" ht="60" customHeight="1" x14ac:dyDescent="0.25">
      <c r="A3" s="469" t="s">
        <v>175</v>
      </c>
      <c r="B3" s="106" t="s">
        <v>79</v>
      </c>
      <c r="C3" s="107" t="s">
        <v>309</v>
      </c>
      <c r="E3" s="469"/>
    </row>
    <row r="4" spans="1:5" ht="150" customHeight="1" x14ac:dyDescent="0.25">
      <c r="A4" s="470"/>
      <c r="B4" s="106" t="s">
        <v>310</v>
      </c>
      <c r="C4" s="107" t="s">
        <v>315</v>
      </c>
      <c r="E4" s="470"/>
    </row>
    <row r="5" spans="1:5" ht="135" customHeight="1" x14ac:dyDescent="0.25">
      <c r="A5" s="470"/>
      <c r="B5" s="106" t="s">
        <v>81</v>
      </c>
      <c r="C5" s="107" t="s">
        <v>316</v>
      </c>
      <c r="E5" s="470"/>
    </row>
    <row r="6" spans="1:5" ht="105" customHeight="1" x14ac:dyDescent="0.25">
      <c r="A6" s="470"/>
      <c r="B6" s="106" t="s">
        <v>82</v>
      </c>
      <c r="C6" s="107" t="s">
        <v>313</v>
      </c>
      <c r="E6" s="470"/>
    </row>
    <row r="7" spans="1:5" ht="15.75" customHeight="1" x14ac:dyDescent="0.25">
      <c r="A7" s="108"/>
      <c r="B7" s="103"/>
      <c r="C7" s="104"/>
      <c r="E7" s="108"/>
    </row>
  </sheetData>
  <mergeCells count="3">
    <mergeCell ref="A3:A6"/>
    <mergeCell ref="E3:E6"/>
    <mergeCell ref="B2: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T15" sqref="T15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269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0.39374999999999999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0.39305555555555549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0.43472222222222218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2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927" priority="109" operator="equal">
      <formula>"NI"</formula>
    </cfRule>
    <cfRule type="cellIs" dxfId="2926" priority="110" operator="equal">
      <formula>"N"</formula>
    </cfRule>
    <cfRule type="cellIs" dxfId="2925" priority="111" operator="equal">
      <formula>"P"</formula>
    </cfRule>
    <cfRule type="cellIs" dxfId="2924" priority="112" operator="equal">
      <formula>"J"</formula>
    </cfRule>
  </conditionalFormatting>
  <conditionalFormatting sqref="M32:M33">
    <cfRule type="cellIs" dxfId="2923" priority="113" operator="equal">
      <formula>"NI"</formula>
    </cfRule>
    <cfRule type="cellIs" dxfId="2922" priority="114" operator="equal">
      <formula>"N"</formula>
    </cfRule>
    <cfRule type="cellIs" dxfId="2921" priority="115" operator="equal">
      <formula>"P"</formula>
    </cfRule>
    <cfRule type="cellIs" dxfId="2920" priority="116" operator="equal">
      <formula>"J"</formula>
    </cfRule>
  </conditionalFormatting>
  <conditionalFormatting sqref="M9:M10">
    <cfRule type="cellIs" dxfId="2919" priority="117" operator="equal">
      <formula>"NI"</formula>
    </cfRule>
    <cfRule type="cellIs" dxfId="2918" priority="118" operator="equal">
      <formula>"N"</formula>
    </cfRule>
    <cfRule type="cellIs" dxfId="2917" priority="119" operator="equal">
      <formula>"P"</formula>
    </cfRule>
    <cfRule type="cellIs" dxfId="2916" priority="120" operator="equal">
      <formula>"J"</formula>
    </cfRule>
  </conditionalFormatting>
  <conditionalFormatting sqref="M11">
    <cfRule type="cellIs" dxfId="2915" priority="121" operator="equal">
      <formula>"NI"</formula>
    </cfRule>
    <cfRule type="cellIs" dxfId="2914" priority="122" operator="equal">
      <formula>"N"</formula>
    </cfRule>
    <cfRule type="cellIs" dxfId="2913" priority="123" operator="equal">
      <formula>"P"</formula>
    </cfRule>
    <cfRule type="cellIs" dxfId="2912" priority="124" operator="equal">
      <formula>"J"</formula>
    </cfRule>
  </conditionalFormatting>
  <conditionalFormatting sqref="M13:N18">
    <cfRule type="cellIs" dxfId="2911" priority="125" operator="equal">
      <formula>"NI"</formula>
    </cfRule>
    <cfRule type="cellIs" dxfId="2910" priority="126" operator="equal">
      <formula>"N"</formula>
    </cfRule>
    <cfRule type="cellIs" dxfId="2909" priority="127" operator="equal">
      <formula>"P"</formula>
    </cfRule>
    <cfRule type="cellIs" dxfId="2908" priority="128" operator="equal">
      <formula>"J"</formula>
    </cfRule>
  </conditionalFormatting>
  <conditionalFormatting sqref="M20:N25">
    <cfRule type="cellIs" dxfId="2907" priority="129" operator="equal">
      <formula>"NI"</formula>
    </cfRule>
    <cfRule type="cellIs" dxfId="2906" priority="130" operator="equal">
      <formula>"N"</formula>
    </cfRule>
    <cfRule type="cellIs" dxfId="2905" priority="131" operator="equal">
      <formula>"P"</formula>
    </cfRule>
    <cfRule type="cellIs" dxfId="2904" priority="132" operator="equal">
      <formula>"J"</formula>
    </cfRule>
  </conditionalFormatting>
  <conditionalFormatting sqref="N32:N33">
    <cfRule type="cellIs" dxfId="2903" priority="133" operator="equal">
      <formula>"NI"</formula>
    </cfRule>
    <cfRule type="cellIs" dxfId="2902" priority="134" operator="equal">
      <formula>"N"</formula>
    </cfRule>
    <cfRule type="cellIs" dxfId="2901" priority="135" operator="equal">
      <formula>"P"</formula>
    </cfRule>
    <cfRule type="cellIs" dxfId="2900" priority="136" operator="equal">
      <formula>"J"</formula>
    </cfRule>
  </conditionalFormatting>
  <conditionalFormatting sqref="N9:N11">
    <cfRule type="cellIs" dxfId="2899" priority="137" operator="equal">
      <formula>"NI"</formula>
    </cfRule>
    <cfRule type="cellIs" dxfId="2898" priority="138" operator="equal">
      <formula>"N"</formula>
    </cfRule>
    <cfRule type="cellIs" dxfId="2897" priority="139" operator="equal">
      <formula>"P"</formula>
    </cfRule>
    <cfRule type="cellIs" dxfId="2896" priority="140" operator="equal">
      <formula>"J"</formula>
    </cfRule>
  </conditionalFormatting>
  <conditionalFormatting sqref="O9:O11 O13:O18 O20:O25 O27:O29 O31:O33">
    <cfRule type="cellIs" dxfId="2895" priority="141" operator="equal">
      <formula>"NI"</formula>
    </cfRule>
    <cfRule type="cellIs" dxfId="2894" priority="142" operator="equal">
      <formula>"N"</formula>
    </cfRule>
    <cfRule type="cellIs" dxfId="2893" priority="143" operator="equal">
      <formula>"P"</formula>
    </cfRule>
    <cfRule type="cellIs" dxfId="2892" priority="144" operator="equal">
      <formula>"J"</formula>
    </cfRule>
  </conditionalFormatting>
  <conditionalFormatting sqref="G9:G11 G13:G18 G20:G25 G27:G29 G31:G33">
    <cfRule type="cellIs" dxfId="2891" priority="53" operator="equal">
      <formula>"NI"</formula>
    </cfRule>
    <cfRule type="cellIs" dxfId="2890" priority="54" operator="equal">
      <formula>"N"</formula>
    </cfRule>
    <cfRule type="cellIs" dxfId="2889" priority="55" operator="equal">
      <formula>"P"</formula>
    </cfRule>
    <cfRule type="cellIs" dxfId="2888" priority="56" operator="equal">
      <formula>"J"</formula>
    </cfRule>
  </conditionalFormatting>
  <conditionalFormatting sqref="H9:H11 H13:H18 H20:H25 H27:H29 H31:H33">
    <cfRule type="cellIs" dxfId="2887" priority="49" operator="equal">
      <formula>"NI"</formula>
    </cfRule>
    <cfRule type="cellIs" dxfId="2886" priority="50" operator="equal">
      <formula>"N"</formula>
    </cfRule>
    <cfRule type="cellIs" dxfId="2885" priority="51" operator="equal">
      <formula>"P"</formula>
    </cfRule>
    <cfRule type="cellIs" dxfId="2884" priority="52" operator="equal">
      <formula>"J"</formula>
    </cfRule>
  </conditionalFormatting>
  <conditionalFormatting sqref="I9:I11 I13:I18 I20:I25 I27:I29 I31:I32">
    <cfRule type="cellIs" dxfId="2883" priority="45" operator="equal">
      <formula>"NI"</formula>
    </cfRule>
    <cfRule type="cellIs" dxfId="2882" priority="46" operator="equal">
      <formula>"N"</formula>
    </cfRule>
    <cfRule type="cellIs" dxfId="2881" priority="47" operator="equal">
      <formula>"P"</formula>
    </cfRule>
    <cfRule type="cellIs" dxfId="2880" priority="48" operator="equal">
      <formula>"J"</formula>
    </cfRule>
  </conditionalFormatting>
  <conditionalFormatting sqref="I33">
    <cfRule type="cellIs" dxfId="2879" priority="41" operator="equal">
      <formula>"NI"</formula>
    </cfRule>
    <cfRule type="cellIs" dxfId="2878" priority="42" operator="equal">
      <formula>"N"</formula>
    </cfRule>
    <cfRule type="cellIs" dxfId="2877" priority="43" operator="equal">
      <formula>"P"</formula>
    </cfRule>
    <cfRule type="cellIs" dxfId="2876" priority="44" operator="equal">
      <formula>"J"</formula>
    </cfRule>
  </conditionalFormatting>
  <conditionalFormatting sqref="J9:J11 J13:J18 J20:J25 J27:J29 J31:J33">
    <cfRule type="cellIs" dxfId="2875" priority="37" operator="equal">
      <formula>"NI"</formula>
    </cfRule>
    <cfRule type="cellIs" dxfId="2874" priority="38" operator="equal">
      <formula>"N"</formula>
    </cfRule>
    <cfRule type="cellIs" dxfId="2873" priority="39" operator="equal">
      <formula>"P"</formula>
    </cfRule>
    <cfRule type="cellIs" dxfId="2872" priority="40" operator="equal">
      <formula>"J"</formula>
    </cfRule>
  </conditionalFormatting>
  <conditionalFormatting sqref="K9:K11 K13:K18 K20:K25 K27:K29 K31:K33">
    <cfRule type="cellIs" dxfId="2871" priority="33" operator="equal">
      <formula>"NI"</formula>
    </cfRule>
    <cfRule type="cellIs" dxfId="2870" priority="34" operator="equal">
      <formula>"N"</formula>
    </cfRule>
    <cfRule type="cellIs" dxfId="2869" priority="35" operator="equal">
      <formula>"P"</formula>
    </cfRule>
    <cfRule type="cellIs" dxfId="2868" priority="36" operator="equal">
      <formula>"J"</formula>
    </cfRule>
  </conditionalFormatting>
  <conditionalFormatting sqref="L9:L11 L13:L18 L20:L25 L27:L29">
    <cfRule type="cellIs" dxfId="2867" priority="29" operator="equal">
      <formula>"NI"</formula>
    </cfRule>
    <cfRule type="cellIs" dxfId="2866" priority="30" operator="equal">
      <formula>"N"</formula>
    </cfRule>
    <cfRule type="cellIs" dxfId="2865" priority="31" operator="equal">
      <formula>"P"</formula>
    </cfRule>
    <cfRule type="cellIs" dxfId="2864" priority="32" operator="equal">
      <formula>"J"</formula>
    </cfRule>
  </conditionalFormatting>
  <conditionalFormatting sqref="L32:L33">
    <cfRule type="cellIs" dxfId="2863" priority="25" operator="equal">
      <formula>"NI"</formula>
    </cfRule>
    <cfRule type="cellIs" dxfId="2862" priority="26" operator="equal">
      <formula>"N"</formula>
    </cfRule>
    <cfRule type="cellIs" dxfId="2861" priority="27" operator="equal">
      <formula>"P"</formula>
    </cfRule>
    <cfRule type="cellIs" dxfId="2860" priority="28" operator="equal">
      <formula>"J"</formula>
    </cfRule>
  </conditionalFormatting>
  <conditionalFormatting sqref="L31">
    <cfRule type="cellIs" dxfId="2859" priority="21" operator="equal">
      <formula>"NI"</formula>
    </cfRule>
    <cfRule type="cellIs" dxfId="2858" priority="22" operator="equal">
      <formula>"N"</formula>
    </cfRule>
    <cfRule type="cellIs" dxfId="2857" priority="23" operator="equal">
      <formula>"P"</formula>
    </cfRule>
    <cfRule type="cellIs" dxfId="2856" priority="24" operator="equal">
      <formula>"J"</formula>
    </cfRule>
  </conditionalFormatting>
  <conditionalFormatting sqref="D9:D11 D13:D18 D20:D25 D27:D29 D31:D33">
    <cfRule type="cellIs" dxfId="2855" priority="17" operator="equal">
      <formula>"NI"</formula>
    </cfRule>
    <cfRule type="cellIs" dxfId="2854" priority="18" operator="equal">
      <formula>"N"</formula>
    </cfRule>
    <cfRule type="cellIs" dxfId="2853" priority="19" operator="equal">
      <formula>"P"</formula>
    </cfRule>
    <cfRule type="cellIs" dxfId="2852" priority="20" operator="equal">
      <formula>"J"</formula>
    </cfRule>
  </conditionalFormatting>
  <conditionalFormatting sqref="E9:E11 E13:E18 E20:E25 E27:E29 E32:E33">
    <cfRule type="cellIs" dxfId="2851" priority="13" operator="equal">
      <formula>"NI"</formula>
    </cfRule>
    <cfRule type="cellIs" dxfId="2850" priority="14" operator="equal">
      <formula>"N"</formula>
    </cfRule>
    <cfRule type="cellIs" dxfId="2849" priority="15" operator="equal">
      <formula>"P"</formula>
    </cfRule>
    <cfRule type="cellIs" dxfId="2848" priority="16" operator="equal">
      <formula>"J"</formula>
    </cfRule>
  </conditionalFormatting>
  <conditionalFormatting sqref="E31">
    <cfRule type="cellIs" dxfId="2847" priority="9" operator="equal">
      <formula>"NI"</formula>
    </cfRule>
    <cfRule type="cellIs" dxfId="2846" priority="10" operator="equal">
      <formula>"N"</formula>
    </cfRule>
    <cfRule type="cellIs" dxfId="2845" priority="11" operator="equal">
      <formula>"P"</formula>
    </cfRule>
    <cfRule type="cellIs" dxfId="2844" priority="12" operator="equal">
      <formula>"J"</formula>
    </cfRule>
  </conditionalFormatting>
  <conditionalFormatting sqref="F9:F11 F13:F18 F20:F25 F27:F29 F32:F33">
    <cfRule type="cellIs" dxfId="2843" priority="5" operator="equal">
      <formula>"NI"</formula>
    </cfRule>
    <cfRule type="cellIs" dxfId="2842" priority="6" operator="equal">
      <formula>"N"</formula>
    </cfRule>
    <cfRule type="cellIs" dxfId="2841" priority="7" operator="equal">
      <formula>"P"</formula>
    </cfRule>
    <cfRule type="cellIs" dxfId="2840" priority="8" operator="equal">
      <formula>"J"</formula>
    </cfRule>
  </conditionalFormatting>
  <conditionalFormatting sqref="F31">
    <cfRule type="cellIs" dxfId="2839" priority="1" operator="equal">
      <formula>"NI"</formula>
    </cfRule>
    <cfRule type="cellIs" dxfId="2838" priority="2" operator="equal">
      <formula>"N"</formula>
    </cfRule>
    <cfRule type="cellIs" dxfId="2837" priority="3" operator="equal">
      <formula>"P"</formula>
    </cfRule>
    <cfRule type="cellIs" dxfId="283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S14" sqref="S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272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0.40972222222222221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0.39861111111111108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0.43888888888888888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215</v>
      </c>
      <c r="E18" s="183" t="s">
        <v>215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215</v>
      </c>
      <c r="E27" s="183" t="s">
        <v>215</v>
      </c>
      <c r="F27" s="183" t="s">
        <v>196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215</v>
      </c>
      <c r="E28" s="183" t="s">
        <v>215</v>
      </c>
      <c r="F28" s="183" t="s">
        <v>196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1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835" priority="141" operator="equal">
      <formula>"NI"</formula>
    </cfRule>
    <cfRule type="cellIs" dxfId="2834" priority="142" operator="equal">
      <formula>"N"</formula>
    </cfRule>
    <cfRule type="cellIs" dxfId="2833" priority="143" operator="equal">
      <formula>"P"</formula>
    </cfRule>
    <cfRule type="cellIs" dxfId="2832" priority="144" operator="equal">
      <formula>"J"</formula>
    </cfRule>
  </conditionalFormatting>
  <conditionalFormatting sqref="M32:M33">
    <cfRule type="cellIs" dxfId="2831" priority="145" operator="equal">
      <formula>"NI"</formula>
    </cfRule>
    <cfRule type="cellIs" dxfId="2830" priority="146" operator="equal">
      <formula>"N"</formula>
    </cfRule>
    <cfRule type="cellIs" dxfId="2829" priority="147" operator="equal">
      <formula>"P"</formula>
    </cfRule>
    <cfRule type="cellIs" dxfId="2828" priority="148" operator="equal">
      <formula>"J"</formula>
    </cfRule>
  </conditionalFormatting>
  <conditionalFormatting sqref="M9:M10">
    <cfRule type="cellIs" dxfId="2827" priority="149" operator="equal">
      <formula>"NI"</formula>
    </cfRule>
    <cfRule type="cellIs" dxfId="2826" priority="150" operator="equal">
      <formula>"N"</formula>
    </cfRule>
    <cfRule type="cellIs" dxfId="2825" priority="151" operator="equal">
      <formula>"P"</formula>
    </cfRule>
    <cfRule type="cellIs" dxfId="2824" priority="152" operator="equal">
      <formula>"J"</formula>
    </cfRule>
  </conditionalFormatting>
  <conditionalFormatting sqref="M11">
    <cfRule type="cellIs" dxfId="2823" priority="153" operator="equal">
      <formula>"NI"</formula>
    </cfRule>
    <cfRule type="cellIs" dxfId="2822" priority="154" operator="equal">
      <formula>"N"</formula>
    </cfRule>
    <cfRule type="cellIs" dxfId="2821" priority="155" operator="equal">
      <formula>"P"</formula>
    </cfRule>
    <cfRule type="cellIs" dxfId="2820" priority="156" operator="equal">
      <formula>"J"</formula>
    </cfRule>
  </conditionalFormatting>
  <conditionalFormatting sqref="M13:N18">
    <cfRule type="cellIs" dxfId="2819" priority="157" operator="equal">
      <formula>"NI"</formula>
    </cfRule>
    <cfRule type="cellIs" dxfId="2818" priority="158" operator="equal">
      <formula>"N"</formula>
    </cfRule>
    <cfRule type="cellIs" dxfId="2817" priority="159" operator="equal">
      <formula>"P"</formula>
    </cfRule>
    <cfRule type="cellIs" dxfId="2816" priority="160" operator="equal">
      <formula>"J"</formula>
    </cfRule>
  </conditionalFormatting>
  <conditionalFormatting sqref="M20:N25">
    <cfRule type="cellIs" dxfId="2815" priority="161" operator="equal">
      <formula>"NI"</formula>
    </cfRule>
    <cfRule type="cellIs" dxfId="2814" priority="162" operator="equal">
      <formula>"N"</formula>
    </cfRule>
    <cfRule type="cellIs" dxfId="2813" priority="163" operator="equal">
      <formula>"P"</formula>
    </cfRule>
    <cfRule type="cellIs" dxfId="2812" priority="164" operator="equal">
      <formula>"J"</formula>
    </cfRule>
  </conditionalFormatting>
  <conditionalFormatting sqref="N32:N33">
    <cfRule type="cellIs" dxfId="2811" priority="165" operator="equal">
      <formula>"NI"</formula>
    </cfRule>
    <cfRule type="cellIs" dxfId="2810" priority="166" operator="equal">
      <formula>"N"</formula>
    </cfRule>
    <cfRule type="cellIs" dxfId="2809" priority="167" operator="equal">
      <formula>"P"</formula>
    </cfRule>
    <cfRule type="cellIs" dxfId="2808" priority="168" operator="equal">
      <formula>"J"</formula>
    </cfRule>
  </conditionalFormatting>
  <conditionalFormatting sqref="N9:N11">
    <cfRule type="cellIs" dxfId="2807" priority="169" operator="equal">
      <formula>"NI"</formula>
    </cfRule>
    <cfRule type="cellIs" dxfId="2806" priority="170" operator="equal">
      <formula>"N"</formula>
    </cfRule>
    <cfRule type="cellIs" dxfId="2805" priority="171" operator="equal">
      <formula>"P"</formula>
    </cfRule>
    <cfRule type="cellIs" dxfId="2804" priority="172" operator="equal">
      <formula>"J"</formula>
    </cfRule>
  </conditionalFormatting>
  <conditionalFormatting sqref="O9:O11 O13:O18 O20:O25 O27:O29 O31:O33">
    <cfRule type="cellIs" dxfId="2803" priority="173" operator="equal">
      <formula>"NI"</formula>
    </cfRule>
    <cfRule type="cellIs" dxfId="2802" priority="174" operator="equal">
      <formula>"N"</formula>
    </cfRule>
    <cfRule type="cellIs" dxfId="2801" priority="175" operator="equal">
      <formula>"P"</formula>
    </cfRule>
    <cfRule type="cellIs" dxfId="2800" priority="176" operator="equal">
      <formula>"J"</formula>
    </cfRule>
  </conditionalFormatting>
  <conditionalFormatting sqref="G9:G11 G13:G18 G20:G25 G27:G29 G31:G33">
    <cfRule type="cellIs" dxfId="2799" priority="77" operator="equal">
      <formula>"NI"</formula>
    </cfRule>
    <cfRule type="cellIs" dxfId="2798" priority="78" operator="equal">
      <formula>"N"</formula>
    </cfRule>
    <cfRule type="cellIs" dxfId="2797" priority="79" operator="equal">
      <formula>"P"</formula>
    </cfRule>
    <cfRule type="cellIs" dxfId="2796" priority="80" operator="equal">
      <formula>"J"</formula>
    </cfRule>
  </conditionalFormatting>
  <conditionalFormatting sqref="H9:H11 H13:H18 H20:H25 H27:H29 H31:H33">
    <cfRule type="cellIs" dxfId="2795" priority="73" operator="equal">
      <formula>"NI"</formula>
    </cfRule>
    <cfRule type="cellIs" dxfId="2794" priority="74" operator="equal">
      <formula>"N"</formula>
    </cfRule>
    <cfRule type="cellIs" dxfId="2793" priority="75" operator="equal">
      <formula>"P"</formula>
    </cfRule>
    <cfRule type="cellIs" dxfId="2792" priority="76" operator="equal">
      <formula>"J"</formula>
    </cfRule>
  </conditionalFormatting>
  <conditionalFormatting sqref="I9:I11 I13:I18 I20:I25 I27:I29 I31:I32">
    <cfRule type="cellIs" dxfId="2791" priority="69" operator="equal">
      <formula>"NI"</formula>
    </cfRule>
    <cfRule type="cellIs" dxfId="2790" priority="70" operator="equal">
      <formula>"N"</formula>
    </cfRule>
    <cfRule type="cellIs" dxfId="2789" priority="71" operator="equal">
      <formula>"P"</formula>
    </cfRule>
    <cfRule type="cellIs" dxfId="2788" priority="72" operator="equal">
      <formula>"J"</formula>
    </cfRule>
  </conditionalFormatting>
  <conditionalFormatting sqref="I33">
    <cfRule type="cellIs" dxfId="2787" priority="65" operator="equal">
      <formula>"NI"</formula>
    </cfRule>
    <cfRule type="cellIs" dxfId="2786" priority="66" operator="equal">
      <formula>"N"</formula>
    </cfRule>
    <cfRule type="cellIs" dxfId="2785" priority="67" operator="equal">
      <formula>"P"</formula>
    </cfRule>
    <cfRule type="cellIs" dxfId="2784" priority="68" operator="equal">
      <formula>"J"</formula>
    </cfRule>
  </conditionalFormatting>
  <conditionalFormatting sqref="J9:J11 J13:J18 J20:J25 J27:J29 J31:J33">
    <cfRule type="cellIs" dxfId="2783" priority="61" operator="equal">
      <formula>"NI"</formula>
    </cfRule>
    <cfRule type="cellIs" dxfId="2782" priority="62" operator="equal">
      <formula>"N"</formula>
    </cfRule>
    <cfRule type="cellIs" dxfId="2781" priority="63" operator="equal">
      <formula>"P"</formula>
    </cfRule>
    <cfRule type="cellIs" dxfId="2780" priority="64" operator="equal">
      <formula>"J"</formula>
    </cfRule>
  </conditionalFormatting>
  <conditionalFormatting sqref="K9:K11 K13:K18 K20:K25 K27:K29 K31:K33">
    <cfRule type="cellIs" dxfId="2779" priority="57" operator="equal">
      <formula>"NI"</formula>
    </cfRule>
    <cfRule type="cellIs" dxfId="2778" priority="58" operator="equal">
      <formula>"N"</formula>
    </cfRule>
    <cfRule type="cellIs" dxfId="2777" priority="59" operator="equal">
      <formula>"P"</formula>
    </cfRule>
    <cfRule type="cellIs" dxfId="2776" priority="60" operator="equal">
      <formula>"J"</formula>
    </cfRule>
  </conditionalFormatting>
  <conditionalFormatting sqref="L9:L11 L13:L16 L20:L25 L27:L29">
    <cfRule type="cellIs" dxfId="2775" priority="53" operator="equal">
      <formula>"NI"</formula>
    </cfRule>
    <cfRule type="cellIs" dxfId="2774" priority="54" operator="equal">
      <formula>"N"</formula>
    </cfRule>
    <cfRule type="cellIs" dxfId="2773" priority="55" operator="equal">
      <formula>"P"</formula>
    </cfRule>
    <cfRule type="cellIs" dxfId="2772" priority="56" operator="equal">
      <formula>"J"</formula>
    </cfRule>
  </conditionalFormatting>
  <conditionalFormatting sqref="L17:L18">
    <cfRule type="cellIs" dxfId="2771" priority="49" operator="equal">
      <formula>"NI"</formula>
    </cfRule>
    <cfRule type="cellIs" dxfId="2770" priority="50" operator="equal">
      <formula>"N"</formula>
    </cfRule>
    <cfRule type="cellIs" dxfId="2769" priority="51" operator="equal">
      <formula>"P"</formula>
    </cfRule>
    <cfRule type="cellIs" dxfId="2768" priority="52" operator="equal">
      <formula>"J"</formula>
    </cfRule>
  </conditionalFormatting>
  <conditionalFormatting sqref="L32">
    <cfRule type="cellIs" dxfId="2767" priority="45" operator="equal">
      <formula>"NI"</formula>
    </cfRule>
    <cfRule type="cellIs" dxfId="2766" priority="46" operator="equal">
      <formula>"N"</formula>
    </cfRule>
    <cfRule type="cellIs" dxfId="2765" priority="47" operator="equal">
      <formula>"P"</formula>
    </cfRule>
    <cfRule type="cellIs" dxfId="2764" priority="48" operator="equal">
      <formula>"J"</formula>
    </cfRule>
  </conditionalFormatting>
  <conditionalFormatting sqref="L33">
    <cfRule type="cellIs" dxfId="2763" priority="41" operator="equal">
      <formula>"NI"</formula>
    </cfRule>
    <cfRule type="cellIs" dxfId="2762" priority="42" operator="equal">
      <formula>"N"</formula>
    </cfRule>
    <cfRule type="cellIs" dxfId="2761" priority="43" operator="equal">
      <formula>"P"</formula>
    </cfRule>
    <cfRule type="cellIs" dxfId="2760" priority="44" operator="equal">
      <formula>"J"</formula>
    </cfRule>
  </conditionalFormatting>
  <conditionalFormatting sqref="L31">
    <cfRule type="cellIs" dxfId="2759" priority="37" operator="equal">
      <formula>"NI"</formula>
    </cfRule>
    <cfRule type="cellIs" dxfId="2758" priority="38" operator="equal">
      <formula>"N"</formula>
    </cfRule>
    <cfRule type="cellIs" dxfId="2757" priority="39" operator="equal">
      <formula>"P"</formula>
    </cfRule>
    <cfRule type="cellIs" dxfId="2756" priority="40" operator="equal">
      <formula>"J"</formula>
    </cfRule>
  </conditionalFormatting>
  <conditionalFormatting sqref="D9:D11 D13:D18 D20:D25 D27:D29 D32">
    <cfRule type="cellIs" dxfId="2755" priority="33" operator="equal">
      <formula>"NI"</formula>
    </cfRule>
    <cfRule type="cellIs" dxfId="2754" priority="34" operator="equal">
      <formula>"N"</formula>
    </cfRule>
    <cfRule type="cellIs" dxfId="2753" priority="35" operator="equal">
      <formula>"P"</formula>
    </cfRule>
    <cfRule type="cellIs" dxfId="2752" priority="36" operator="equal">
      <formula>"J"</formula>
    </cfRule>
  </conditionalFormatting>
  <conditionalFormatting sqref="D33">
    <cfRule type="cellIs" dxfId="2751" priority="29" operator="equal">
      <formula>"NI"</formula>
    </cfRule>
    <cfRule type="cellIs" dxfId="2750" priority="30" operator="equal">
      <formula>"N"</formula>
    </cfRule>
    <cfRule type="cellIs" dxfId="2749" priority="31" operator="equal">
      <formula>"P"</formula>
    </cfRule>
    <cfRule type="cellIs" dxfId="2748" priority="32" operator="equal">
      <formula>"J"</formula>
    </cfRule>
  </conditionalFormatting>
  <conditionalFormatting sqref="D31">
    <cfRule type="cellIs" dxfId="2747" priority="25" operator="equal">
      <formula>"NI"</formula>
    </cfRule>
    <cfRule type="cellIs" dxfId="2746" priority="26" operator="equal">
      <formula>"N"</formula>
    </cfRule>
    <cfRule type="cellIs" dxfId="2745" priority="27" operator="equal">
      <formula>"P"</formula>
    </cfRule>
    <cfRule type="cellIs" dxfId="2744" priority="28" operator="equal">
      <formula>"J"</formula>
    </cfRule>
  </conditionalFormatting>
  <conditionalFormatting sqref="E9:E11 E13:E18 E20:E25 E27:E29 E32">
    <cfRule type="cellIs" dxfId="2743" priority="21" operator="equal">
      <formula>"NI"</formula>
    </cfRule>
    <cfRule type="cellIs" dxfId="2742" priority="22" operator="equal">
      <formula>"N"</formula>
    </cfRule>
    <cfRule type="cellIs" dxfId="2741" priority="23" operator="equal">
      <formula>"P"</formula>
    </cfRule>
    <cfRule type="cellIs" dxfId="2740" priority="24" operator="equal">
      <formula>"J"</formula>
    </cfRule>
  </conditionalFormatting>
  <conditionalFormatting sqref="E33">
    <cfRule type="cellIs" dxfId="2739" priority="17" operator="equal">
      <formula>"NI"</formula>
    </cfRule>
    <cfRule type="cellIs" dxfId="2738" priority="18" operator="equal">
      <formula>"N"</formula>
    </cfRule>
    <cfRule type="cellIs" dxfId="2737" priority="19" operator="equal">
      <formula>"P"</formula>
    </cfRule>
    <cfRule type="cellIs" dxfId="2736" priority="20" operator="equal">
      <formula>"J"</formula>
    </cfRule>
  </conditionalFormatting>
  <conditionalFormatting sqref="E31">
    <cfRule type="cellIs" dxfId="2735" priority="13" operator="equal">
      <formula>"NI"</formula>
    </cfRule>
    <cfRule type="cellIs" dxfId="2734" priority="14" operator="equal">
      <formula>"N"</formula>
    </cfRule>
    <cfRule type="cellIs" dxfId="2733" priority="15" operator="equal">
      <formula>"P"</formula>
    </cfRule>
    <cfRule type="cellIs" dxfId="2732" priority="16" operator="equal">
      <formula>"J"</formula>
    </cfRule>
  </conditionalFormatting>
  <conditionalFormatting sqref="F9:F11 F13:F18 F20:F25 F27:F29 F32">
    <cfRule type="cellIs" dxfId="2731" priority="9" operator="equal">
      <formula>"NI"</formula>
    </cfRule>
    <cfRule type="cellIs" dxfId="2730" priority="10" operator="equal">
      <formula>"N"</formula>
    </cfRule>
    <cfRule type="cellIs" dxfId="2729" priority="11" operator="equal">
      <formula>"P"</formula>
    </cfRule>
    <cfRule type="cellIs" dxfId="2728" priority="12" operator="equal">
      <formula>"J"</formula>
    </cfRule>
  </conditionalFormatting>
  <conditionalFormatting sqref="F33">
    <cfRule type="cellIs" dxfId="2727" priority="5" operator="equal">
      <formula>"NI"</formula>
    </cfRule>
    <cfRule type="cellIs" dxfId="2726" priority="6" operator="equal">
      <formula>"N"</formula>
    </cfRule>
    <cfRule type="cellIs" dxfId="2725" priority="7" operator="equal">
      <formula>"P"</formula>
    </cfRule>
    <cfRule type="cellIs" dxfId="2724" priority="8" operator="equal">
      <formula>"J"</formula>
    </cfRule>
  </conditionalFormatting>
  <conditionalFormatting sqref="F31">
    <cfRule type="cellIs" dxfId="2723" priority="1" operator="equal">
      <formula>"NI"</formula>
    </cfRule>
    <cfRule type="cellIs" dxfId="2722" priority="2" operator="equal">
      <formula>"N"</formula>
    </cfRule>
    <cfRule type="cellIs" dxfId="2721" priority="3" operator="equal">
      <formula>"P"</formula>
    </cfRule>
    <cfRule type="cellIs" dxfId="272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C24" sqref="C2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273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0.41111111111111109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0.44027777777777782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1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719" priority="133" operator="equal">
      <formula>"NI"</formula>
    </cfRule>
    <cfRule type="cellIs" dxfId="2718" priority="134" operator="equal">
      <formula>"N"</formula>
    </cfRule>
    <cfRule type="cellIs" dxfId="2717" priority="135" operator="equal">
      <formula>"P"</formula>
    </cfRule>
    <cfRule type="cellIs" dxfId="2716" priority="136" operator="equal">
      <formula>"J"</formula>
    </cfRule>
  </conditionalFormatting>
  <conditionalFormatting sqref="M32:M33">
    <cfRule type="cellIs" dxfId="2715" priority="137" operator="equal">
      <formula>"NI"</formula>
    </cfRule>
    <cfRule type="cellIs" dxfId="2714" priority="138" operator="equal">
      <formula>"N"</formula>
    </cfRule>
    <cfRule type="cellIs" dxfId="2713" priority="139" operator="equal">
      <formula>"P"</formula>
    </cfRule>
    <cfRule type="cellIs" dxfId="2712" priority="140" operator="equal">
      <formula>"J"</formula>
    </cfRule>
  </conditionalFormatting>
  <conditionalFormatting sqref="M9:M10">
    <cfRule type="cellIs" dxfId="2711" priority="141" operator="equal">
      <formula>"NI"</formula>
    </cfRule>
    <cfRule type="cellIs" dxfId="2710" priority="142" operator="equal">
      <formula>"N"</formula>
    </cfRule>
    <cfRule type="cellIs" dxfId="2709" priority="143" operator="equal">
      <formula>"P"</formula>
    </cfRule>
    <cfRule type="cellIs" dxfId="2708" priority="144" operator="equal">
      <formula>"J"</formula>
    </cfRule>
  </conditionalFormatting>
  <conditionalFormatting sqref="M11">
    <cfRule type="cellIs" dxfId="2707" priority="145" operator="equal">
      <formula>"NI"</formula>
    </cfRule>
    <cfRule type="cellIs" dxfId="2706" priority="146" operator="equal">
      <formula>"N"</formula>
    </cfRule>
    <cfRule type="cellIs" dxfId="2705" priority="147" operator="equal">
      <formula>"P"</formula>
    </cfRule>
    <cfRule type="cellIs" dxfId="2704" priority="148" operator="equal">
      <formula>"J"</formula>
    </cfRule>
  </conditionalFormatting>
  <conditionalFormatting sqref="M13:N18">
    <cfRule type="cellIs" dxfId="2703" priority="149" operator="equal">
      <formula>"NI"</formula>
    </cfRule>
    <cfRule type="cellIs" dxfId="2702" priority="150" operator="equal">
      <formula>"N"</formula>
    </cfRule>
    <cfRule type="cellIs" dxfId="2701" priority="151" operator="equal">
      <formula>"P"</formula>
    </cfRule>
    <cfRule type="cellIs" dxfId="2700" priority="152" operator="equal">
      <formula>"J"</formula>
    </cfRule>
  </conditionalFormatting>
  <conditionalFormatting sqref="M20:N25">
    <cfRule type="cellIs" dxfId="2699" priority="153" operator="equal">
      <formula>"NI"</formula>
    </cfRule>
    <cfRule type="cellIs" dxfId="2698" priority="154" operator="equal">
      <formula>"N"</formula>
    </cfRule>
    <cfRule type="cellIs" dxfId="2697" priority="155" operator="equal">
      <formula>"P"</formula>
    </cfRule>
    <cfRule type="cellIs" dxfId="2696" priority="156" operator="equal">
      <formula>"J"</formula>
    </cfRule>
  </conditionalFormatting>
  <conditionalFormatting sqref="N32:N33">
    <cfRule type="cellIs" dxfId="2695" priority="157" operator="equal">
      <formula>"NI"</formula>
    </cfRule>
    <cfRule type="cellIs" dxfId="2694" priority="158" operator="equal">
      <formula>"N"</formula>
    </cfRule>
    <cfRule type="cellIs" dxfId="2693" priority="159" operator="equal">
      <formula>"P"</formula>
    </cfRule>
    <cfRule type="cellIs" dxfId="2692" priority="160" operator="equal">
      <formula>"J"</formula>
    </cfRule>
  </conditionalFormatting>
  <conditionalFormatting sqref="N9:N11">
    <cfRule type="cellIs" dxfId="2691" priority="161" operator="equal">
      <formula>"NI"</formula>
    </cfRule>
    <cfRule type="cellIs" dxfId="2690" priority="162" operator="equal">
      <formula>"N"</formula>
    </cfRule>
    <cfRule type="cellIs" dxfId="2689" priority="163" operator="equal">
      <formula>"P"</formula>
    </cfRule>
    <cfRule type="cellIs" dxfId="2688" priority="164" operator="equal">
      <formula>"J"</formula>
    </cfRule>
  </conditionalFormatting>
  <conditionalFormatting sqref="O9:O11 O13:O18 O20:O25 O27:O29 O31:O33">
    <cfRule type="cellIs" dxfId="2687" priority="165" operator="equal">
      <formula>"NI"</formula>
    </cfRule>
    <cfRule type="cellIs" dxfId="2686" priority="166" operator="equal">
      <formula>"N"</formula>
    </cfRule>
    <cfRule type="cellIs" dxfId="2685" priority="167" operator="equal">
      <formula>"P"</formula>
    </cfRule>
    <cfRule type="cellIs" dxfId="2684" priority="168" operator="equal">
      <formula>"J"</formula>
    </cfRule>
  </conditionalFormatting>
  <conditionalFormatting sqref="G9:G11 G13:G18 G20:G25 G27:G29 G31:G33">
    <cfRule type="cellIs" dxfId="2683" priority="69" operator="equal">
      <formula>"NI"</formula>
    </cfRule>
    <cfRule type="cellIs" dxfId="2682" priority="70" operator="equal">
      <formula>"N"</formula>
    </cfRule>
    <cfRule type="cellIs" dxfId="2681" priority="71" operator="equal">
      <formula>"P"</formula>
    </cfRule>
    <cfRule type="cellIs" dxfId="2680" priority="72" operator="equal">
      <formula>"J"</formula>
    </cfRule>
  </conditionalFormatting>
  <conditionalFormatting sqref="H9:H11 H13:H18 H20:H25 H27:H29 H31:H33">
    <cfRule type="cellIs" dxfId="2679" priority="65" operator="equal">
      <formula>"NI"</formula>
    </cfRule>
    <cfRule type="cellIs" dxfId="2678" priority="66" operator="equal">
      <formula>"N"</formula>
    </cfRule>
    <cfRule type="cellIs" dxfId="2677" priority="67" operator="equal">
      <formula>"P"</formula>
    </cfRule>
    <cfRule type="cellIs" dxfId="2676" priority="68" operator="equal">
      <formula>"J"</formula>
    </cfRule>
  </conditionalFormatting>
  <conditionalFormatting sqref="I9:I11 I13:I18 I20:I25 I27:I29 I31:I32">
    <cfRule type="cellIs" dxfId="2675" priority="61" operator="equal">
      <formula>"NI"</formula>
    </cfRule>
    <cfRule type="cellIs" dxfId="2674" priority="62" operator="equal">
      <formula>"N"</formula>
    </cfRule>
    <cfRule type="cellIs" dxfId="2673" priority="63" operator="equal">
      <formula>"P"</formula>
    </cfRule>
    <cfRule type="cellIs" dxfId="2672" priority="64" operator="equal">
      <formula>"J"</formula>
    </cfRule>
  </conditionalFormatting>
  <conditionalFormatting sqref="I33">
    <cfRule type="cellIs" dxfId="2671" priority="57" operator="equal">
      <formula>"NI"</formula>
    </cfRule>
    <cfRule type="cellIs" dxfId="2670" priority="58" operator="equal">
      <formula>"N"</formula>
    </cfRule>
    <cfRule type="cellIs" dxfId="2669" priority="59" operator="equal">
      <formula>"P"</formula>
    </cfRule>
    <cfRule type="cellIs" dxfId="2668" priority="60" operator="equal">
      <formula>"J"</formula>
    </cfRule>
  </conditionalFormatting>
  <conditionalFormatting sqref="J9:J11 J13:J18 J20:J25 J27:J29 J31:J33">
    <cfRule type="cellIs" dxfId="2667" priority="53" operator="equal">
      <formula>"NI"</formula>
    </cfRule>
    <cfRule type="cellIs" dxfId="2666" priority="54" operator="equal">
      <formula>"N"</formula>
    </cfRule>
    <cfRule type="cellIs" dxfId="2665" priority="55" operator="equal">
      <formula>"P"</formula>
    </cfRule>
    <cfRule type="cellIs" dxfId="2664" priority="56" operator="equal">
      <formula>"J"</formula>
    </cfRule>
  </conditionalFormatting>
  <conditionalFormatting sqref="K9:K11 K13:K18 K20:K25 K27:K29 K31:K33">
    <cfRule type="cellIs" dxfId="2663" priority="49" operator="equal">
      <formula>"NI"</formula>
    </cfRule>
    <cfRule type="cellIs" dxfId="2662" priority="50" operator="equal">
      <formula>"N"</formula>
    </cfRule>
    <cfRule type="cellIs" dxfId="2661" priority="51" operator="equal">
      <formula>"P"</formula>
    </cfRule>
    <cfRule type="cellIs" dxfId="2660" priority="52" operator="equal">
      <formula>"J"</formula>
    </cfRule>
  </conditionalFormatting>
  <conditionalFormatting sqref="L9:L11 L13:L16 L18 L20:L25 L27:L29">
    <cfRule type="cellIs" dxfId="2659" priority="45" operator="equal">
      <formula>"NI"</formula>
    </cfRule>
    <cfRule type="cellIs" dxfId="2658" priority="46" operator="equal">
      <formula>"N"</formula>
    </cfRule>
    <cfRule type="cellIs" dxfId="2657" priority="47" operator="equal">
      <formula>"P"</formula>
    </cfRule>
    <cfRule type="cellIs" dxfId="2656" priority="48" operator="equal">
      <formula>"J"</formula>
    </cfRule>
  </conditionalFormatting>
  <conditionalFormatting sqref="L17">
    <cfRule type="cellIs" dxfId="2655" priority="41" operator="equal">
      <formula>"NI"</formula>
    </cfRule>
    <cfRule type="cellIs" dxfId="2654" priority="42" operator="equal">
      <formula>"N"</formula>
    </cfRule>
    <cfRule type="cellIs" dxfId="2653" priority="43" operator="equal">
      <formula>"P"</formula>
    </cfRule>
    <cfRule type="cellIs" dxfId="2652" priority="44" operator="equal">
      <formula>"J"</formula>
    </cfRule>
  </conditionalFormatting>
  <conditionalFormatting sqref="L32">
    <cfRule type="cellIs" dxfId="2651" priority="37" operator="equal">
      <formula>"NI"</formula>
    </cfRule>
    <cfRule type="cellIs" dxfId="2650" priority="38" operator="equal">
      <formula>"N"</formula>
    </cfRule>
    <cfRule type="cellIs" dxfId="2649" priority="39" operator="equal">
      <formula>"P"</formula>
    </cfRule>
    <cfRule type="cellIs" dxfId="2648" priority="40" operator="equal">
      <formula>"J"</formula>
    </cfRule>
  </conditionalFormatting>
  <conditionalFormatting sqref="L33">
    <cfRule type="cellIs" dxfId="2647" priority="33" operator="equal">
      <formula>"NI"</formula>
    </cfRule>
    <cfRule type="cellIs" dxfId="2646" priority="34" operator="equal">
      <formula>"N"</formula>
    </cfRule>
    <cfRule type="cellIs" dxfId="2645" priority="35" operator="equal">
      <formula>"P"</formula>
    </cfRule>
    <cfRule type="cellIs" dxfId="2644" priority="36" operator="equal">
      <formula>"J"</formula>
    </cfRule>
  </conditionalFormatting>
  <conditionalFormatting sqref="L31">
    <cfRule type="cellIs" dxfId="2643" priority="29" operator="equal">
      <formula>"NI"</formula>
    </cfRule>
    <cfRule type="cellIs" dxfId="2642" priority="30" operator="equal">
      <formula>"N"</formula>
    </cfRule>
    <cfRule type="cellIs" dxfId="2641" priority="31" operator="equal">
      <formula>"P"</formula>
    </cfRule>
    <cfRule type="cellIs" dxfId="2640" priority="32" operator="equal">
      <formula>"J"</formula>
    </cfRule>
  </conditionalFormatting>
  <conditionalFormatting sqref="D9:D11 D13:D18 D20:D25 D27:D29 D31:D32">
    <cfRule type="cellIs" dxfId="2639" priority="25" operator="equal">
      <formula>"NI"</formula>
    </cfRule>
    <cfRule type="cellIs" dxfId="2638" priority="26" operator="equal">
      <formula>"N"</formula>
    </cfRule>
    <cfRule type="cellIs" dxfId="2637" priority="27" operator="equal">
      <formula>"P"</formula>
    </cfRule>
    <cfRule type="cellIs" dxfId="2636" priority="28" operator="equal">
      <formula>"J"</formula>
    </cfRule>
  </conditionalFormatting>
  <conditionalFormatting sqref="D33">
    <cfRule type="cellIs" dxfId="2635" priority="21" operator="equal">
      <formula>"NI"</formula>
    </cfRule>
    <cfRule type="cellIs" dxfId="2634" priority="22" operator="equal">
      <formula>"N"</formula>
    </cfRule>
    <cfRule type="cellIs" dxfId="2633" priority="23" operator="equal">
      <formula>"P"</formula>
    </cfRule>
    <cfRule type="cellIs" dxfId="2632" priority="24" operator="equal">
      <formula>"J"</formula>
    </cfRule>
  </conditionalFormatting>
  <conditionalFormatting sqref="E18">
    <cfRule type="cellIs" dxfId="2631" priority="17" operator="equal">
      <formula>"NI"</formula>
    </cfRule>
    <cfRule type="cellIs" dxfId="2630" priority="18" operator="equal">
      <formula>"N"</formula>
    </cfRule>
    <cfRule type="cellIs" dxfId="2629" priority="19" operator="equal">
      <formula>"P"</formula>
    </cfRule>
    <cfRule type="cellIs" dxfId="2628" priority="20" operator="equal">
      <formula>"J"</formula>
    </cfRule>
  </conditionalFormatting>
  <conditionalFormatting sqref="E9:E11 E13:E17 E20:E25 E27:E29 E31:E32">
    <cfRule type="cellIs" dxfId="2627" priority="13" operator="equal">
      <formula>"NI"</formula>
    </cfRule>
    <cfRule type="cellIs" dxfId="2626" priority="14" operator="equal">
      <formula>"N"</formula>
    </cfRule>
    <cfRule type="cellIs" dxfId="2625" priority="15" operator="equal">
      <formula>"P"</formula>
    </cfRule>
    <cfRule type="cellIs" dxfId="2624" priority="16" operator="equal">
      <formula>"J"</formula>
    </cfRule>
  </conditionalFormatting>
  <conditionalFormatting sqref="E33">
    <cfRule type="cellIs" dxfId="2623" priority="9" operator="equal">
      <formula>"NI"</formula>
    </cfRule>
    <cfRule type="cellIs" dxfId="2622" priority="10" operator="equal">
      <formula>"N"</formula>
    </cfRule>
    <cfRule type="cellIs" dxfId="2621" priority="11" operator="equal">
      <formula>"P"</formula>
    </cfRule>
    <cfRule type="cellIs" dxfId="2620" priority="12" operator="equal">
      <formula>"J"</formula>
    </cfRule>
  </conditionalFormatting>
  <conditionalFormatting sqref="F9:F11 F13:F18 F20:F25 F27:F29 F31:F32">
    <cfRule type="cellIs" dxfId="2619" priority="5" operator="equal">
      <formula>"NI"</formula>
    </cfRule>
    <cfRule type="cellIs" dxfId="2618" priority="6" operator="equal">
      <formula>"N"</formula>
    </cfRule>
    <cfRule type="cellIs" dxfId="2617" priority="7" operator="equal">
      <formula>"P"</formula>
    </cfRule>
    <cfRule type="cellIs" dxfId="2616" priority="8" operator="equal">
      <formula>"J"</formula>
    </cfRule>
  </conditionalFormatting>
  <conditionalFormatting sqref="F33">
    <cfRule type="cellIs" dxfId="2615" priority="1" operator="equal">
      <formula>"NI"</formula>
    </cfRule>
    <cfRule type="cellIs" dxfId="2614" priority="2" operator="equal">
      <formula>"N"</formula>
    </cfRule>
    <cfRule type="cellIs" dxfId="2613" priority="3" operator="equal">
      <formula>"P"</formula>
    </cfRule>
    <cfRule type="cellIs" dxfId="261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T15" sqref="T15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275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0.4152777777777778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0.40486111111111112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0.44722222222222219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2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207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207</v>
      </c>
      <c r="E25" s="183" t="s">
        <v>207</v>
      </c>
      <c r="F25" s="183" t="s">
        <v>207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196</v>
      </c>
      <c r="E27" s="183" t="s">
        <v>196</v>
      </c>
      <c r="F27" s="183" t="s">
        <v>196</v>
      </c>
      <c r="G27" s="183"/>
      <c r="H27" s="184"/>
      <c r="I27" s="183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196</v>
      </c>
      <c r="E28" s="183" t="s">
        <v>196</v>
      </c>
      <c r="F28" s="183" t="s">
        <v>196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611" priority="181" operator="equal">
      <formula>"NI"</formula>
    </cfRule>
    <cfRule type="cellIs" dxfId="2610" priority="182" operator="equal">
      <formula>"N"</formula>
    </cfRule>
    <cfRule type="cellIs" dxfId="2609" priority="183" operator="equal">
      <formula>"P"</formula>
    </cfRule>
    <cfRule type="cellIs" dxfId="2608" priority="184" operator="equal">
      <formula>"J"</formula>
    </cfRule>
  </conditionalFormatting>
  <conditionalFormatting sqref="M32:M33">
    <cfRule type="cellIs" dxfId="2607" priority="185" operator="equal">
      <formula>"NI"</formula>
    </cfRule>
    <cfRule type="cellIs" dxfId="2606" priority="186" operator="equal">
      <formula>"N"</formula>
    </cfRule>
    <cfRule type="cellIs" dxfId="2605" priority="187" operator="equal">
      <formula>"P"</formula>
    </cfRule>
    <cfRule type="cellIs" dxfId="2604" priority="188" operator="equal">
      <formula>"J"</formula>
    </cfRule>
  </conditionalFormatting>
  <conditionalFormatting sqref="M9:M10">
    <cfRule type="cellIs" dxfId="2603" priority="189" operator="equal">
      <formula>"NI"</formula>
    </cfRule>
    <cfRule type="cellIs" dxfId="2602" priority="190" operator="equal">
      <formula>"N"</formula>
    </cfRule>
    <cfRule type="cellIs" dxfId="2601" priority="191" operator="equal">
      <formula>"P"</formula>
    </cfRule>
    <cfRule type="cellIs" dxfId="2600" priority="192" operator="equal">
      <formula>"J"</formula>
    </cfRule>
  </conditionalFormatting>
  <conditionalFormatting sqref="M11">
    <cfRule type="cellIs" dxfId="2599" priority="193" operator="equal">
      <formula>"NI"</formula>
    </cfRule>
    <cfRule type="cellIs" dxfId="2598" priority="194" operator="equal">
      <formula>"N"</formula>
    </cfRule>
    <cfRule type="cellIs" dxfId="2597" priority="195" operator="equal">
      <formula>"P"</formula>
    </cfRule>
    <cfRule type="cellIs" dxfId="2596" priority="196" operator="equal">
      <formula>"J"</formula>
    </cfRule>
  </conditionalFormatting>
  <conditionalFormatting sqref="M13:N18">
    <cfRule type="cellIs" dxfId="2595" priority="197" operator="equal">
      <formula>"NI"</formula>
    </cfRule>
    <cfRule type="cellIs" dxfId="2594" priority="198" operator="equal">
      <formula>"N"</formula>
    </cfRule>
    <cfRule type="cellIs" dxfId="2593" priority="199" operator="equal">
      <formula>"P"</formula>
    </cfRule>
    <cfRule type="cellIs" dxfId="2592" priority="200" operator="equal">
      <formula>"J"</formula>
    </cfRule>
  </conditionalFormatting>
  <conditionalFormatting sqref="M20:N25">
    <cfRule type="cellIs" dxfId="2591" priority="201" operator="equal">
      <formula>"NI"</formula>
    </cfRule>
    <cfRule type="cellIs" dxfId="2590" priority="202" operator="equal">
      <formula>"N"</formula>
    </cfRule>
    <cfRule type="cellIs" dxfId="2589" priority="203" operator="equal">
      <formula>"P"</formula>
    </cfRule>
    <cfRule type="cellIs" dxfId="2588" priority="204" operator="equal">
      <formula>"J"</formula>
    </cfRule>
  </conditionalFormatting>
  <conditionalFormatting sqref="N32:N33">
    <cfRule type="cellIs" dxfId="2587" priority="205" operator="equal">
      <formula>"NI"</formula>
    </cfRule>
    <cfRule type="cellIs" dxfId="2586" priority="206" operator="equal">
      <formula>"N"</formula>
    </cfRule>
    <cfRule type="cellIs" dxfId="2585" priority="207" operator="equal">
      <formula>"P"</formula>
    </cfRule>
    <cfRule type="cellIs" dxfId="2584" priority="208" operator="equal">
      <formula>"J"</formula>
    </cfRule>
  </conditionalFormatting>
  <conditionalFormatting sqref="N9:N11">
    <cfRule type="cellIs" dxfId="2583" priority="209" operator="equal">
      <formula>"NI"</formula>
    </cfRule>
    <cfRule type="cellIs" dxfId="2582" priority="210" operator="equal">
      <formula>"N"</formula>
    </cfRule>
    <cfRule type="cellIs" dxfId="2581" priority="211" operator="equal">
      <formula>"P"</formula>
    </cfRule>
    <cfRule type="cellIs" dxfId="2580" priority="212" operator="equal">
      <formula>"J"</formula>
    </cfRule>
  </conditionalFormatting>
  <conditionalFormatting sqref="O9:O11 O13:O18 O20:O25 O27:O29 O31:O33">
    <cfRule type="cellIs" dxfId="2579" priority="213" operator="equal">
      <formula>"NI"</formula>
    </cfRule>
    <cfRule type="cellIs" dxfId="2578" priority="214" operator="equal">
      <formula>"N"</formula>
    </cfRule>
    <cfRule type="cellIs" dxfId="2577" priority="215" operator="equal">
      <formula>"P"</formula>
    </cfRule>
    <cfRule type="cellIs" dxfId="2576" priority="216" operator="equal">
      <formula>"J"</formula>
    </cfRule>
  </conditionalFormatting>
  <conditionalFormatting sqref="G9:G11 G13:G18 G20:G25 G27:G29 G31:G33">
    <cfRule type="cellIs" dxfId="2575" priority="93" operator="equal">
      <formula>"NI"</formula>
    </cfRule>
    <cfRule type="cellIs" dxfId="2574" priority="94" operator="equal">
      <formula>"N"</formula>
    </cfRule>
    <cfRule type="cellIs" dxfId="2573" priority="95" operator="equal">
      <formula>"P"</formula>
    </cfRule>
    <cfRule type="cellIs" dxfId="2572" priority="96" operator="equal">
      <formula>"J"</formula>
    </cfRule>
  </conditionalFormatting>
  <conditionalFormatting sqref="H9:H11 H13:H18 H20:H25 H27:H29 H31:H33">
    <cfRule type="cellIs" dxfId="2571" priority="89" operator="equal">
      <formula>"NI"</formula>
    </cfRule>
    <cfRule type="cellIs" dxfId="2570" priority="90" operator="equal">
      <formula>"N"</formula>
    </cfRule>
    <cfRule type="cellIs" dxfId="2569" priority="91" operator="equal">
      <formula>"P"</formula>
    </cfRule>
    <cfRule type="cellIs" dxfId="2568" priority="92" operator="equal">
      <formula>"J"</formula>
    </cfRule>
  </conditionalFormatting>
  <conditionalFormatting sqref="I9:I11 I13:I18 I20:I25 I28:I29 I31:I32">
    <cfRule type="cellIs" dxfId="2567" priority="85" operator="equal">
      <formula>"NI"</formula>
    </cfRule>
    <cfRule type="cellIs" dxfId="2566" priority="86" operator="equal">
      <formula>"N"</formula>
    </cfRule>
    <cfRule type="cellIs" dxfId="2565" priority="87" operator="equal">
      <formula>"P"</formula>
    </cfRule>
    <cfRule type="cellIs" dxfId="2564" priority="88" operator="equal">
      <formula>"J"</formula>
    </cfRule>
  </conditionalFormatting>
  <conditionalFormatting sqref="I33">
    <cfRule type="cellIs" dxfId="2563" priority="81" operator="equal">
      <formula>"NI"</formula>
    </cfRule>
    <cfRule type="cellIs" dxfId="2562" priority="82" operator="equal">
      <formula>"N"</formula>
    </cfRule>
    <cfRule type="cellIs" dxfId="2561" priority="83" operator="equal">
      <formula>"P"</formula>
    </cfRule>
    <cfRule type="cellIs" dxfId="2560" priority="84" operator="equal">
      <formula>"J"</formula>
    </cfRule>
  </conditionalFormatting>
  <conditionalFormatting sqref="I27">
    <cfRule type="cellIs" dxfId="2559" priority="77" operator="equal">
      <formula>"NI"</formula>
    </cfRule>
    <cfRule type="cellIs" dxfId="2558" priority="78" operator="equal">
      <formula>"N"</formula>
    </cfRule>
    <cfRule type="cellIs" dxfId="2557" priority="79" operator="equal">
      <formula>"P"</formula>
    </cfRule>
    <cfRule type="cellIs" dxfId="2556" priority="80" operator="equal">
      <formula>"J"</formula>
    </cfRule>
  </conditionalFormatting>
  <conditionalFormatting sqref="J9:J11 J13:J18 J20:J25 J27:J29 J31:J33">
    <cfRule type="cellIs" dxfId="2555" priority="73" operator="equal">
      <formula>"NI"</formula>
    </cfRule>
    <cfRule type="cellIs" dxfId="2554" priority="74" operator="equal">
      <formula>"N"</formula>
    </cfRule>
    <cfRule type="cellIs" dxfId="2553" priority="75" operator="equal">
      <formula>"P"</formula>
    </cfRule>
    <cfRule type="cellIs" dxfId="2552" priority="76" operator="equal">
      <formula>"J"</formula>
    </cfRule>
  </conditionalFormatting>
  <conditionalFormatting sqref="K9:K11 K13:K18 K20:K25 K27:K29 K31:K33">
    <cfRule type="cellIs" dxfId="2551" priority="69" operator="equal">
      <formula>"NI"</formula>
    </cfRule>
    <cfRule type="cellIs" dxfId="2550" priority="70" operator="equal">
      <formula>"N"</formula>
    </cfRule>
    <cfRule type="cellIs" dxfId="2549" priority="71" operator="equal">
      <formula>"P"</formula>
    </cfRule>
    <cfRule type="cellIs" dxfId="2548" priority="72" operator="equal">
      <formula>"J"</formula>
    </cfRule>
  </conditionalFormatting>
  <conditionalFormatting sqref="L9:L11 L13:L18 L20:L25 L29">
    <cfRule type="cellIs" dxfId="2547" priority="65" operator="equal">
      <formula>"NI"</formula>
    </cfRule>
    <cfRule type="cellIs" dxfId="2546" priority="66" operator="equal">
      <formula>"N"</formula>
    </cfRule>
    <cfRule type="cellIs" dxfId="2545" priority="67" operator="equal">
      <formula>"P"</formula>
    </cfRule>
    <cfRule type="cellIs" dxfId="2544" priority="68" operator="equal">
      <formula>"J"</formula>
    </cfRule>
  </conditionalFormatting>
  <conditionalFormatting sqref="L27:L28">
    <cfRule type="cellIs" dxfId="2543" priority="61" operator="equal">
      <formula>"NI"</formula>
    </cfRule>
    <cfRule type="cellIs" dxfId="2542" priority="62" operator="equal">
      <formula>"N"</formula>
    </cfRule>
    <cfRule type="cellIs" dxfId="2541" priority="63" operator="equal">
      <formula>"P"</formula>
    </cfRule>
    <cfRule type="cellIs" dxfId="2540" priority="64" operator="equal">
      <formula>"J"</formula>
    </cfRule>
  </conditionalFormatting>
  <conditionalFormatting sqref="L32:L33">
    <cfRule type="cellIs" dxfId="2539" priority="57" operator="equal">
      <formula>"NI"</formula>
    </cfRule>
    <cfRule type="cellIs" dxfId="2538" priority="58" operator="equal">
      <formula>"N"</formula>
    </cfRule>
    <cfRule type="cellIs" dxfId="2537" priority="59" operator="equal">
      <formula>"P"</formula>
    </cfRule>
    <cfRule type="cellIs" dxfId="2536" priority="60" operator="equal">
      <formula>"J"</formula>
    </cfRule>
  </conditionalFormatting>
  <conditionalFormatting sqref="L31">
    <cfRule type="cellIs" dxfId="2535" priority="53" operator="equal">
      <formula>"NI"</formula>
    </cfRule>
    <cfRule type="cellIs" dxfId="2534" priority="54" operator="equal">
      <formula>"N"</formula>
    </cfRule>
    <cfRule type="cellIs" dxfId="2533" priority="55" operator="equal">
      <formula>"P"</formula>
    </cfRule>
    <cfRule type="cellIs" dxfId="2532" priority="56" operator="equal">
      <formula>"J"</formula>
    </cfRule>
  </conditionalFormatting>
  <conditionalFormatting sqref="D9:D10 D13:D18 D20:D25 D27:D29">
    <cfRule type="cellIs" dxfId="2531" priority="49" operator="equal">
      <formula>"NI"</formula>
    </cfRule>
    <cfRule type="cellIs" dxfId="2530" priority="50" operator="equal">
      <formula>"N"</formula>
    </cfRule>
    <cfRule type="cellIs" dxfId="2529" priority="51" operator="equal">
      <formula>"P"</formula>
    </cfRule>
    <cfRule type="cellIs" dxfId="2528" priority="52" operator="equal">
      <formula>"J"</formula>
    </cfRule>
  </conditionalFormatting>
  <conditionalFormatting sqref="D11">
    <cfRule type="cellIs" dxfId="2527" priority="45" operator="equal">
      <formula>"NI"</formula>
    </cfRule>
    <cfRule type="cellIs" dxfId="2526" priority="46" operator="equal">
      <formula>"N"</formula>
    </cfRule>
    <cfRule type="cellIs" dxfId="2525" priority="47" operator="equal">
      <formula>"P"</formula>
    </cfRule>
    <cfRule type="cellIs" dxfId="2524" priority="48" operator="equal">
      <formula>"J"</formula>
    </cfRule>
  </conditionalFormatting>
  <conditionalFormatting sqref="D31:D33">
    <cfRule type="cellIs" dxfId="2523" priority="41" operator="equal">
      <formula>"NI"</formula>
    </cfRule>
    <cfRule type="cellIs" dxfId="2522" priority="42" operator="equal">
      <formula>"N"</formula>
    </cfRule>
    <cfRule type="cellIs" dxfId="2521" priority="43" operator="equal">
      <formula>"P"</formula>
    </cfRule>
    <cfRule type="cellIs" dxfId="2520" priority="44" operator="equal">
      <formula>"J"</formula>
    </cfRule>
  </conditionalFormatting>
  <conditionalFormatting sqref="E9:E10 E13:E18 E20:E24 E29">
    <cfRule type="cellIs" dxfId="2519" priority="37" operator="equal">
      <formula>"NI"</formula>
    </cfRule>
    <cfRule type="cellIs" dxfId="2518" priority="38" operator="equal">
      <formula>"N"</formula>
    </cfRule>
    <cfRule type="cellIs" dxfId="2517" priority="39" operator="equal">
      <formula>"P"</formula>
    </cfRule>
    <cfRule type="cellIs" dxfId="2516" priority="40" operator="equal">
      <formula>"J"</formula>
    </cfRule>
  </conditionalFormatting>
  <conditionalFormatting sqref="E27:E28">
    <cfRule type="cellIs" dxfId="2515" priority="33" operator="equal">
      <formula>"NI"</formula>
    </cfRule>
    <cfRule type="cellIs" dxfId="2514" priority="34" operator="equal">
      <formula>"N"</formula>
    </cfRule>
    <cfRule type="cellIs" dxfId="2513" priority="35" operator="equal">
      <formula>"P"</formula>
    </cfRule>
    <cfRule type="cellIs" dxfId="2512" priority="36" operator="equal">
      <formula>"J"</formula>
    </cfRule>
  </conditionalFormatting>
  <conditionalFormatting sqref="E25">
    <cfRule type="cellIs" dxfId="2511" priority="29" operator="equal">
      <formula>"NI"</formula>
    </cfRule>
    <cfRule type="cellIs" dxfId="2510" priority="30" operator="equal">
      <formula>"N"</formula>
    </cfRule>
    <cfRule type="cellIs" dxfId="2509" priority="31" operator="equal">
      <formula>"P"</formula>
    </cfRule>
    <cfRule type="cellIs" dxfId="2508" priority="32" operator="equal">
      <formula>"J"</formula>
    </cfRule>
  </conditionalFormatting>
  <conditionalFormatting sqref="E11">
    <cfRule type="cellIs" dxfId="2507" priority="25" operator="equal">
      <formula>"NI"</formula>
    </cfRule>
    <cfRule type="cellIs" dxfId="2506" priority="26" operator="equal">
      <formula>"N"</formula>
    </cfRule>
    <cfRule type="cellIs" dxfId="2505" priority="27" operator="equal">
      <formula>"P"</formula>
    </cfRule>
    <cfRule type="cellIs" dxfId="2504" priority="28" operator="equal">
      <formula>"J"</formula>
    </cfRule>
  </conditionalFormatting>
  <conditionalFormatting sqref="E32:E33">
    <cfRule type="cellIs" dxfId="2503" priority="21" operator="equal">
      <formula>"NI"</formula>
    </cfRule>
    <cfRule type="cellIs" dxfId="2502" priority="22" operator="equal">
      <formula>"N"</formula>
    </cfRule>
    <cfRule type="cellIs" dxfId="2501" priority="23" operator="equal">
      <formula>"P"</formula>
    </cfRule>
    <cfRule type="cellIs" dxfId="2500" priority="24" operator="equal">
      <formula>"J"</formula>
    </cfRule>
  </conditionalFormatting>
  <conditionalFormatting sqref="E31">
    <cfRule type="cellIs" dxfId="2499" priority="17" operator="equal">
      <formula>"NI"</formula>
    </cfRule>
    <cfRule type="cellIs" dxfId="2498" priority="18" operator="equal">
      <formula>"N"</formula>
    </cfRule>
    <cfRule type="cellIs" dxfId="2497" priority="19" operator="equal">
      <formula>"P"</formula>
    </cfRule>
    <cfRule type="cellIs" dxfId="2496" priority="20" operator="equal">
      <formula>"J"</formula>
    </cfRule>
  </conditionalFormatting>
  <conditionalFormatting sqref="F9:F10 F13:F18 F20:F25 F27:F29">
    <cfRule type="cellIs" dxfId="2495" priority="13" operator="equal">
      <formula>"NI"</formula>
    </cfRule>
    <cfRule type="cellIs" dxfId="2494" priority="14" operator="equal">
      <formula>"N"</formula>
    </cfRule>
    <cfRule type="cellIs" dxfId="2493" priority="15" operator="equal">
      <formula>"P"</formula>
    </cfRule>
    <cfRule type="cellIs" dxfId="2492" priority="16" operator="equal">
      <formula>"J"</formula>
    </cfRule>
  </conditionalFormatting>
  <conditionalFormatting sqref="F11">
    <cfRule type="cellIs" dxfId="2491" priority="9" operator="equal">
      <formula>"NI"</formula>
    </cfRule>
    <cfRule type="cellIs" dxfId="2490" priority="10" operator="equal">
      <formula>"N"</formula>
    </cfRule>
    <cfRule type="cellIs" dxfId="2489" priority="11" operator="equal">
      <formula>"P"</formula>
    </cfRule>
    <cfRule type="cellIs" dxfId="2488" priority="12" operator="equal">
      <formula>"J"</formula>
    </cfRule>
  </conditionalFormatting>
  <conditionalFormatting sqref="F32:F33">
    <cfRule type="cellIs" dxfId="2487" priority="5" operator="equal">
      <formula>"NI"</formula>
    </cfRule>
    <cfRule type="cellIs" dxfId="2486" priority="6" operator="equal">
      <formula>"N"</formula>
    </cfRule>
    <cfRule type="cellIs" dxfId="2485" priority="7" operator="equal">
      <formula>"P"</formula>
    </cfRule>
    <cfRule type="cellIs" dxfId="2484" priority="8" operator="equal">
      <formula>"J"</formula>
    </cfRule>
  </conditionalFormatting>
  <conditionalFormatting sqref="F31">
    <cfRule type="cellIs" dxfId="2483" priority="1" operator="equal">
      <formula>"NI"</formula>
    </cfRule>
    <cfRule type="cellIs" dxfId="2482" priority="2" operator="equal">
      <formula>"N"</formula>
    </cfRule>
    <cfRule type="cellIs" dxfId="2481" priority="3" operator="equal">
      <formula>"P"</formula>
    </cfRule>
    <cfRule type="cellIs" dxfId="248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C28" sqref="C28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277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0.47291666666666671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0.40763888888888888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0.44861111111111113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196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479" priority="125" operator="equal">
      <formula>"NI"</formula>
    </cfRule>
    <cfRule type="cellIs" dxfId="2478" priority="126" operator="equal">
      <formula>"N"</formula>
    </cfRule>
    <cfRule type="cellIs" dxfId="2477" priority="127" operator="equal">
      <formula>"P"</formula>
    </cfRule>
    <cfRule type="cellIs" dxfId="2476" priority="128" operator="equal">
      <formula>"J"</formula>
    </cfRule>
  </conditionalFormatting>
  <conditionalFormatting sqref="M32:M33">
    <cfRule type="cellIs" dxfId="2475" priority="129" operator="equal">
      <formula>"NI"</formula>
    </cfRule>
    <cfRule type="cellIs" dxfId="2474" priority="130" operator="equal">
      <formula>"N"</formula>
    </cfRule>
    <cfRule type="cellIs" dxfId="2473" priority="131" operator="equal">
      <formula>"P"</formula>
    </cfRule>
    <cfRule type="cellIs" dxfId="2472" priority="132" operator="equal">
      <formula>"J"</formula>
    </cfRule>
  </conditionalFormatting>
  <conditionalFormatting sqref="M9:M10">
    <cfRule type="cellIs" dxfId="2471" priority="133" operator="equal">
      <formula>"NI"</formula>
    </cfRule>
    <cfRule type="cellIs" dxfId="2470" priority="134" operator="equal">
      <formula>"N"</formula>
    </cfRule>
    <cfRule type="cellIs" dxfId="2469" priority="135" operator="equal">
      <formula>"P"</formula>
    </cfRule>
    <cfRule type="cellIs" dxfId="2468" priority="136" operator="equal">
      <formula>"J"</formula>
    </cfRule>
  </conditionalFormatting>
  <conditionalFormatting sqref="M11">
    <cfRule type="cellIs" dxfId="2467" priority="137" operator="equal">
      <formula>"NI"</formula>
    </cfRule>
    <cfRule type="cellIs" dxfId="2466" priority="138" operator="equal">
      <formula>"N"</formula>
    </cfRule>
    <cfRule type="cellIs" dxfId="2465" priority="139" operator="equal">
      <formula>"P"</formula>
    </cfRule>
    <cfRule type="cellIs" dxfId="2464" priority="140" operator="equal">
      <formula>"J"</formula>
    </cfRule>
  </conditionalFormatting>
  <conditionalFormatting sqref="M13:N18">
    <cfRule type="cellIs" dxfId="2463" priority="141" operator="equal">
      <formula>"NI"</formula>
    </cfRule>
    <cfRule type="cellIs" dxfId="2462" priority="142" operator="equal">
      <formula>"N"</formula>
    </cfRule>
    <cfRule type="cellIs" dxfId="2461" priority="143" operator="equal">
      <formula>"P"</formula>
    </cfRule>
    <cfRule type="cellIs" dxfId="2460" priority="144" operator="equal">
      <formula>"J"</formula>
    </cfRule>
  </conditionalFormatting>
  <conditionalFormatting sqref="M20:N25">
    <cfRule type="cellIs" dxfId="2459" priority="145" operator="equal">
      <formula>"NI"</formula>
    </cfRule>
    <cfRule type="cellIs" dxfId="2458" priority="146" operator="equal">
      <formula>"N"</formula>
    </cfRule>
    <cfRule type="cellIs" dxfId="2457" priority="147" operator="equal">
      <formula>"P"</formula>
    </cfRule>
    <cfRule type="cellIs" dxfId="2456" priority="148" operator="equal">
      <formula>"J"</formula>
    </cfRule>
  </conditionalFormatting>
  <conditionalFormatting sqref="N32:N33">
    <cfRule type="cellIs" dxfId="2455" priority="149" operator="equal">
      <formula>"NI"</formula>
    </cfRule>
    <cfRule type="cellIs" dxfId="2454" priority="150" operator="equal">
      <formula>"N"</formula>
    </cfRule>
    <cfRule type="cellIs" dxfId="2453" priority="151" operator="equal">
      <formula>"P"</formula>
    </cfRule>
    <cfRule type="cellIs" dxfId="2452" priority="152" operator="equal">
      <formula>"J"</formula>
    </cfRule>
  </conditionalFormatting>
  <conditionalFormatting sqref="N9:N11">
    <cfRule type="cellIs" dxfId="2451" priority="153" operator="equal">
      <formula>"NI"</formula>
    </cfRule>
    <cfRule type="cellIs" dxfId="2450" priority="154" operator="equal">
      <formula>"N"</formula>
    </cfRule>
    <cfRule type="cellIs" dxfId="2449" priority="155" operator="equal">
      <formula>"P"</formula>
    </cfRule>
    <cfRule type="cellIs" dxfId="2448" priority="156" operator="equal">
      <formula>"J"</formula>
    </cfRule>
  </conditionalFormatting>
  <conditionalFormatting sqref="O9:O11 O13:O18 O20:O25 O27:O29 O31:O33">
    <cfRule type="cellIs" dxfId="2447" priority="157" operator="equal">
      <formula>"NI"</formula>
    </cfRule>
    <cfRule type="cellIs" dxfId="2446" priority="158" operator="equal">
      <formula>"N"</formula>
    </cfRule>
    <cfRule type="cellIs" dxfId="2445" priority="159" operator="equal">
      <formula>"P"</formula>
    </cfRule>
    <cfRule type="cellIs" dxfId="2444" priority="160" operator="equal">
      <formula>"J"</formula>
    </cfRule>
  </conditionalFormatting>
  <conditionalFormatting sqref="G9:G11 G13:G18 G20:G25 G27:G29 G31:G33">
    <cfRule type="cellIs" dxfId="2443" priority="61" operator="equal">
      <formula>"NI"</formula>
    </cfRule>
    <cfRule type="cellIs" dxfId="2442" priority="62" operator="equal">
      <formula>"N"</formula>
    </cfRule>
    <cfRule type="cellIs" dxfId="2441" priority="63" operator="equal">
      <formula>"P"</formula>
    </cfRule>
    <cfRule type="cellIs" dxfId="2440" priority="64" operator="equal">
      <formula>"J"</formula>
    </cfRule>
  </conditionalFormatting>
  <conditionalFormatting sqref="H9:H11 H13:H18 H20:H25 H27:H29 H31:H33">
    <cfRule type="cellIs" dxfId="2439" priority="57" operator="equal">
      <formula>"NI"</formula>
    </cfRule>
    <cfRule type="cellIs" dxfId="2438" priority="58" operator="equal">
      <formula>"N"</formula>
    </cfRule>
    <cfRule type="cellIs" dxfId="2437" priority="59" operator="equal">
      <formula>"P"</formula>
    </cfRule>
    <cfRule type="cellIs" dxfId="2436" priority="60" operator="equal">
      <formula>"J"</formula>
    </cfRule>
  </conditionalFormatting>
  <conditionalFormatting sqref="I9:I11 I13:I18 I20:I25 I27:I29 I31:I32">
    <cfRule type="cellIs" dxfId="2435" priority="53" operator="equal">
      <formula>"NI"</formula>
    </cfRule>
    <cfRule type="cellIs" dxfId="2434" priority="54" operator="equal">
      <formula>"N"</formula>
    </cfRule>
    <cfRule type="cellIs" dxfId="2433" priority="55" operator="equal">
      <formula>"P"</formula>
    </cfRule>
    <cfRule type="cellIs" dxfId="2432" priority="56" operator="equal">
      <formula>"J"</formula>
    </cfRule>
  </conditionalFormatting>
  <conditionalFormatting sqref="I33">
    <cfRule type="cellIs" dxfId="2431" priority="49" operator="equal">
      <formula>"NI"</formula>
    </cfRule>
    <cfRule type="cellIs" dxfId="2430" priority="50" operator="equal">
      <formula>"N"</formula>
    </cfRule>
    <cfRule type="cellIs" dxfId="2429" priority="51" operator="equal">
      <formula>"P"</formula>
    </cfRule>
    <cfRule type="cellIs" dxfId="2428" priority="52" operator="equal">
      <formula>"J"</formula>
    </cfRule>
  </conditionalFormatting>
  <conditionalFormatting sqref="J9:J11 J13:J18 J20:J25 J27:J29 J31:J33">
    <cfRule type="cellIs" dxfId="2427" priority="45" operator="equal">
      <formula>"NI"</formula>
    </cfRule>
    <cfRule type="cellIs" dxfId="2426" priority="46" operator="equal">
      <formula>"N"</formula>
    </cfRule>
    <cfRule type="cellIs" dxfId="2425" priority="47" operator="equal">
      <formula>"P"</formula>
    </cfRule>
    <cfRule type="cellIs" dxfId="2424" priority="48" operator="equal">
      <formula>"J"</formula>
    </cfRule>
  </conditionalFormatting>
  <conditionalFormatting sqref="K9:K11 K13:K18 K20:K25 K27:K29 K31:K33">
    <cfRule type="cellIs" dxfId="2423" priority="41" operator="equal">
      <formula>"NI"</formula>
    </cfRule>
    <cfRule type="cellIs" dxfId="2422" priority="42" operator="equal">
      <formula>"N"</formula>
    </cfRule>
    <cfRule type="cellIs" dxfId="2421" priority="43" operator="equal">
      <formula>"P"</formula>
    </cfRule>
    <cfRule type="cellIs" dxfId="2420" priority="44" operator="equal">
      <formula>"J"</formula>
    </cfRule>
  </conditionalFormatting>
  <conditionalFormatting sqref="L9:L11 L13:L16 L18 L20:L25 L27:L29 L31:L32">
    <cfRule type="cellIs" dxfId="2419" priority="37" operator="equal">
      <formula>"NI"</formula>
    </cfRule>
    <cfRule type="cellIs" dxfId="2418" priority="38" operator="equal">
      <formula>"N"</formula>
    </cfRule>
    <cfRule type="cellIs" dxfId="2417" priority="39" operator="equal">
      <formula>"P"</formula>
    </cfRule>
    <cfRule type="cellIs" dxfId="2416" priority="40" operator="equal">
      <formula>"J"</formula>
    </cfRule>
  </conditionalFormatting>
  <conditionalFormatting sqref="L17">
    <cfRule type="cellIs" dxfId="2415" priority="33" operator="equal">
      <formula>"NI"</formula>
    </cfRule>
    <cfRule type="cellIs" dxfId="2414" priority="34" operator="equal">
      <formula>"N"</formula>
    </cfRule>
    <cfRule type="cellIs" dxfId="2413" priority="35" operator="equal">
      <formula>"P"</formula>
    </cfRule>
    <cfRule type="cellIs" dxfId="2412" priority="36" operator="equal">
      <formula>"J"</formula>
    </cfRule>
  </conditionalFormatting>
  <conditionalFormatting sqref="L33">
    <cfRule type="cellIs" dxfId="2411" priority="29" operator="equal">
      <formula>"NI"</formula>
    </cfRule>
    <cfRule type="cellIs" dxfId="2410" priority="30" operator="equal">
      <formula>"N"</formula>
    </cfRule>
    <cfRule type="cellIs" dxfId="2409" priority="31" operator="equal">
      <formula>"P"</formula>
    </cfRule>
    <cfRule type="cellIs" dxfId="2408" priority="32" operator="equal">
      <formula>"J"</formula>
    </cfRule>
  </conditionalFormatting>
  <conditionalFormatting sqref="D9:D11 D13:D18 D20:D25 D27:D29 D31:D32">
    <cfRule type="cellIs" dxfId="2407" priority="25" operator="equal">
      <formula>"NI"</formula>
    </cfRule>
    <cfRule type="cellIs" dxfId="2406" priority="26" operator="equal">
      <formula>"N"</formula>
    </cfRule>
    <cfRule type="cellIs" dxfId="2405" priority="27" operator="equal">
      <formula>"P"</formula>
    </cfRule>
    <cfRule type="cellIs" dxfId="2404" priority="28" operator="equal">
      <formula>"J"</formula>
    </cfRule>
  </conditionalFormatting>
  <conditionalFormatting sqref="D33">
    <cfRule type="cellIs" dxfId="2403" priority="21" operator="equal">
      <formula>"NI"</formula>
    </cfRule>
    <cfRule type="cellIs" dxfId="2402" priority="22" operator="equal">
      <formula>"N"</formula>
    </cfRule>
    <cfRule type="cellIs" dxfId="2401" priority="23" operator="equal">
      <formula>"P"</formula>
    </cfRule>
    <cfRule type="cellIs" dxfId="2400" priority="24" operator="equal">
      <formula>"J"</formula>
    </cfRule>
  </conditionalFormatting>
  <conditionalFormatting sqref="E18 E23">
    <cfRule type="cellIs" dxfId="2399" priority="17" operator="equal">
      <formula>"NI"</formula>
    </cfRule>
    <cfRule type="cellIs" dxfId="2398" priority="18" operator="equal">
      <formula>"N"</formula>
    </cfRule>
    <cfRule type="cellIs" dxfId="2397" priority="19" operator="equal">
      <formula>"P"</formula>
    </cfRule>
    <cfRule type="cellIs" dxfId="2396" priority="20" operator="equal">
      <formula>"J"</formula>
    </cfRule>
  </conditionalFormatting>
  <conditionalFormatting sqref="E9:E11 E13:E17 E20:E22 E24:E25 E27:E29 E31:E32">
    <cfRule type="cellIs" dxfId="2395" priority="13" operator="equal">
      <formula>"NI"</formula>
    </cfRule>
    <cfRule type="cellIs" dxfId="2394" priority="14" operator="equal">
      <formula>"N"</formula>
    </cfRule>
    <cfRule type="cellIs" dxfId="2393" priority="15" operator="equal">
      <formula>"P"</formula>
    </cfRule>
    <cfRule type="cellIs" dxfId="2392" priority="16" operator="equal">
      <formula>"J"</formula>
    </cfRule>
  </conditionalFormatting>
  <conditionalFormatting sqref="E33">
    <cfRule type="cellIs" dxfId="2391" priority="9" operator="equal">
      <formula>"NI"</formula>
    </cfRule>
    <cfRule type="cellIs" dxfId="2390" priority="10" operator="equal">
      <formula>"N"</formula>
    </cfRule>
    <cfRule type="cellIs" dxfId="2389" priority="11" operator="equal">
      <formula>"P"</formula>
    </cfRule>
    <cfRule type="cellIs" dxfId="2388" priority="12" operator="equal">
      <formula>"J"</formula>
    </cfRule>
  </conditionalFormatting>
  <conditionalFormatting sqref="F9:F11 F13:F18 F20:F25 F27:F29 F31:F32">
    <cfRule type="cellIs" dxfId="2387" priority="5" operator="equal">
      <formula>"NI"</formula>
    </cfRule>
    <cfRule type="cellIs" dxfId="2386" priority="6" operator="equal">
      <formula>"N"</formula>
    </cfRule>
    <cfRule type="cellIs" dxfId="2385" priority="7" operator="equal">
      <formula>"P"</formula>
    </cfRule>
    <cfRule type="cellIs" dxfId="2384" priority="8" operator="equal">
      <formula>"J"</formula>
    </cfRule>
  </conditionalFormatting>
  <conditionalFormatting sqref="F33">
    <cfRule type="cellIs" dxfId="2383" priority="1" operator="equal">
      <formula>"NI"</formula>
    </cfRule>
    <cfRule type="cellIs" dxfId="2382" priority="2" operator="equal">
      <formula>"N"</formula>
    </cfRule>
    <cfRule type="cellIs" dxfId="2381" priority="3" operator="equal">
      <formula>"P"</formula>
    </cfRule>
    <cfRule type="cellIs" dxfId="238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3" sqref="S13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279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0.47847222222222219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0.40902777777777782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0.4597222222222222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9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9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9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379" priority="137" operator="equal">
      <formula>"NI"</formula>
    </cfRule>
    <cfRule type="cellIs" dxfId="2378" priority="138" operator="equal">
      <formula>"N"</formula>
    </cfRule>
    <cfRule type="cellIs" dxfId="2377" priority="139" operator="equal">
      <formula>"P"</formula>
    </cfRule>
    <cfRule type="cellIs" dxfId="2376" priority="140" operator="equal">
      <formula>"J"</formula>
    </cfRule>
  </conditionalFormatting>
  <conditionalFormatting sqref="M32:M33">
    <cfRule type="cellIs" dxfId="2375" priority="141" operator="equal">
      <formula>"NI"</formula>
    </cfRule>
    <cfRule type="cellIs" dxfId="2374" priority="142" operator="equal">
      <formula>"N"</formula>
    </cfRule>
    <cfRule type="cellIs" dxfId="2373" priority="143" operator="equal">
      <formula>"P"</formula>
    </cfRule>
    <cfRule type="cellIs" dxfId="2372" priority="144" operator="equal">
      <formula>"J"</formula>
    </cfRule>
  </conditionalFormatting>
  <conditionalFormatting sqref="M9:M10">
    <cfRule type="cellIs" dxfId="2371" priority="145" operator="equal">
      <formula>"NI"</formula>
    </cfRule>
    <cfRule type="cellIs" dxfId="2370" priority="146" operator="equal">
      <formula>"N"</formula>
    </cfRule>
    <cfRule type="cellIs" dxfId="2369" priority="147" operator="equal">
      <formula>"P"</formula>
    </cfRule>
    <cfRule type="cellIs" dxfId="2368" priority="148" operator="equal">
      <formula>"J"</formula>
    </cfRule>
  </conditionalFormatting>
  <conditionalFormatting sqref="M11">
    <cfRule type="cellIs" dxfId="2367" priority="149" operator="equal">
      <formula>"NI"</formula>
    </cfRule>
    <cfRule type="cellIs" dxfId="2366" priority="150" operator="equal">
      <formula>"N"</formula>
    </cfRule>
    <cfRule type="cellIs" dxfId="2365" priority="151" operator="equal">
      <formula>"P"</formula>
    </cfRule>
    <cfRule type="cellIs" dxfId="2364" priority="152" operator="equal">
      <formula>"J"</formula>
    </cfRule>
  </conditionalFormatting>
  <conditionalFormatting sqref="M13:N18">
    <cfRule type="cellIs" dxfId="2363" priority="153" operator="equal">
      <formula>"NI"</formula>
    </cfRule>
    <cfRule type="cellIs" dxfId="2362" priority="154" operator="equal">
      <formula>"N"</formula>
    </cfRule>
    <cfRule type="cellIs" dxfId="2361" priority="155" operator="equal">
      <formula>"P"</formula>
    </cfRule>
    <cfRule type="cellIs" dxfId="2360" priority="156" operator="equal">
      <formula>"J"</formula>
    </cfRule>
  </conditionalFormatting>
  <conditionalFormatting sqref="M20:N25">
    <cfRule type="cellIs" dxfId="2359" priority="157" operator="equal">
      <formula>"NI"</formula>
    </cfRule>
    <cfRule type="cellIs" dxfId="2358" priority="158" operator="equal">
      <formula>"N"</formula>
    </cfRule>
    <cfRule type="cellIs" dxfId="2357" priority="159" operator="equal">
      <formula>"P"</formula>
    </cfRule>
    <cfRule type="cellIs" dxfId="2356" priority="160" operator="equal">
      <formula>"J"</formula>
    </cfRule>
  </conditionalFormatting>
  <conditionalFormatting sqref="N32:N33">
    <cfRule type="cellIs" dxfId="2355" priority="161" operator="equal">
      <formula>"NI"</formula>
    </cfRule>
    <cfRule type="cellIs" dxfId="2354" priority="162" operator="equal">
      <formula>"N"</formula>
    </cfRule>
    <cfRule type="cellIs" dxfId="2353" priority="163" operator="equal">
      <formula>"P"</formula>
    </cfRule>
    <cfRule type="cellIs" dxfId="2352" priority="164" operator="equal">
      <formula>"J"</formula>
    </cfRule>
  </conditionalFormatting>
  <conditionalFormatting sqref="N9:N11">
    <cfRule type="cellIs" dxfId="2351" priority="165" operator="equal">
      <formula>"NI"</formula>
    </cfRule>
    <cfRule type="cellIs" dxfId="2350" priority="166" operator="equal">
      <formula>"N"</formula>
    </cfRule>
    <cfRule type="cellIs" dxfId="2349" priority="167" operator="equal">
      <formula>"P"</formula>
    </cfRule>
    <cfRule type="cellIs" dxfId="2348" priority="168" operator="equal">
      <formula>"J"</formula>
    </cfRule>
  </conditionalFormatting>
  <conditionalFormatting sqref="O9:O11 O13:O18 O20:O25 O27:O29 O31:O33">
    <cfRule type="cellIs" dxfId="2347" priority="169" operator="equal">
      <formula>"NI"</formula>
    </cfRule>
    <cfRule type="cellIs" dxfId="2346" priority="170" operator="equal">
      <formula>"N"</formula>
    </cfRule>
    <cfRule type="cellIs" dxfId="2345" priority="171" operator="equal">
      <formula>"P"</formula>
    </cfRule>
    <cfRule type="cellIs" dxfId="2344" priority="172" operator="equal">
      <formula>"J"</formula>
    </cfRule>
  </conditionalFormatting>
  <conditionalFormatting sqref="G9:G11 G13:G18 G20:G25 G27:G29 G31:G33">
    <cfRule type="cellIs" dxfId="2343" priority="69" operator="equal">
      <formula>"NI"</formula>
    </cfRule>
    <cfRule type="cellIs" dxfId="2342" priority="70" operator="equal">
      <formula>"N"</formula>
    </cfRule>
    <cfRule type="cellIs" dxfId="2341" priority="71" operator="equal">
      <formula>"P"</formula>
    </cfRule>
    <cfRule type="cellIs" dxfId="2340" priority="72" operator="equal">
      <formula>"J"</formula>
    </cfRule>
  </conditionalFormatting>
  <conditionalFormatting sqref="H9:H11 H13:H18 H20:H25 H27:H29 H31:H33">
    <cfRule type="cellIs" dxfId="2339" priority="65" operator="equal">
      <formula>"NI"</formula>
    </cfRule>
    <cfRule type="cellIs" dxfId="2338" priority="66" operator="equal">
      <formula>"N"</formula>
    </cfRule>
    <cfRule type="cellIs" dxfId="2337" priority="67" operator="equal">
      <formula>"P"</formula>
    </cfRule>
    <cfRule type="cellIs" dxfId="2336" priority="68" operator="equal">
      <formula>"J"</formula>
    </cfRule>
  </conditionalFormatting>
  <conditionalFormatting sqref="I9:I11 I13:I18 I20:I25 I27:I29 I31:I32">
    <cfRule type="cellIs" dxfId="2335" priority="61" operator="equal">
      <formula>"NI"</formula>
    </cfRule>
    <cfRule type="cellIs" dxfId="2334" priority="62" operator="equal">
      <formula>"N"</formula>
    </cfRule>
    <cfRule type="cellIs" dxfId="2333" priority="63" operator="equal">
      <formula>"P"</formula>
    </cfRule>
    <cfRule type="cellIs" dxfId="2332" priority="64" operator="equal">
      <formula>"J"</formula>
    </cfRule>
  </conditionalFormatting>
  <conditionalFormatting sqref="I33">
    <cfRule type="cellIs" dxfId="2331" priority="57" operator="equal">
      <formula>"NI"</formula>
    </cfRule>
    <cfRule type="cellIs" dxfId="2330" priority="58" operator="equal">
      <formula>"N"</formula>
    </cfRule>
    <cfRule type="cellIs" dxfId="2329" priority="59" operator="equal">
      <formula>"P"</formula>
    </cfRule>
    <cfRule type="cellIs" dxfId="2328" priority="60" operator="equal">
      <formula>"J"</formula>
    </cfRule>
  </conditionalFormatting>
  <conditionalFormatting sqref="J9:J11 J13:J18 J20:J25 J27:J29 J31:J33">
    <cfRule type="cellIs" dxfId="2327" priority="53" operator="equal">
      <formula>"NI"</formula>
    </cfRule>
    <cfRule type="cellIs" dxfId="2326" priority="54" operator="equal">
      <formula>"N"</formula>
    </cfRule>
    <cfRule type="cellIs" dxfId="2325" priority="55" operator="equal">
      <formula>"P"</formula>
    </cfRule>
    <cfRule type="cellIs" dxfId="2324" priority="56" operator="equal">
      <formula>"J"</formula>
    </cfRule>
  </conditionalFormatting>
  <conditionalFormatting sqref="K9:K11 K13:K18 K20:K25 K27:K29 K31:K33">
    <cfRule type="cellIs" dxfId="2323" priority="49" operator="equal">
      <formula>"NI"</formula>
    </cfRule>
    <cfRule type="cellIs" dxfId="2322" priority="50" operator="equal">
      <formula>"N"</formula>
    </cfRule>
    <cfRule type="cellIs" dxfId="2321" priority="51" operator="equal">
      <formula>"P"</formula>
    </cfRule>
    <cfRule type="cellIs" dxfId="2320" priority="52" operator="equal">
      <formula>"J"</formula>
    </cfRule>
  </conditionalFormatting>
  <conditionalFormatting sqref="L9:L11 L13:L16 L18 L20:L25 L27:L29 L32">
    <cfRule type="cellIs" dxfId="2319" priority="45" operator="equal">
      <formula>"NI"</formula>
    </cfRule>
    <cfRule type="cellIs" dxfId="2318" priority="46" operator="equal">
      <formula>"N"</formula>
    </cfRule>
    <cfRule type="cellIs" dxfId="2317" priority="47" operator="equal">
      <formula>"P"</formula>
    </cfRule>
    <cfRule type="cellIs" dxfId="2316" priority="48" operator="equal">
      <formula>"J"</formula>
    </cfRule>
  </conditionalFormatting>
  <conditionalFormatting sqref="L17">
    <cfRule type="cellIs" dxfId="2315" priority="41" operator="equal">
      <formula>"NI"</formula>
    </cfRule>
    <cfRule type="cellIs" dxfId="2314" priority="42" operator="equal">
      <formula>"N"</formula>
    </cfRule>
    <cfRule type="cellIs" dxfId="2313" priority="43" operator="equal">
      <formula>"P"</formula>
    </cfRule>
    <cfRule type="cellIs" dxfId="2312" priority="44" operator="equal">
      <formula>"J"</formula>
    </cfRule>
  </conditionalFormatting>
  <conditionalFormatting sqref="L31">
    <cfRule type="cellIs" dxfId="2311" priority="37" operator="equal">
      <formula>"NI"</formula>
    </cfRule>
    <cfRule type="cellIs" dxfId="2310" priority="38" operator="equal">
      <formula>"N"</formula>
    </cfRule>
    <cfRule type="cellIs" dxfId="2309" priority="39" operator="equal">
      <formula>"P"</formula>
    </cfRule>
    <cfRule type="cellIs" dxfId="2308" priority="40" operator="equal">
      <formula>"J"</formula>
    </cfRule>
  </conditionalFormatting>
  <conditionalFormatting sqref="L33">
    <cfRule type="cellIs" dxfId="2307" priority="33" operator="equal">
      <formula>"NI"</formula>
    </cfRule>
    <cfRule type="cellIs" dxfId="2306" priority="34" operator="equal">
      <formula>"N"</formula>
    </cfRule>
    <cfRule type="cellIs" dxfId="2305" priority="35" operator="equal">
      <formula>"P"</formula>
    </cfRule>
    <cfRule type="cellIs" dxfId="2304" priority="36" operator="equal">
      <formula>"J"</formula>
    </cfRule>
  </conditionalFormatting>
  <conditionalFormatting sqref="D9:D11 D13:D18 D20:D25 D27:D29 D31:D32">
    <cfRule type="cellIs" dxfId="2303" priority="29" operator="equal">
      <formula>"NI"</formula>
    </cfRule>
    <cfRule type="cellIs" dxfId="2302" priority="30" operator="equal">
      <formula>"N"</formula>
    </cfRule>
    <cfRule type="cellIs" dxfId="2301" priority="31" operator="equal">
      <formula>"P"</formula>
    </cfRule>
    <cfRule type="cellIs" dxfId="2300" priority="32" operator="equal">
      <formula>"J"</formula>
    </cfRule>
  </conditionalFormatting>
  <conditionalFormatting sqref="D33">
    <cfRule type="cellIs" dxfId="2299" priority="25" operator="equal">
      <formula>"NI"</formula>
    </cfRule>
    <cfRule type="cellIs" dxfId="2298" priority="26" operator="equal">
      <formula>"N"</formula>
    </cfRule>
    <cfRule type="cellIs" dxfId="2297" priority="27" operator="equal">
      <formula>"P"</formula>
    </cfRule>
    <cfRule type="cellIs" dxfId="2296" priority="28" operator="equal">
      <formula>"J"</formula>
    </cfRule>
  </conditionalFormatting>
  <conditionalFormatting sqref="E9:E11 E13:E18 E20:E25 E27:E29 E32">
    <cfRule type="cellIs" dxfId="2295" priority="21" operator="equal">
      <formula>"NI"</formula>
    </cfRule>
    <cfRule type="cellIs" dxfId="2294" priority="22" operator="equal">
      <formula>"N"</formula>
    </cfRule>
    <cfRule type="cellIs" dxfId="2293" priority="23" operator="equal">
      <formula>"P"</formula>
    </cfRule>
    <cfRule type="cellIs" dxfId="2292" priority="24" operator="equal">
      <formula>"J"</formula>
    </cfRule>
  </conditionalFormatting>
  <conditionalFormatting sqref="E31">
    <cfRule type="cellIs" dxfId="2291" priority="17" operator="equal">
      <formula>"NI"</formula>
    </cfRule>
    <cfRule type="cellIs" dxfId="2290" priority="18" operator="equal">
      <formula>"N"</formula>
    </cfRule>
    <cfRule type="cellIs" dxfId="2289" priority="19" operator="equal">
      <formula>"P"</formula>
    </cfRule>
    <cfRule type="cellIs" dxfId="2288" priority="20" operator="equal">
      <formula>"J"</formula>
    </cfRule>
  </conditionalFormatting>
  <conditionalFormatting sqref="E33">
    <cfRule type="cellIs" dxfId="2287" priority="13" operator="equal">
      <formula>"NI"</formula>
    </cfRule>
    <cfRule type="cellIs" dxfId="2286" priority="14" operator="equal">
      <formula>"N"</formula>
    </cfRule>
    <cfRule type="cellIs" dxfId="2285" priority="15" operator="equal">
      <formula>"P"</formula>
    </cfRule>
    <cfRule type="cellIs" dxfId="2284" priority="16" operator="equal">
      <formula>"J"</formula>
    </cfRule>
  </conditionalFormatting>
  <conditionalFormatting sqref="F9:F11 F13:F18 F20:F25 F27:F29 F32">
    <cfRule type="cellIs" dxfId="2283" priority="9" operator="equal">
      <formula>"NI"</formula>
    </cfRule>
    <cfRule type="cellIs" dxfId="2282" priority="10" operator="equal">
      <formula>"N"</formula>
    </cfRule>
    <cfRule type="cellIs" dxfId="2281" priority="11" operator="equal">
      <formula>"P"</formula>
    </cfRule>
    <cfRule type="cellIs" dxfId="2280" priority="12" operator="equal">
      <formula>"J"</formula>
    </cfRule>
  </conditionalFormatting>
  <conditionalFormatting sqref="F31">
    <cfRule type="cellIs" dxfId="2279" priority="5" operator="equal">
      <formula>"NI"</formula>
    </cfRule>
    <cfRule type="cellIs" dxfId="2278" priority="6" operator="equal">
      <formula>"N"</formula>
    </cfRule>
    <cfRule type="cellIs" dxfId="2277" priority="7" operator="equal">
      <formula>"P"</formula>
    </cfRule>
    <cfRule type="cellIs" dxfId="2276" priority="8" operator="equal">
      <formula>"J"</formula>
    </cfRule>
  </conditionalFormatting>
  <conditionalFormatting sqref="F33">
    <cfRule type="cellIs" dxfId="2275" priority="1" operator="equal">
      <formula>"NI"</formula>
    </cfRule>
    <cfRule type="cellIs" dxfId="2274" priority="2" operator="equal">
      <formula>"N"</formula>
    </cfRule>
    <cfRule type="cellIs" dxfId="2273" priority="3" operator="equal">
      <formula>"P"</formula>
    </cfRule>
    <cfRule type="cellIs" dxfId="227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S14" sqref="S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281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0.56666666666666665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0.40972222222222221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0.46944444444444439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196</v>
      </c>
      <c r="E27" s="183" t="s">
        <v>215</v>
      </c>
      <c r="F27" s="183" t="s">
        <v>196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271" priority="141" operator="equal">
      <formula>"NI"</formula>
    </cfRule>
    <cfRule type="cellIs" dxfId="2270" priority="142" operator="equal">
      <formula>"N"</formula>
    </cfRule>
    <cfRule type="cellIs" dxfId="2269" priority="143" operator="equal">
      <formula>"P"</formula>
    </cfRule>
    <cfRule type="cellIs" dxfId="2268" priority="144" operator="equal">
      <formula>"J"</formula>
    </cfRule>
  </conditionalFormatting>
  <conditionalFormatting sqref="M32:M33">
    <cfRule type="cellIs" dxfId="2267" priority="145" operator="equal">
      <formula>"NI"</formula>
    </cfRule>
    <cfRule type="cellIs" dxfId="2266" priority="146" operator="equal">
      <formula>"N"</formula>
    </cfRule>
    <cfRule type="cellIs" dxfId="2265" priority="147" operator="equal">
      <formula>"P"</formula>
    </cfRule>
    <cfRule type="cellIs" dxfId="2264" priority="148" operator="equal">
      <formula>"J"</formula>
    </cfRule>
  </conditionalFormatting>
  <conditionalFormatting sqref="M9:M10">
    <cfRule type="cellIs" dxfId="2263" priority="149" operator="equal">
      <formula>"NI"</formula>
    </cfRule>
    <cfRule type="cellIs" dxfId="2262" priority="150" operator="equal">
      <formula>"N"</formula>
    </cfRule>
    <cfRule type="cellIs" dxfId="2261" priority="151" operator="equal">
      <formula>"P"</formula>
    </cfRule>
    <cfRule type="cellIs" dxfId="2260" priority="152" operator="equal">
      <formula>"J"</formula>
    </cfRule>
  </conditionalFormatting>
  <conditionalFormatting sqref="M11">
    <cfRule type="cellIs" dxfId="2259" priority="153" operator="equal">
      <formula>"NI"</formula>
    </cfRule>
    <cfRule type="cellIs" dxfId="2258" priority="154" operator="equal">
      <formula>"N"</formula>
    </cfRule>
    <cfRule type="cellIs" dxfId="2257" priority="155" operator="equal">
      <formula>"P"</formula>
    </cfRule>
    <cfRule type="cellIs" dxfId="2256" priority="156" operator="equal">
      <formula>"J"</formula>
    </cfRule>
  </conditionalFormatting>
  <conditionalFormatting sqref="M13:N18">
    <cfRule type="cellIs" dxfId="2255" priority="157" operator="equal">
      <formula>"NI"</formula>
    </cfRule>
    <cfRule type="cellIs" dxfId="2254" priority="158" operator="equal">
      <formula>"N"</formula>
    </cfRule>
    <cfRule type="cellIs" dxfId="2253" priority="159" operator="equal">
      <formula>"P"</formula>
    </cfRule>
    <cfRule type="cellIs" dxfId="2252" priority="160" operator="equal">
      <formula>"J"</formula>
    </cfRule>
  </conditionalFormatting>
  <conditionalFormatting sqref="M20:N25">
    <cfRule type="cellIs" dxfId="2251" priority="161" operator="equal">
      <formula>"NI"</formula>
    </cfRule>
    <cfRule type="cellIs" dxfId="2250" priority="162" operator="equal">
      <formula>"N"</formula>
    </cfRule>
    <cfRule type="cellIs" dxfId="2249" priority="163" operator="equal">
      <formula>"P"</formula>
    </cfRule>
    <cfRule type="cellIs" dxfId="2248" priority="164" operator="equal">
      <formula>"J"</formula>
    </cfRule>
  </conditionalFormatting>
  <conditionalFormatting sqref="N32:N33">
    <cfRule type="cellIs" dxfId="2247" priority="165" operator="equal">
      <formula>"NI"</formula>
    </cfRule>
    <cfRule type="cellIs" dxfId="2246" priority="166" operator="equal">
      <formula>"N"</formula>
    </cfRule>
    <cfRule type="cellIs" dxfId="2245" priority="167" operator="equal">
      <formula>"P"</formula>
    </cfRule>
    <cfRule type="cellIs" dxfId="2244" priority="168" operator="equal">
      <formula>"J"</formula>
    </cfRule>
  </conditionalFormatting>
  <conditionalFormatting sqref="N9:N11">
    <cfRule type="cellIs" dxfId="2243" priority="169" operator="equal">
      <formula>"NI"</formula>
    </cfRule>
    <cfRule type="cellIs" dxfId="2242" priority="170" operator="equal">
      <formula>"N"</formula>
    </cfRule>
    <cfRule type="cellIs" dxfId="2241" priority="171" operator="equal">
      <formula>"P"</formula>
    </cfRule>
    <cfRule type="cellIs" dxfId="2240" priority="172" operator="equal">
      <formula>"J"</formula>
    </cfRule>
  </conditionalFormatting>
  <conditionalFormatting sqref="O9:O11 O13:O18 O20:O25 O27:O29 O31:O33">
    <cfRule type="cellIs" dxfId="2239" priority="173" operator="equal">
      <formula>"NI"</formula>
    </cfRule>
    <cfRule type="cellIs" dxfId="2238" priority="174" operator="equal">
      <formula>"N"</formula>
    </cfRule>
    <cfRule type="cellIs" dxfId="2237" priority="175" operator="equal">
      <formula>"P"</formula>
    </cfRule>
    <cfRule type="cellIs" dxfId="2236" priority="176" operator="equal">
      <formula>"J"</formula>
    </cfRule>
  </conditionalFormatting>
  <conditionalFormatting sqref="G9:G11 G13:G18 G20:G25 G27:G29 G31:G33">
    <cfRule type="cellIs" dxfId="2235" priority="73" operator="equal">
      <formula>"NI"</formula>
    </cfRule>
    <cfRule type="cellIs" dxfId="2234" priority="74" operator="equal">
      <formula>"N"</formula>
    </cfRule>
    <cfRule type="cellIs" dxfId="2233" priority="75" operator="equal">
      <formula>"P"</formula>
    </cfRule>
    <cfRule type="cellIs" dxfId="2232" priority="76" operator="equal">
      <formula>"J"</formula>
    </cfRule>
  </conditionalFormatting>
  <conditionalFormatting sqref="H9:H11 H13:H18 H20:H25 H27:H29 H31:H33">
    <cfRule type="cellIs" dxfId="2231" priority="69" operator="equal">
      <formula>"NI"</formula>
    </cfRule>
    <cfRule type="cellIs" dxfId="2230" priority="70" operator="equal">
      <formula>"N"</formula>
    </cfRule>
    <cfRule type="cellIs" dxfId="2229" priority="71" operator="equal">
      <formula>"P"</formula>
    </cfRule>
    <cfRule type="cellIs" dxfId="2228" priority="72" operator="equal">
      <formula>"J"</formula>
    </cfRule>
  </conditionalFormatting>
  <conditionalFormatting sqref="I9:I11 I13:I18 I20:I25 I27:I29 I31:I32">
    <cfRule type="cellIs" dxfId="2227" priority="65" operator="equal">
      <formula>"NI"</formula>
    </cfRule>
    <cfRule type="cellIs" dxfId="2226" priority="66" operator="equal">
      <formula>"N"</formula>
    </cfRule>
    <cfRule type="cellIs" dxfId="2225" priority="67" operator="equal">
      <formula>"P"</formula>
    </cfRule>
    <cfRule type="cellIs" dxfId="2224" priority="68" operator="equal">
      <formula>"J"</formula>
    </cfRule>
  </conditionalFormatting>
  <conditionalFormatting sqref="I33">
    <cfRule type="cellIs" dxfId="2223" priority="61" operator="equal">
      <formula>"NI"</formula>
    </cfRule>
    <cfRule type="cellIs" dxfId="2222" priority="62" operator="equal">
      <formula>"N"</formula>
    </cfRule>
    <cfRule type="cellIs" dxfId="2221" priority="63" operator="equal">
      <formula>"P"</formula>
    </cfRule>
    <cfRule type="cellIs" dxfId="2220" priority="64" operator="equal">
      <formula>"J"</formula>
    </cfRule>
  </conditionalFormatting>
  <conditionalFormatting sqref="J9:J11 J13:J18 J20:J25 J27:J29 J31:J33">
    <cfRule type="cellIs" dxfId="2219" priority="57" operator="equal">
      <formula>"NI"</formula>
    </cfRule>
    <cfRule type="cellIs" dxfId="2218" priority="58" operator="equal">
      <formula>"N"</formula>
    </cfRule>
    <cfRule type="cellIs" dxfId="2217" priority="59" operator="equal">
      <formula>"P"</formula>
    </cfRule>
    <cfRule type="cellIs" dxfId="2216" priority="60" operator="equal">
      <formula>"J"</formula>
    </cfRule>
  </conditionalFormatting>
  <conditionalFormatting sqref="K9:K11 K13:K18 K20:K25 K27:K29 K31:K33">
    <cfRule type="cellIs" dxfId="2215" priority="53" operator="equal">
      <formula>"NI"</formula>
    </cfRule>
    <cfRule type="cellIs" dxfId="2214" priority="54" operator="equal">
      <formula>"N"</formula>
    </cfRule>
    <cfRule type="cellIs" dxfId="2213" priority="55" operator="equal">
      <formula>"P"</formula>
    </cfRule>
    <cfRule type="cellIs" dxfId="2212" priority="56" operator="equal">
      <formula>"J"</formula>
    </cfRule>
  </conditionalFormatting>
  <conditionalFormatting sqref="L9:L11 L13:L16 L18 L20:L25 L27:L29 L32">
    <cfRule type="cellIs" dxfId="2211" priority="49" operator="equal">
      <formula>"NI"</formula>
    </cfRule>
    <cfRule type="cellIs" dxfId="2210" priority="50" operator="equal">
      <formula>"N"</formula>
    </cfRule>
    <cfRule type="cellIs" dxfId="2209" priority="51" operator="equal">
      <formula>"P"</formula>
    </cfRule>
    <cfRule type="cellIs" dxfId="2208" priority="52" operator="equal">
      <formula>"J"</formula>
    </cfRule>
  </conditionalFormatting>
  <conditionalFormatting sqref="L17">
    <cfRule type="cellIs" dxfId="2207" priority="45" operator="equal">
      <formula>"NI"</formula>
    </cfRule>
    <cfRule type="cellIs" dxfId="2206" priority="46" operator="equal">
      <formula>"N"</formula>
    </cfRule>
    <cfRule type="cellIs" dxfId="2205" priority="47" operator="equal">
      <formula>"P"</formula>
    </cfRule>
    <cfRule type="cellIs" dxfId="2204" priority="48" operator="equal">
      <formula>"J"</formula>
    </cfRule>
  </conditionalFormatting>
  <conditionalFormatting sqref="L31">
    <cfRule type="cellIs" dxfId="2203" priority="41" operator="equal">
      <formula>"NI"</formula>
    </cfRule>
    <cfRule type="cellIs" dxfId="2202" priority="42" operator="equal">
      <formula>"N"</formula>
    </cfRule>
    <cfRule type="cellIs" dxfId="2201" priority="43" operator="equal">
      <formula>"P"</formula>
    </cfRule>
    <cfRule type="cellIs" dxfId="2200" priority="44" operator="equal">
      <formula>"J"</formula>
    </cfRule>
  </conditionalFormatting>
  <conditionalFormatting sqref="L33">
    <cfRule type="cellIs" dxfId="2199" priority="37" operator="equal">
      <formula>"NI"</formula>
    </cfRule>
    <cfRule type="cellIs" dxfId="2198" priority="38" operator="equal">
      <formula>"N"</formula>
    </cfRule>
    <cfRule type="cellIs" dxfId="2197" priority="39" operator="equal">
      <formula>"P"</formula>
    </cfRule>
    <cfRule type="cellIs" dxfId="2196" priority="40" operator="equal">
      <formula>"J"</formula>
    </cfRule>
  </conditionalFormatting>
  <conditionalFormatting sqref="D9:D11 D13:D18 D20:D25 D27:D29 D31:D32">
    <cfRule type="cellIs" dxfId="2195" priority="33" operator="equal">
      <formula>"NI"</formula>
    </cfRule>
    <cfRule type="cellIs" dxfId="2194" priority="34" operator="equal">
      <formula>"N"</formula>
    </cfRule>
    <cfRule type="cellIs" dxfId="2193" priority="35" operator="equal">
      <formula>"P"</formula>
    </cfRule>
    <cfRule type="cellIs" dxfId="2192" priority="36" operator="equal">
      <formula>"J"</formula>
    </cfRule>
  </conditionalFormatting>
  <conditionalFormatting sqref="D33">
    <cfRule type="cellIs" dxfId="2191" priority="29" operator="equal">
      <formula>"NI"</formula>
    </cfRule>
    <cfRule type="cellIs" dxfId="2190" priority="30" operator="equal">
      <formula>"N"</formula>
    </cfRule>
    <cfRule type="cellIs" dxfId="2189" priority="31" operator="equal">
      <formula>"P"</formula>
    </cfRule>
    <cfRule type="cellIs" dxfId="2188" priority="32" operator="equal">
      <formula>"J"</formula>
    </cfRule>
  </conditionalFormatting>
  <conditionalFormatting sqref="E18">
    <cfRule type="cellIs" dxfId="2187" priority="25" operator="equal">
      <formula>"NI"</formula>
    </cfRule>
    <cfRule type="cellIs" dxfId="2186" priority="26" operator="equal">
      <formula>"N"</formula>
    </cfRule>
    <cfRule type="cellIs" dxfId="2185" priority="27" operator="equal">
      <formula>"P"</formula>
    </cfRule>
    <cfRule type="cellIs" dxfId="2184" priority="28" operator="equal">
      <formula>"J"</formula>
    </cfRule>
  </conditionalFormatting>
  <conditionalFormatting sqref="E9:E11 E13:E17 E20:E25 E27:E29 E32">
    <cfRule type="cellIs" dxfId="2183" priority="21" operator="equal">
      <formula>"NI"</formula>
    </cfRule>
    <cfRule type="cellIs" dxfId="2182" priority="22" operator="equal">
      <formula>"N"</formula>
    </cfRule>
    <cfRule type="cellIs" dxfId="2181" priority="23" operator="equal">
      <formula>"P"</formula>
    </cfRule>
    <cfRule type="cellIs" dxfId="2180" priority="24" operator="equal">
      <formula>"J"</formula>
    </cfRule>
  </conditionalFormatting>
  <conditionalFormatting sqref="E31">
    <cfRule type="cellIs" dxfId="2179" priority="17" operator="equal">
      <formula>"NI"</formula>
    </cfRule>
    <cfRule type="cellIs" dxfId="2178" priority="18" operator="equal">
      <formula>"N"</formula>
    </cfRule>
    <cfRule type="cellIs" dxfId="2177" priority="19" operator="equal">
      <formula>"P"</formula>
    </cfRule>
    <cfRule type="cellIs" dxfId="2176" priority="20" operator="equal">
      <formula>"J"</formula>
    </cfRule>
  </conditionalFormatting>
  <conditionalFormatting sqref="E33">
    <cfRule type="cellIs" dxfId="2175" priority="13" operator="equal">
      <formula>"NI"</formula>
    </cfRule>
    <cfRule type="cellIs" dxfId="2174" priority="14" operator="equal">
      <formula>"N"</formula>
    </cfRule>
    <cfRule type="cellIs" dxfId="2173" priority="15" operator="equal">
      <formula>"P"</formula>
    </cfRule>
    <cfRule type="cellIs" dxfId="2172" priority="16" operator="equal">
      <formula>"J"</formula>
    </cfRule>
  </conditionalFormatting>
  <conditionalFormatting sqref="F9:F11 F13:F18 F20:F25 F27:F29 F32">
    <cfRule type="cellIs" dxfId="2171" priority="9" operator="equal">
      <formula>"NI"</formula>
    </cfRule>
    <cfRule type="cellIs" dxfId="2170" priority="10" operator="equal">
      <formula>"N"</formula>
    </cfRule>
    <cfRule type="cellIs" dxfId="2169" priority="11" operator="equal">
      <formula>"P"</formula>
    </cfRule>
    <cfRule type="cellIs" dxfId="2168" priority="12" operator="equal">
      <formula>"J"</formula>
    </cfRule>
  </conditionalFormatting>
  <conditionalFormatting sqref="F31">
    <cfRule type="cellIs" dxfId="2167" priority="5" operator="equal">
      <formula>"NI"</formula>
    </cfRule>
    <cfRule type="cellIs" dxfId="2166" priority="6" operator="equal">
      <formula>"N"</formula>
    </cfRule>
    <cfRule type="cellIs" dxfId="2165" priority="7" operator="equal">
      <formula>"P"</formula>
    </cfRule>
    <cfRule type="cellIs" dxfId="2164" priority="8" operator="equal">
      <formula>"J"</formula>
    </cfRule>
  </conditionalFormatting>
  <conditionalFormatting sqref="F33">
    <cfRule type="cellIs" dxfId="2163" priority="1" operator="equal">
      <formula>"NI"</formula>
    </cfRule>
    <cfRule type="cellIs" dxfId="2162" priority="2" operator="equal">
      <formula>"N"</formula>
    </cfRule>
    <cfRule type="cellIs" dxfId="2161" priority="3" operator="equal">
      <formula>"P"</formula>
    </cfRule>
    <cfRule type="cellIs" dxfId="216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T12" sqref="T12:T13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283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0.56736111111111109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0.41249999999999998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0.47013888888888888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159" priority="125" operator="equal">
      <formula>"NI"</formula>
    </cfRule>
    <cfRule type="cellIs" dxfId="2158" priority="126" operator="equal">
      <formula>"N"</formula>
    </cfRule>
    <cfRule type="cellIs" dxfId="2157" priority="127" operator="equal">
      <formula>"P"</formula>
    </cfRule>
    <cfRule type="cellIs" dxfId="2156" priority="128" operator="equal">
      <formula>"J"</formula>
    </cfRule>
  </conditionalFormatting>
  <conditionalFormatting sqref="M32:M33">
    <cfRule type="cellIs" dxfId="2155" priority="129" operator="equal">
      <formula>"NI"</formula>
    </cfRule>
    <cfRule type="cellIs" dxfId="2154" priority="130" operator="equal">
      <formula>"N"</formula>
    </cfRule>
    <cfRule type="cellIs" dxfId="2153" priority="131" operator="equal">
      <formula>"P"</formula>
    </cfRule>
    <cfRule type="cellIs" dxfId="2152" priority="132" operator="equal">
      <formula>"J"</formula>
    </cfRule>
  </conditionalFormatting>
  <conditionalFormatting sqref="M9:M10">
    <cfRule type="cellIs" dxfId="2151" priority="133" operator="equal">
      <formula>"NI"</formula>
    </cfRule>
    <cfRule type="cellIs" dxfId="2150" priority="134" operator="equal">
      <formula>"N"</formula>
    </cfRule>
    <cfRule type="cellIs" dxfId="2149" priority="135" operator="equal">
      <formula>"P"</formula>
    </cfRule>
    <cfRule type="cellIs" dxfId="2148" priority="136" operator="equal">
      <formula>"J"</formula>
    </cfRule>
  </conditionalFormatting>
  <conditionalFormatting sqref="M11">
    <cfRule type="cellIs" dxfId="2147" priority="137" operator="equal">
      <formula>"NI"</formula>
    </cfRule>
    <cfRule type="cellIs" dxfId="2146" priority="138" operator="equal">
      <formula>"N"</formula>
    </cfRule>
    <cfRule type="cellIs" dxfId="2145" priority="139" operator="equal">
      <formula>"P"</formula>
    </cfRule>
    <cfRule type="cellIs" dxfId="2144" priority="140" operator="equal">
      <formula>"J"</formula>
    </cfRule>
  </conditionalFormatting>
  <conditionalFormatting sqref="M13:N18">
    <cfRule type="cellIs" dxfId="2143" priority="141" operator="equal">
      <formula>"NI"</formula>
    </cfRule>
    <cfRule type="cellIs" dxfId="2142" priority="142" operator="equal">
      <formula>"N"</formula>
    </cfRule>
    <cfRule type="cellIs" dxfId="2141" priority="143" operator="equal">
      <formula>"P"</formula>
    </cfRule>
    <cfRule type="cellIs" dxfId="2140" priority="144" operator="equal">
      <formula>"J"</formula>
    </cfRule>
  </conditionalFormatting>
  <conditionalFormatting sqref="M20:N25">
    <cfRule type="cellIs" dxfId="2139" priority="145" operator="equal">
      <formula>"NI"</formula>
    </cfRule>
    <cfRule type="cellIs" dxfId="2138" priority="146" operator="equal">
      <formula>"N"</formula>
    </cfRule>
    <cfRule type="cellIs" dxfId="2137" priority="147" operator="equal">
      <formula>"P"</formula>
    </cfRule>
    <cfRule type="cellIs" dxfId="2136" priority="148" operator="equal">
      <formula>"J"</formula>
    </cfRule>
  </conditionalFormatting>
  <conditionalFormatting sqref="N32:N33">
    <cfRule type="cellIs" dxfId="2135" priority="149" operator="equal">
      <formula>"NI"</formula>
    </cfRule>
    <cfRule type="cellIs" dxfId="2134" priority="150" operator="equal">
      <formula>"N"</formula>
    </cfRule>
    <cfRule type="cellIs" dxfId="2133" priority="151" operator="equal">
      <formula>"P"</formula>
    </cfRule>
    <cfRule type="cellIs" dxfId="2132" priority="152" operator="equal">
      <formula>"J"</formula>
    </cfRule>
  </conditionalFormatting>
  <conditionalFormatting sqref="N9:N11">
    <cfRule type="cellIs" dxfId="2131" priority="153" operator="equal">
      <formula>"NI"</formula>
    </cfRule>
    <cfRule type="cellIs" dxfId="2130" priority="154" operator="equal">
      <formula>"N"</formula>
    </cfRule>
    <cfRule type="cellIs" dxfId="2129" priority="155" operator="equal">
      <formula>"P"</formula>
    </cfRule>
    <cfRule type="cellIs" dxfId="2128" priority="156" operator="equal">
      <formula>"J"</formula>
    </cfRule>
  </conditionalFormatting>
  <conditionalFormatting sqref="O9:O11 O13:O18 O20:O25 O27:O29 O31:O33">
    <cfRule type="cellIs" dxfId="2127" priority="157" operator="equal">
      <formula>"NI"</formula>
    </cfRule>
    <cfRule type="cellIs" dxfId="2126" priority="158" operator="equal">
      <formula>"N"</formula>
    </cfRule>
    <cfRule type="cellIs" dxfId="2125" priority="159" operator="equal">
      <formula>"P"</formula>
    </cfRule>
    <cfRule type="cellIs" dxfId="2124" priority="160" operator="equal">
      <formula>"J"</formula>
    </cfRule>
  </conditionalFormatting>
  <conditionalFormatting sqref="G9:G11 G13:G18 G20:G25 G27:G29 G31:G33">
    <cfRule type="cellIs" dxfId="2123" priority="61" operator="equal">
      <formula>"NI"</formula>
    </cfRule>
    <cfRule type="cellIs" dxfId="2122" priority="62" operator="equal">
      <formula>"N"</formula>
    </cfRule>
    <cfRule type="cellIs" dxfId="2121" priority="63" operator="equal">
      <formula>"P"</formula>
    </cfRule>
    <cfRule type="cellIs" dxfId="2120" priority="64" operator="equal">
      <formula>"J"</formula>
    </cfRule>
  </conditionalFormatting>
  <conditionalFormatting sqref="H9:H11 H13:H18 H20:H25 H27:H29 H31:H33">
    <cfRule type="cellIs" dxfId="2119" priority="57" operator="equal">
      <formula>"NI"</formula>
    </cfRule>
    <cfRule type="cellIs" dxfId="2118" priority="58" operator="equal">
      <formula>"N"</formula>
    </cfRule>
    <cfRule type="cellIs" dxfId="2117" priority="59" operator="equal">
      <formula>"P"</formula>
    </cfRule>
    <cfRule type="cellIs" dxfId="2116" priority="60" operator="equal">
      <formula>"J"</formula>
    </cfRule>
  </conditionalFormatting>
  <conditionalFormatting sqref="I9:I11 I13:I18 I20:I25 I27:I29 I31:I32">
    <cfRule type="cellIs" dxfId="2115" priority="53" operator="equal">
      <formula>"NI"</formula>
    </cfRule>
    <cfRule type="cellIs" dxfId="2114" priority="54" operator="equal">
      <formula>"N"</formula>
    </cfRule>
    <cfRule type="cellIs" dxfId="2113" priority="55" operator="equal">
      <formula>"P"</formula>
    </cfRule>
    <cfRule type="cellIs" dxfId="2112" priority="56" operator="equal">
      <formula>"J"</formula>
    </cfRule>
  </conditionalFormatting>
  <conditionalFormatting sqref="I33">
    <cfRule type="cellIs" dxfId="2111" priority="49" operator="equal">
      <formula>"NI"</formula>
    </cfRule>
    <cfRule type="cellIs" dxfId="2110" priority="50" operator="equal">
      <formula>"N"</formula>
    </cfRule>
    <cfRule type="cellIs" dxfId="2109" priority="51" operator="equal">
      <formula>"P"</formula>
    </cfRule>
    <cfRule type="cellIs" dxfId="2108" priority="52" operator="equal">
      <formula>"J"</formula>
    </cfRule>
  </conditionalFormatting>
  <conditionalFormatting sqref="J9:J11 J13:J18 J20:J25 J27:J29 J31:J33">
    <cfRule type="cellIs" dxfId="2107" priority="45" operator="equal">
      <formula>"NI"</formula>
    </cfRule>
    <cfRule type="cellIs" dxfId="2106" priority="46" operator="equal">
      <formula>"N"</formula>
    </cfRule>
    <cfRule type="cellIs" dxfId="2105" priority="47" operator="equal">
      <formula>"P"</formula>
    </cfRule>
    <cfRule type="cellIs" dxfId="2104" priority="48" operator="equal">
      <formula>"J"</formula>
    </cfRule>
  </conditionalFormatting>
  <conditionalFormatting sqref="K9:K11 K13:K18 K20:K25 K27:K29 K31:K33">
    <cfRule type="cellIs" dxfId="2103" priority="41" operator="equal">
      <formula>"NI"</formula>
    </cfRule>
    <cfRule type="cellIs" dxfId="2102" priority="42" operator="equal">
      <formula>"N"</formula>
    </cfRule>
    <cfRule type="cellIs" dxfId="2101" priority="43" operator="equal">
      <formula>"P"</formula>
    </cfRule>
    <cfRule type="cellIs" dxfId="2100" priority="44" operator="equal">
      <formula>"J"</formula>
    </cfRule>
  </conditionalFormatting>
  <conditionalFormatting sqref="L9:L11 L13:L16 L18 L20:L25 L27:L29 L32">
    <cfRule type="cellIs" dxfId="2099" priority="37" operator="equal">
      <formula>"NI"</formula>
    </cfRule>
    <cfRule type="cellIs" dxfId="2098" priority="38" operator="equal">
      <formula>"N"</formula>
    </cfRule>
    <cfRule type="cellIs" dxfId="2097" priority="39" operator="equal">
      <formula>"P"</formula>
    </cfRule>
    <cfRule type="cellIs" dxfId="2096" priority="40" operator="equal">
      <formula>"J"</formula>
    </cfRule>
  </conditionalFormatting>
  <conditionalFormatting sqref="L17">
    <cfRule type="cellIs" dxfId="2095" priority="33" operator="equal">
      <formula>"NI"</formula>
    </cfRule>
    <cfRule type="cellIs" dxfId="2094" priority="34" operator="equal">
      <formula>"N"</formula>
    </cfRule>
    <cfRule type="cellIs" dxfId="2093" priority="35" operator="equal">
      <formula>"P"</formula>
    </cfRule>
    <cfRule type="cellIs" dxfId="2092" priority="36" operator="equal">
      <formula>"J"</formula>
    </cfRule>
  </conditionalFormatting>
  <conditionalFormatting sqref="L31">
    <cfRule type="cellIs" dxfId="2091" priority="29" operator="equal">
      <formula>"NI"</formula>
    </cfRule>
    <cfRule type="cellIs" dxfId="2090" priority="30" operator="equal">
      <formula>"N"</formula>
    </cfRule>
    <cfRule type="cellIs" dxfId="2089" priority="31" operator="equal">
      <formula>"P"</formula>
    </cfRule>
    <cfRule type="cellIs" dxfId="2088" priority="32" operator="equal">
      <formula>"J"</formula>
    </cfRule>
  </conditionalFormatting>
  <conditionalFormatting sqref="L33">
    <cfRule type="cellIs" dxfId="2087" priority="25" operator="equal">
      <formula>"NI"</formula>
    </cfRule>
    <cfRule type="cellIs" dxfId="2086" priority="26" operator="equal">
      <formula>"N"</formula>
    </cfRule>
    <cfRule type="cellIs" dxfId="2085" priority="27" operator="equal">
      <formula>"P"</formula>
    </cfRule>
    <cfRule type="cellIs" dxfId="2084" priority="28" operator="equal">
      <formula>"J"</formula>
    </cfRule>
  </conditionalFormatting>
  <conditionalFormatting sqref="D9:D11 D13:D18 D20:D25 D27:D29 D31:D32">
    <cfRule type="cellIs" dxfId="2083" priority="21" operator="equal">
      <formula>"NI"</formula>
    </cfRule>
    <cfRule type="cellIs" dxfId="2082" priority="22" operator="equal">
      <formula>"N"</formula>
    </cfRule>
    <cfRule type="cellIs" dxfId="2081" priority="23" operator="equal">
      <formula>"P"</formula>
    </cfRule>
    <cfRule type="cellIs" dxfId="2080" priority="24" operator="equal">
      <formula>"J"</formula>
    </cfRule>
  </conditionalFormatting>
  <conditionalFormatting sqref="D33">
    <cfRule type="cellIs" dxfId="2079" priority="17" operator="equal">
      <formula>"NI"</formula>
    </cfRule>
    <cfRule type="cellIs" dxfId="2078" priority="18" operator="equal">
      <formula>"N"</formula>
    </cfRule>
    <cfRule type="cellIs" dxfId="2077" priority="19" operator="equal">
      <formula>"P"</formula>
    </cfRule>
    <cfRule type="cellIs" dxfId="2076" priority="20" operator="equal">
      <formula>"J"</formula>
    </cfRule>
  </conditionalFormatting>
  <conditionalFormatting sqref="E9:E11 E13:E18 E20:E25 E27:E29 E31:E32">
    <cfRule type="cellIs" dxfId="2075" priority="13" operator="equal">
      <formula>"NI"</formula>
    </cfRule>
    <cfRule type="cellIs" dxfId="2074" priority="14" operator="equal">
      <formula>"N"</formula>
    </cfRule>
    <cfRule type="cellIs" dxfId="2073" priority="15" operator="equal">
      <formula>"P"</formula>
    </cfRule>
    <cfRule type="cellIs" dxfId="2072" priority="16" operator="equal">
      <formula>"J"</formula>
    </cfRule>
  </conditionalFormatting>
  <conditionalFormatting sqref="E33">
    <cfRule type="cellIs" dxfId="2071" priority="9" operator="equal">
      <formula>"NI"</formula>
    </cfRule>
    <cfRule type="cellIs" dxfId="2070" priority="10" operator="equal">
      <formula>"N"</formula>
    </cfRule>
    <cfRule type="cellIs" dxfId="2069" priority="11" operator="equal">
      <formula>"P"</formula>
    </cfRule>
    <cfRule type="cellIs" dxfId="2068" priority="12" operator="equal">
      <formula>"J"</formula>
    </cfRule>
  </conditionalFormatting>
  <conditionalFormatting sqref="F9:F11 F13:F18 F20:F25 F27:F29 F31:F32">
    <cfRule type="cellIs" dxfId="2067" priority="5" operator="equal">
      <formula>"NI"</formula>
    </cfRule>
    <cfRule type="cellIs" dxfId="2066" priority="6" operator="equal">
      <formula>"N"</formula>
    </cfRule>
    <cfRule type="cellIs" dxfId="2065" priority="7" operator="equal">
      <formula>"P"</formula>
    </cfRule>
    <cfRule type="cellIs" dxfId="2064" priority="8" operator="equal">
      <formula>"J"</formula>
    </cfRule>
  </conditionalFormatting>
  <conditionalFormatting sqref="F33">
    <cfRule type="cellIs" dxfId="2063" priority="1" operator="equal">
      <formula>"NI"</formula>
    </cfRule>
    <cfRule type="cellIs" dxfId="2062" priority="2" operator="equal">
      <formula>"N"</formula>
    </cfRule>
    <cfRule type="cellIs" dxfId="2061" priority="3" operator="equal">
      <formula>"P"</formula>
    </cfRule>
    <cfRule type="cellIs" dxfId="206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5" sqref="S15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285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0.56874999999999998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0.41319444444444442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0.47083333333333333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2059" priority="149" operator="equal">
      <formula>"NI"</formula>
    </cfRule>
    <cfRule type="cellIs" dxfId="2058" priority="150" operator="equal">
      <formula>"N"</formula>
    </cfRule>
    <cfRule type="cellIs" dxfId="2057" priority="151" operator="equal">
      <formula>"P"</formula>
    </cfRule>
    <cfRule type="cellIs" dxfId="2056" priority="152" operator="equal">
      <formula>"J"</formula>
    </cfRule>
  </conditionalFormatting>
  <conditionalFormatting sqref="M32:M33">
    <cfRule type="cellIs" dxfId="2055" priority="153" operator="equal">
      <formula>"NI"</formula>
    </cfRule>
    <cfRule type="cellIs" dxfId="2054" priority="154" operator="equal">
      <formula>"N"</formula>
    </cfRule>
    <cfRule type="cellIs" dxfId="2053" priority="155" operator="equal">
      <formula>"P"</formula>
    </cfRule>
    <cfRule type="cellIs" dxfId="2052" priority="156" operator="equal">
      <formula>"J"</formula>
    </cfRule>
  </conditionalFormatting>
  <conditionalFormatting sqref="M9:M10">
    <cfRule type="cellIs" dxfId="2051" priority="157" operator="equal">
      <formula>"NI"</formula>
    </cfRule>
    <cfRule type="cellIs" dxfId="2050" priority="158" operator="equal">
      <formula>"N"</formula>
    </cfRule>
    <cfRule type="cellIs" dxfId="2049" priority="159" operator="equal">
      <formula>"P"</formula>
    </cfRule>
    <cfRule type="cellIs" dxfId="2048" priority="160" operator="equal">
      <formula>"J"</formula>
    </cfRule>
  </conditionalFormatting>
  <conditionalFormatting sqref="M11">
    <cfRule type="cellIs" dxfId="2047" priority="161" operator="equal">
      <formula>"NI"</formula>
    </cfRule>
    <cfRule type="cellIs" dxfId="2046" priority="162" operator="equal">
      <formula>"N"</formula>
    </cfRule>
    <cfRule type="cellIs" dxfId="2045" priority="163" operator="equal">
      <formula>"P"</formula>
    </cfRule>
    <cfRule type="cellIs" dxfId="2044" priority="164" operator="equal">
      <formula>"J"</formula>
    </cfRule>
  </conditionalFormatting>
  <conditionalFormatting sqref="M13:N18">
    <cfRule type="cellIs" dxfId="2043" priority="165" operator="equal">
      <formula>"NI"</formula>
    </cfRule>
    <cfRule type="cellIs" dxfId="2042" priority="166" operator="equal">
      <formula>"N"</formula>
    </cfRule>
    <cfRule type="cellIs" dxfId="2041" priority="167" operator="equal">
      <formula>"P"</formula>
    </cfRule>
    <cfRule type="cellIs" dxfId="2040" priority="168" operator="equal">
      <formula>"J"</formula>
    </cfRule>
  </conditionalFormatting>
  <conditionalFormatting sqref="M20:N25">
    <cfRule type="cellIs" dxfId="2039" priority="169" operator="equal">
      <formula>"NI"</formula>
    </cfRule>
    <cfRule type="cellIs" dxfId="2038" priority="170" operator="equal">
      <formula>"N"</formula>
    </cfRule>
    <cfRule type="cellIs" dxfId="2037" priority="171" operator="equal">
      <formula>"P"</formula>
    </cfRule>
    <cfRule type="cellIs" dxfId="2036" priority="172" operator="equal">
      <formula>"J"</formula>
    </cfRule>
  </conditionalFormatting>
  <conditionalFormatting sqref="N32:N33">
    <cfRule type="cellIs" dxfId="2035" priority="173" operator="equal">
      <formula>"NI"</formula>
    </cfRule>
    <cfRule type="cellIs" dxfId="2034" priority="174" operator="equal">
      <formula>"N"</formula>
    </cfRule>
    <cfRule type="cellIs" dxfId="2033" priority="175" operator="equal">
      <formula>"P"</formula>
    </cfRule>
    <cfRule type="cellIs" dxfId="2032" priority="176" operator="equal">
      <formula>"J"</formula>
    </cfRule>
  </conditionalFormatting>
  <conditionalFormatting sqref="N9:N11">
    <cfRule type="cellIs" dxfId="2031" priority="177" operator="equal">
      <formula>"NI"</formula>
    </cfRule>
    <cfRule type="cellIs" dxfId="2030" priority="178" operator="equal">
      <formula>"N"</formula>
    </cfRule>
    <cfRule type="cellIs" dxfId="2029" priority="179" operator="equal">
      <formula>"P"</formula>
    </cfRule>
    <cfRule type="cellIs" dxfId="2028" priority="180" operator="equal">
      <formula>"J"</formula>
    </cfRule>
  </conditionalFormatting>
  <conditionalFormatting sqref="O9:O11 O13:O18 O20:O25 O27:O29 O31:O33">
    <cfRule type="cellIs" dxfId="2027" priority="181" operator="equal">
      <formula>"NI"</formula>
    </cfRule>
    <cfRule type="cellIs" dxfId="2026" priority="182" operator="equal">
      <formula>"N"</formula>
    </cfRule>
    <cfRule type="cellIs" dxfId="2025" priority="183" operator="equal">
      <formula>"P"</formula>
    </cfRule>
    <cfRule type="cellIs" dxfId="2024" priority="184" operator="equal">
      <formula>"J"</formula>
    </cfRule>
  </conditionalFormatting>
  <conditionalFormatting sqref="G9:G11 G13:G18 G20:G25 G27:G29 G31:G33">
    <cfRule type="cellIs" dxfId="2023" priority="61" operator="equal">
      <formula>"NI"</formula>
    </cfRule>
    <cfRule type="cellIs" dxfId="2022" priority="62" operator="equal">
      <formula>"N"</formula>
    </cfRule>
    <cfRule type="cellIs" dxfId="2021" priority="63" operator="equal">
      <formula>"P"</formula>
    </cfRule>
    <cfRule type="cellIs" dxfId="2020" priority="64" operator="equal">
      <formula>"J"</formula>
    </cfRule>
  </conditionalFormatting>
  <conditionalFormatting sqref="H9:H11 H13:H18 H20:H25 H27:H29 H31:H33">
    <cfRule type="cellIs" dxfId="2019" priority="57" operator="equal">
      <formula>"NI"</formula>
    </cfRule>
    <cfRule type="cellIs" dxfId="2018" priority="58" operator="equal">
      <formula>"N"</formula>
    </cfRule>
    <cfRule type="cellIs" dxfId="2017" priority="59" operator="equal">
      <formula>"P"</formula>
    </cfRule>
    <cfRule type="cellIs" dxfId="2016" priority="60" operator="equal">
      <formula>"J"</formula>
    </cfRule>
  </conditionalFormatting>
  <conditionalFormatting sqref="I9:I11 I13:I18 I20:I25 I27:I29 I31:I32">
    <cfRule type="cellIs" dxfId="2015" priority="53" operator="equal">
      <formula>"NI"</formula>
    </cfRule>
    <cfRule type="cellIs" dxfId="2014" priority="54" operator="equal">
      <formula>"N"</formula>
    </cfRule>
    <cfRule type="cellIs" dxfId="2013" priority="55" operator="equal">
      <formula>"P"</formula>
    </cfRule>
    <cfRule type="cellIs" dxfId="2012" priority="56" operator="equal">
      <formula>"J"</formula>
    </cfRule>
  </conditionalFormatting>
  <conditionalFormatting sqref="I33">
    <cfRule type="cellIs" dxfId="2011" priority="49" operator="equal">
      <formula>"NI"</formula>
    </cfRule>
    <cfRule type="cellIs" dxfId="2010" priority="50" operator="equal">
      <formula>"N"</formula>
    </cfRule>
    <cfRule type="cellIs" dxfId="2009" priority="51" operator="equal">
      <formula>"P"</formula>
    </cfRule>
    <cfRule type="cellIs" dxfId="2008" priority="52" operator="equal">
      <formula>"J"</formula>
    </cfRule>
  </conditionalFormatting>
  <conditionalFormatting sqref="J9:J11 J13:J18 J20:J25 J27:J29 J31:J33">
    <cfRule type="cellIs" dxfId="2007" priority="45" operator="equal">
      <formula>"NI"</formula>
    </cfRule>
    <cfRule type="cellIs" dxfId="2006" priority="46" operator="equal">
      <formula>"N"</formula>
    </cfRule>
    <cfRule type="cellIs" dxfId="2005" priority="47" operator="equal">
      <formula>"P"</formula>
    </cfRule>
    <cfRule type="cellIs" dxfId="2004" priority="48" operator="equal">
      <formula>"J"</formula>
    </cfRule>
  </conditionalFormatting>
  <conditionalFormatting sqref="K9:K11 K13:K18 K20:K25 K27:K29 K31:K33">
    <cfRule type="cellIs" dxfId="2003" priority="41" operator="equal">
      <formula>"NI"</formula>
    </cfRule>
    <cfRule type="cellIs" dxfId="2002" priority="42" operator="equal">
      <formula>"N"</formula>
    </cfRule>
    <cfRule type="cellIs" dxfId="2001" priority="43" operator="equal">
      <formula>"P"</formula>
    </cfRule>
    <cfRule type="cellIs" dxfId="2000" priority="44" operator="equal">
      <formula>"J"</formula>
    </cfRule>
  </conditionalFormatting>
  <conditionalFormatting sqref="L9:L11 L13:L16 L18 L20:L25 L27:L29 L32">
    <cfRule type="cellIs" dxfId="1999" priority="37" operator="equal">
      <formula>"NI"</formula>
    </cfRule>
    <cfRule type="cellIs" dxfId="1998" priority="38" operator="equal">
      <formula>"N"</formula>
    </cfRule>
    <cfRule type="cellIs" dxfId="1997" priority="39" operator="equal">
      <formula>"P"</formula>
    </cfRule>
    <cfRule type="cellIs" dxfId="1996" priority="40" operator="equal">
      <formula>"J"</formula>
    </cfRule>
  </conditionalFormatting>
  <conditionalFormatting sqref="L17">
    <cfRule type="cellIs" dxfId="1995" priority="33" operator="equal">
      <formula>"NI"</formula>
    </cfRule>
    <cfRule type="cellIs" dxfId="1994" priority="34" operator="equal">
      <formula>"N"</formula>
    </cfRule>
    <cfRule type="cellIs" dxfId="1993" priority="35" operator="equal">
      <formula>"P"</formula>
    </cfRule>
    <cfRule type="cellIs" dxfId="1992" priority="36" operator="equal">
      <formula>"J"</formula>
    </cfRule>
  </conditionalFormatting>
  <conditionalFormatting sqref="L31">
    <cfRule type="cellIs" dxfId="1991" priority="29" operator="equal">
      <formula>"NI"</formula>
    </cfRule>
    <cfRule type="cellIs" dxfId="1990" priority="30" operator="equal">
      <formula>"N"</formula>
    </cfRule>
    <cfRule type="cellIs" dxfId="1989" priority="31" operator="equal">
      <formula>"P"</formula>
    </cfRule>
    <cfRule type="cellIs" dxfId="1988" priority="32" operator="equal">
      <formula>"J"</formula>
    </cfRule>
  </conditionalFormatting>
  <conditionalFormatting sqref="L33">
    <cfRule type="cellIs" dxfId="1987" priority="25" operator="equal">
      <formula>"NI"</formula>
    </cfRule>
    <cfRule type="cellIs" dxfId="1986" priority="26" operator="equal">
      <formula>"N"</formula>
    </cfRule>
    <cfRule type="cellIs" dxfId="1985" priority="27" operator="equal">
      <formula>"P"</formula>
    </cfRule>
    <cfRule type="cellIs" dxfId="1984" priority="28" operator="equal">
      <formula>"J"</formula>
    </cfRule>
  </conditionalFormatting>
  <conditionalFormatting sqref="D9:D11 D13:D18 D20:D25 D27:D29 D31:D32">
    <cfRule type="cellIs" dxfId="1983" priority="21" operator="equal">
      <formula>"NI"</formula>
    </cfRule>
    <cfRule type="cellIs" dxfId="1982" priority="22" operator="equal">
      <formula>"N"</formula>
    </cfRule>
    <cfRule type="cellIs" dxfId="1981" priority="23" operator="equal">
      <formula>"P"</formula>
    </cfRule>
    <cfRule type="cellIs" dxfId="1980" priority="24" operator="equal">
      <formula>"J"</formula>
    </cfRule>
  </conditionalFormatting>
  <conditionalFormatting sqref="D33">
    <cfRule type="cellIs" dxfId="1979" priority="17" operator="equal">
      <formula>"NI"</formula>
    </cfRule>
    <cfRule type="cellIs" dxfId="1978" priority="18" operator="equal">
      <formula>"N"</formula>
    </cfRule>
    <cfRule type="cellIs" dxfId="1977" priority="19" operator="equal">
      <formula>"P"</formula>
    </cfRule>
    <cfRule type="cellIs" dxfId="1976" priority="20" operator="equal">
      <formula>"J"</formula>
    </cfRule>
  </conditionalFormatting>
  <conditionalFormatting sqref="E9:E11 E13:E18 E20:E25 E27:E29 E31:E32">
    <cfRule type="cellIs" dxfId="1975" priority="13" operator="equal">
      <formula>"NI"</formula>
    </cfRule>
    <cfRule type="cellIs" dxfId="1974" priority="14" operator="equal">
      <formula>"N"</formula>
    </cfRule>
    <cfRule type="cellIs" dxfId="1973" priority="15" operator="equal">
      <formula>"P"</formula>
    </cfRule>
    <cfRule type="cellIs" dxfId="1972" priority="16" operator="equal">
      <formula>"J"</formula>
    </cfRule>
  </conditionalFormatting>
  <conditionalFormatting sqref="E33">
    <cfRule type="cellIs" dxfId="1971" priority="9" operator="equal">
      <formula>"NI"</formula>
    </cfRule>
    <cfRule type="cellIs" dxfId="1970" priority="10" operator="equal">
      <formula>"N"</formula>
    </cfRule>
    <cfRule type="cellIs" dxfId="1969" priority="11" operator="equal">
      <formula>"P"</formula>
    </cfRule>
    <cfRule type="cellIs" dxfId="1968" priority="12" operator="equal">
      <formula>"J"</formula>
    </cfRule>
  </conditionalFormatting>
  <conditionalFormatting sqref="F9:F11 F13:F18 F20:F25 F27:F29 F31:F32">
    <cfRule type="cellIs" dxfId="1967" priority="5" operator="equal">
      <formula>"NI"</formula>
    </cfRule>
    <cfRule type="cellIs" dxfId="1966" priority="6" operator="equal">
      <formula>"N"</formula>
    </cfRule>
    <cfRule type="cellIs" dxfId="1965" priority="7" operator="equal">
      <formula>"P"</formula>
    </cfRule>
    <cfRule type="cellIs" dxfId="1964" priority="8" operator="equal">
      <formula>"J"</formula>
    </cfRule>
  </conditionalFormatting>
  <conditionalFormatting sqref="F33">
    <cfRule type="cellIs" dxfId="1963" priority="1" operator="equal">
      <formula>"NI"</formula>
    </cfRule>
    <cfRule type="cellIs" dxfId="1962" priority="2" operator="equal">
      <formula>"N"</formula>
    </cfRule>
    <cfRule type="cellIs" dxfId="1961" priority="3" operator="equal">
      <formula>"P"</formula>
    </cfRule>
    <cfRule type="cellIs" dxfId="196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T15" sqref="T15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288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0.57013888888888886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0.41388888888888892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0.58263888888888893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959" priority="161" operator="equal">
      <formula>"NI"</formula>
    </cfRule>
    <cfRule type="cellIs" dxfId="1958" priority="162" operator="equal">
      <formula>"N"</formula>
    </cfRule>
    <cfRule type="cellIs" dxfId="1957" priority="163" operator="equal">
      <formula>"P"</formula>
    </cfRule>
    <cfRule type="cellIs" dxfId="1956" priority="164" operator="equal">
      <formula>"J"</formula>
    </cfRule>
  </conditionalFormatting>
  <conditionalFormatting sqref="M32:M33">
    <cfRule type="cellIs" dxfId="1955" priority="165" operator="equal">
      <formula>"NI"</formula>
    </cfRule>
    <cfRule type="cellIs" dxfId="1954" priority="166" operator="equal">
      <formula>"N"</formula>
    </cfRule>
    <cfRule type="cellIs" dxfId="1953" priority="167" operator="equal">
      <formula>"P"</formula>
    </cfRule>
    <cfRule type="cellIs" dxfId="1952" priority="168" operator="equal">
      <formula>"J"</formula>
    </cfRule>
  </conditionalFormatting>
  <conditionalFormatting sqref="M9:M10">
    <cfRule type="cellIs" dxfId="1951" priority="169" operator="equal">
      <formula>"NI"</formula>
    </cfRule>
    <cfRule type="cellIs" dxfId="1950" priority="170" operator="equal">
      <formula>"N"</formula>
    </cfRule>
    <cfRule type="cellIs" dxfId="1949" priority="171" operator="equal">
      <formula>"P"</formula>
    </cfRule>
    <cfRule type="cellIs" dxfId="1948" priority="172" operator="equal">
      <formula>"J"</formula>
    </cfRule>
  </conditionalFormatting>
  <conditionalFormatting sqref="M11">
    <cfRule type="cellIs" dxfId="1947" priority="173" operator="equal">
      <formula>"NI"</formula>
    </cfRule>
    <cfRule type="cellIs" dxfId="1946" priority="174" operator="equal">
      <formula>"N"</formula>
    </cfRule>
    <cfRule type="cellIs" dxfId="1945" priority="175" operator="equal">
      <formula>"P"</formula>
    </cfRule>
    <cfRule type="cellIs" dxfId="1944" priority="176" operator="equal">
      <formula>"J"</formula>
    </cfRule>
  </conditionalFormatting>
  <conditionalFormatting sqref="M13:N18">
    <cfRule type="cellIs" dxfId="1943" priority="177" operator="equal">
      <formula>"NI"</formula>
    </cfRule>
    <cfRule type="cellIs" dxfId="1942" priority="178" operator="equal">
      <formula>"N"</formula>
    </cfRule>
    <cfRule type="cellIs" dxfId="1941" priority="179" operator="equal">
      <formula>"P"</formula>
    </cfRule>
    <cfRule type="cellIs" dxfId="1940" priority="180" operator="equal">
      <formula>"J"</formula>
    </cfRule>
  </conditionalFormatting>
  <conditionalFormatting sqref="M20:N25">
    <cfRule type="cellIs" dxfId="1939" priority="181" operator="equal">
      <formula>"NI"</formula>
    </cfRule>
    <cfRule type="cellIs" dxfId="1938" priority="182" operator="equal">
      <formula>"N"</formula>
    </cfRule>
    <cfRule type="cellIs" dxfId="1937" priority="183" operator="equal">
      <formula>"P"</formula>
    </cfRule>
    <cfRule type="cellIs" dxfId="1936" priority="184" operator="equal">
      <formula>"J"</formula>
    </cfRule>
  </conditionalFormatting>
  <conditionalFormatting sqref="N32:N33">
    <cfRule type="cellIs" dxfId="1935" priority="185" operator="equal">
      <formula>"NI"</formula>
    </cfRule>
    <cfRule type="cellIs" dxfId="1934" priority="186" operator="equal">
      <formula>"N"</formula>
    </cfRule>
    <cfRule type="cellIs" dxfId="1933" priority="187" operator="equal">
      <formula>"P"</formula>
    </cfRule>
    <cfRule type="cellIs" dxfId="1932" priority="188" operator="equal">
      <formula>"J"</formula>
    </cfRule>
  </conditionalFormatting>
  <conditionalFormatting sqref="N9:N11">
    <cfRule type="cellIs" dxfId="1931" priority="189" operator="equal">
      <formula>"NI"</formula>
    </cfRule>
    <cfRule type="cellIs" dxfId="1930" priority="190" operator="equal">
      <formula>"N"</formula>
    </cfRule>
    <cfRule type="cellIs" dxfId="1929" priority="191" operator="equal">
      <formula>"P"</formula>
    </cfRule>
    <cfRule type="cellIs" dxfId="1928" priority="192" operator="equal">
      <formula>"J"</formula>
    </cfRule>
  </conditionalFormatting>
  <conditionalFormatting sqref="O9:O11 O13:O18 O20:O25 O27:O29 O31:O33">
    <cfRule type="cellIs" dxfId="1927" priority="193" operator="equal">
      <formula>"NI"</formula>
    </cfRule>
    <cfRule type="cellIs" dxfId="1926" priority="194" operator="equal">
      <formula>"N"</formula>
    </cfRule>
    <cfRule type="cellIs" dxfId="1925" priority="195" operator="equal">
      <formula>"P"</formula>
    </cfRule>
    <cfRule type="cellIs" dxfId="1924" priority="196" operator="equal">
      <formula>"J"</formula>
    </cfRule>
  </conditionalFormatting>
  <conditionalFormatting sqref="G9:G11 G13:G18 G20:G25 G27:G29 G31:G33">
    <cfRule type="cellIs" dxfId="1923" priority="81" operator="equal">
      <formula>"NI"</formula>
    </cfRule>
    <cfRule type="cellIs" dxfId="1922" priority="82" operator="equal">
      <formula>"N"</formula>
    </cfRule>
    <cfRule type="cellIs" dxfId="1921" priority="83" operator="equal">
      <formula>"P"</formula>
    </cfRule>
    <cfRule type="cellIs" dxfId="1920" priority="84" operator="equal">
      <formula>"J"</formula>
    </cfRule>
  </conditionalFormatting>
  <conditionalFormatting sqref="H9:H11 H13:H18 H20:H25 H27:H29 H31:H33">
    <cfRule type="cellIs" dxfId="1919" priority="77" operator="equal">
      <formula>"NI"</formula>
    </cfRule>
    <cfRule type="cellIs" dxfId="1918" priority="78" operator="equal">
      <formula>"N"</formula>
    </cfRule>
    <cfRule type="cellIs" dxfId="1917" priority="79" operator="equal">
      <formula>"P"</formula>
    </cfRule>
    <cfRule type="cellIs" dxfId="1916" priority="80" operator="equal">
      <formula>"J"</formula>
    </cfRule>
  </conditionalFormatting>
  <conditionalFormatting sqref="I9:I11 I13:I18 I20:I25 I27:I29 I31:I32">
    <cfRule type="cellIs" dxfId="1915" priority="73" operator="equal">
      <formula>"NI"</formula>
    </cfRule>
    <cfRule type="cellIs" dxfId="1914" priority="74" operator="equal">
      <formula>"N"</formula>
    </cfRule>
    <cfRule type="cellIs" dxfId="1913" priority="75" operator="equal">
      <formula>"P"</formula>
    </cfRule>
    <cfRule type="cellIs" dxfId="1912" priority="76" operator="equal">
      <formula>"J"</formula>
    </cfRule>
  </conditionalFormatting>
  <conditionalFormatting sqref="I33">
    <cfRule type="cellIs" dxfId="1911" priority="69" operator="equal">
      <formula>"NI"</formula>
    </cfRule>
    <cfRule type="cellIs" dxfId="1910" priority="70" operator="equal">
      <formula>"N"</formula>
    </cfRule>
    <cfRule type="cellIs" dxfId="1909" priority="71" operator="equal">
      <formula>"P"</formula>
    </cfRule>
    <cfRule type="cellIs" dxfId="1908" priority="72" operator="equal">
      <formula>"J"</formula>
    </cfRule>
  </conditionalFormatting>
  <conditionalFormatting sqref="J9:J11 J13:J18 J20:J25 J27:J29 J31:J33">
    <cfRule type="cellIs" dxfId="1907" priority="65" operator="equal">
      <formula>"NI"</formula>
    </cfRule>
    <cfRule type="cellIs" dxfId="1906" priority="66" operator="equal">
      <formula>"N"</formula>
    </cfRule>
    <cfRule type="cellIs" dxfId="1905" priority="67" operator="equal">
      <formula>"P"</formula>
    </cfRule>
    <cfRule type="cellIs" dxfId="1904" priority="68" operator="equal">
      <formula>"J"</formula>
    </cfRule>
  </conditionalFormatting>
  <conditionalFormatting sqref="K9:K11 K13:K18 K20:K25 K27:K29 K31:K33">
    <cfRule type="cellIs" dxfId="1903" priority="61" operator="equal">
      <formula>"NI"</formula>
    </cfRule>
    <cfRule type="cellIs" dxfId="1902" priority="62" operator="equal">
      <formula>"N"</formula>
    </cfRule>
    <cfRule type="cellIs" dxfId="1901" priority="63" operator="equal">
      <formula>"P"</formula>
    </cfRule>
    <cfRule type="cellIs" dxfId="1900" priority="64" operator="equal">
      <formula>"J"</formula>
    </cfRule>
  </conditionalFormatting>
  <conditionalFormatting sqref="L9:L11 L13:L16 L18 L20:L25 L27:L29 L32">
    <cfRule type="cellIs" dxfId="1899" priority="57" operator="equal">
      <formula>"NI"</formula>
    </cfRule>
    <cfRule type="cellIs" dxfId="1898" priority="58" operator="equal">
      <formula>"N"</formula>
    </cfRule>
    <cfRule type="cellIs" dxfId="1897" priority="59" operator="equal">
      <formula>"P"</formula>
    </cfRule>
    <cfRule type="cellIs" dxfId="1896" priority="60" operator="equal">
      <formula>"J"</formula>
    </cfRule>
  </conditionalFormatting>
  <conditionalFormatting sqref="L17">
    <cfRule type="cellIs" dxfId="1895" priority="53" operator="equal">
      <formula>"NI"</formula>
    </cfRule>
    <cfRule type="cellIs" dxfId="1894" priority="54" operator="equal">
      <formula>"N"</formula>
    </cfRule>
    <cfRule type="cellIs" dxfId="1893" priority="55" operator="equal">
      <formula>"P"</formula>
    </cfRule>
    <cfRule type="cellIs" dxfId="1892" priority="56" operator="equal">
      <formula>"J"</formula>
    </cfRule>
  </conditionalFormatting>
  <conditionalFormatting sqref="L31">
    <cfRule type="cellIs" dxfId="1891" priority="49" operator="equal">
      <formula>"NI"</formula>
    </cfRule>
    <cfRule type="cellIs" dxfId="1890" priority="50" operator="equal">
      <formula>"N"</formula>
    </cfRule>
    <cfRule type="cellIs" dxfId="1889" priority="51" operator="equal">
      <formula>"P"</formula>
    </cfRule>
    <cfRule type="cellIs" dxfId="1888" priority="52" operator="equal">
      <formula>"J"</formula>
    </cfRule>
  </conditionalFormatting>
  <conditionalFormatting sqref="L33">
    <cfRule type="cellIs" dxfId="1887" priority="45" operator="equal">
      <formula>"NI"</formula>
    </cfRule>
    <cfRule type="cellIs" dxfId="1886" priority="46" operator="equal">
      <formula>"N"</formula>
    </cfRule>
    <cfRule type="cellIs" dxfId="1885" priority="47" operator="equal">
      <formula>"P"</formula>
    </cfRule>
    <cfRule type="cellIs" dxfId="1884" priority="48" operator="equal">
      <formula>"J"</formula>
    </cfRule>
  </conditionalFormatting>
  <conditionalFormatting sqref="D9:D11 D13:D18 D20:D25 D27:D29">
    <cfRule type="cellIs" dxfId="1883" priority="41" operator="equal">
      <formula>"NI"</formula>
    </cfRule>
    <cfRule type="cellIs" dxfId="1882" priority="42" operator="equal">
      <formula>"N"</formula>
    </cfRule>
    <cfRule type="cellIs" dxfId="1881" priority="43" operator="equal">
      <formula>"P"</formula>
    </cfRule>
    <cfRule type="cellIs" dxfId="1880" priority="44" operator="equal">
      <formula>"J"</formula>
    </cfRule>
  </conditionalFormatting>
  <conditionalFormatting sqref="D31:D32">
    <cfRule type="cellIs" dxfId="1879" priority="37" operator="equal">
      <formula>"NI"</formula>
    </cfRule>
    <cfRule type="cellIs" dxfId="1878" priority="38" operator="equal">
      <formula>"N"</formula>
    </cfRule>
    <cfRule type="cellIs" dxfId="1877" priority="39" operator="equal">
      <formula>"P"</formula>
    </cfRule>
    <cfRule type="cellIs" dxfId="1876" priority="40" operator="equal">
      <formula>"J"</formula>
    </cfRule>
  </conditionalFormatting>
  <conditionalFormatting sqref="D33">
    <cfRule type="cellIs" dxfId="1875" priority="33" operator="equal">
      <formula>"NI"</formula>
    </cfRule>
    <cfRule type="cellIs" dxfId="1874" priority="34" operator="equal">
      <formula>"N"</formula>
    </cfRule>
    <cfRule type="cellIs" dxfId="1873" priority="35" operator="equal">
      <formula>"P"</formula>
    </cfRule>
    <cfRule type="cellIs" dxfId="1872" priority="36" operator="equal">
      <formula>"J"</formula>
    </cfRule>
  </conditionalFormatting>
  <conditionalFormatting sqref="E9:E11 E13:E18 E20:E25 E27:E29">
    <cfRule type="cellIs" dxfId="1871" priority="29" operator="equal">
      <formula>"NI"</formula>
    </cfRule>
    <cfRule type="cellIs" dxfId="1870" priority="30" operator="equal">
      <formula>"N"</formula>
    </cfRule>
    <cfRule type="cellIs" dxfId="1869" priority="31" operator="equal">
      <formula>"P"</formula>
    </cfRule>
    <cfRule type="cellIs" dxfId="1868" priority="32" operator="equal">
      <formula>"J"</formula>
    </cfRule>
  </conditionalFormatting>
  <conditionalFormatting sqref="E32">
    <cfRule type="cellIs" dxfId="1867" priority="25" operator="equal">
      <formula>"NI"</formula>
    </cfRule>
    <cfRule type="cellIs" dxfId="1866" priority="26" operator="equal">
      <formula>"N"</formula>
    </cfRule>
    <cfRule type="cellIs" dxfId="1865" priority="27" operator="equal">
      <formula>"P"</formula>
    </cfRule>
    <cfRule type="cellIs" dxfId="1864" priority="28" operator="equal">
      <formula>"J"</formula>
    </cfRule>
  </conditionalFormatting>
  <conditionalFormatting sqref="E31">
    <cfRule type="cellIs" dxfId="1863" priority="21" operator="equal">
      <formula>"NI"</formula>
    </cfRule>
    <cfRule type="cellIs" dxfId="1862" priority="22" operator="equal">
      <formula>"N"</formula>
    </cfRule>
    <cfRule type="cellIs" dxfId="1861" priority="23" operator="equal">
      <formula>"P"</formula>
    </cfRule>
    <cfRule type="cellIs" dxfId="1860" priority="24" operator="equal">
      <formula>"J"</formula>
    </cfRule>
  </conditionalFormatting>
  <conditionalFormatting sqref="E33">
    <cfRule type="cellIs" dxfId="1859" priority="17" operator="equal">
      <formula>"NI"</formula>
    </cfRule>
    <cfRule type="cellIs" dxfId="1858" priority="18" operator="equal">
      <formula>"N"</formula>
    </cfRule>
    <cfRule type="cellIs" dxfId="1857" priority="19" operator="equal">
      <formula>"P"</formula>
    </cfRule>
    <cfRule type="cellIs" dxfId="1856" priority="20" operator="equal">
      <formula>"J"</formula>
    </cfRule>
  </conditionalFormatting>
  <conditionalFormatting sqref="F9:F11 F13:F18 F20:F25 F27:F29">
    <cfRule type="cellIs" dxfId="1855" priority="13" operator="equal">
      <formula>"NI"</formula>
    </cfRule>
    <cfRule type="cellIs" dxfId="1854" priority="14" operator="equal">
      <formula>"N"</formula>
    </cfRule>
    <cfRule type="cellIs" dxfId="1853" priority="15" operator="equal">
      <formula>"P"</formula>
    </cfRule>
    <cfRule type="cellIs" dxfId="1852" priority="16" operator="equal">
      <formula>"J"</formula>
    </cfRule>
  </conditionalFormatting>
  <conditionalFormatting sqref="F32">
    <cfRule type="cellIs" dxfId="1851" priority="9" operator="equal">
      <formula>"NI"</formula>
    </cfRule>
    <cfRule type="cellIs" dxfId="1850" priority="10" operator="equal">
      <formula>"N"</formula>
    </cfRule>
    <cfRule type="cellIs" dxfId="1849" priority="11" operator="equal">
      <formula>"P"</formula>
    </cfRule>
    <cfRule type="cellIs" dxfId="1848" priority="12" operator="equal">
      <formula>"J"</formula>
    </cfRule>
  </conditionalFormatting>
  <conditionalFormatting sqref="F31">
    <cfRule type="cellIs" dxfId="1847" priority="5" operator="equal">
      <formula>"NI"</formula>
    </cfRule>
    <cfRule type="cellIs" dxfId="1846" priority="6" operator="equal">
      <formula>"N"</formula>
    </cfRule>
    <cfRule type="cellIs" dxfId="1845" priority="7" operator="equal">
      <formula>"P"</formula>
    </cfRule>
    <cfRule type="cellIs" dxfId="1844" priority="8" operator="equal">
      <formula>"J"</formula>
    </cfRule>
  </conditionalFormatting>
  <conditionalFormatting sqref="F33">
    <cfRule type="cellIs" dxfId="1843" priority="1" operator="equal">
      <formula>"NI"</formula>
    </cfRule>
    <cfRule type="cellIs" dxfId="1842" priority="2" operator="equal">
      <formula>"N"</formula>
    </cfRule>
    <cfRule type="cellIs" dxfId="1841" priority="3" operator="equal">
      <formula>"P"</formula>
    </cfRule>
    <cfRule type="cellIs" dxfId="184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T14" sqref="T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290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0.57013888888888886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0.41388888888888892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0.58333333333333337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839" priority="141" operator="equal">
      <formula>"NI"</formula>
    </cfRule>
    <cfRule type="cellIs" dxfId="1838" priority="142" operator="equal">
      <formula>"N"</formula>
    </cfRule>
    <cfRule type="cellIs" dxfId="1837" priority="143" operator="equal">
      <formula>"P"</formula>
    </cfRule>
    <cfRule type="cellIs" dxfId="1836" priority="144" operator="equal">
      <formula>"J"</formula>
    </cfRule>
  </conditionalFormatting>
  <conditionalFormatting sqref="M32:M33">
    <cfRule type="cellIs" dxfId="1835" priority="145" operator="equal">
      <formula>"NI"</formula>
    </cfRule>
    <cfRule type="cellIs" dxfId="1834" priority="146" operator="equal">
      <formula>"N"</formula>
    </cfRule>
    <cfRule type="cellIs" dxfId="1833" priority="147" operator="equal">
      <formula>"P"</formula>
    </cfRule>
    <cfRule type="cellIs" dxfId="1832" priority="148" operator="equal">
      <formula>"J"</formula>
    </cfRule>
  </conditionalFormatting>
  <conditionalFormatting sqref="M9:M10">
    <cfRule type="cellIs" dxfId="1831" priority="149" operator="equal">
      <formula>"NI"</formula>
    </cfRule>
    <cfRule type="cellIs" dxfId="1830" priority="150" operator="equal">
      <formula>"N"</formula>
    </cfRule>
    <cfRule type="cellIs" dxfId="1829" priority="151" operator="equal">
      <formula>"P"</formula>
    </cfRule>
    <cfRule type="cellIs" dxfId="1828" priority="152" operator="equal">
      <formula>"J"</formula>
    </cfRule>
  </conditionalFormatting>
  <conditionalFormatting sqref="M11">
    <cfRule type="cellIs" dxfId="1827" priority="153" operator="equal">
      <formula>"NI"</formula>
    </cfRule>
    <cfRule type="cellIs" dxfId="1826" priority="154" operator="equal">
      <formula>"N"</formula>
    </cfRule>
    <cfRule type="cellIs" dxfId="1825" priority="155" operator="equal">
      <formula>"P"</formula>
    </cfRule>
    <cfRule type="cellIs" dxfId="1824" priority="156" operator="equal">
      <formula>"J"</formula>
    </cfRule>
  </conditionalFormatting>
  <conditionalFormatting sqref="M13:N18">
    <cfRule type="cellIs" dxfId="1823" priority="157" operator="equal">
      <formula>"NI"</formula>
    </cfRule>
    <cfRule type="cellIs" dxfId="1822" priority="158" operator="equal">
      <formula>"N"</formula>
    </cfRule>
    <cfRule type="cellIs" dxfId="1821" priority="159" operator="equal">
      <formula>"P"</formula>
    </cfRule>
    <cfRule type="cellIs" dxfId="1820" priority="160" operator="equal">
      <formula>"J"</formula>
    </cfRule>
  </conditionalFormatting>
  <conditionalFormatting sqref="M20:N25">
    <cfRule type="cellIs" dxfId="1819" priority="161" operator="equal">
      <formula>"NI"</formula>
    </cfRule>
    <cfRule type="cellIs" dxfId="1818" priority="162" operator="equal">
      <formula>"N"</formula>
    </cfRule>
    <cfRule type="cellIs" dxfId="1817" priority="163" operator="equal">
      <formula>"P"</formula>
    </cfRule>
    <cfRule type="cellIs" dxfId="1816" priority="164" operator="equal">
      <formula>"J"</formula>
    </cfRule>
  </conditionalFormatting>
  <conditionalFormatting sqref="N32:N33">
    <cfRule type="cellIs" dxfId="1815" priority="165" operator="equal">
      <formula>"NI"</formula>
    </cfRule>
    <cfRule type="cellIs" dxfId="1814" priority="166" operator="equal">
      <formula>"N"</formula>
    </cfRule>
    <cfRule type="cellIs" dxfId="1813" priority="167" operator="equal">
      <formula>"P"</formula>
    </cfRule>
    <cfRule type="cellIs" dxfId="1812" priority="168" operator="equal">
      <formula>"J"</formula>
    </cfRule>
  </conditionalFormatting>
  <conditionalFormatting sqref="N9:N11">
    <cfRule type="cellIs" dxfId="1811" priority="169" operator="equal">
      <formula>"NI"</formula>
    </cfRule>
    <cfRule type="cellIs" dxfId="1810" priority="170" operator="equal">
      <formula>"N"</formula>
    </cfRule>
    <cfRule type="cellIs" dxfId="1809" priority="171" operator="equal">
      <formula>"P"</formula>
    </cfRule>
    <cfRule type="cellIs" dxfId="1808" priority="172" operator="equal">
      <formula>"J"</formula>
    </cfRule>
  </conditionalFormatting>
  <conditionalFormatting sqref="O9:O11 O13:O18 O20:O25 O27:O29 O31:O33">
    <cfRule type="cellIs" dxfId="1807" priority="173" operator="equal">
      <formula>"NI"</formula>
    </cfRule>
    <cfRule type="cellIs" dxfId="1806" priority="174" operator="equal">
      <formula>"N"</formula>
    </cfRule>
    <cfRule type="cellIs" dxfId="1805" priority="175" operator="equal">
      <formula>"P"</formula>
    </cfRule>
    <cfRule type="cellIs" dxfId="1804" priority="176" operator="equal">
      <formula>"J"</formula>
    </cfRule>
  </conditionalFormatting>
  <conditionalFormatting sqref="G9:G11 G13:G18 G20:G25 G27:G29 G31:G33">
    <cfRule type="cellIs" dxfId="1803" priority="73" operator="equal">
      <formula>"NI"</formula>
    </cfRule>
    <cfRule type="cellIs" dxfId="1802" priority="74" operator="equal">
      <formula>"N"</formula>
    </cfRule>
    <cfRule type="cellIs" dxfId="1801" priority="75" operator="equal">
      <formula>"P"</formula>
    </cfRule>
    <cfRule type="cellIs" dxfId="1800" priority="76" operator="equal">
      <formula>"J"</formula>
    </cfRule>
  </conditionalFormatting>
  <conditionalFormatting sqref="H9:H11 H13:H18 H20:H25 H27:H29 H31:H33">
    <cfRule type="cellIs" dxfId="1799" priority="69" operator="equal">
      <formula>"NI"</formula>
    </cfRule>
    <cfRule type="cellIs" dxfId="1798" priority="70" operator="equal">
      <formula>"N"</formula>
    </cfRule>
    <cfRule type="cellIs" dxfId="1797" priority="71" operator="equal">
      <formula>"P"</formula>
    </cfRule>
    <cfRule type="cellIs" dxfId="1796" priority="72" operator="equal">
      <formula>"J"</formula>
    </cfRule>
  </conditionalFormatting>
  <conditionalFormatting sqref="I9:I11 I13:I18 I20:I25 I27:I29 I31:I32">
    <cfRule type="cellIs" dxfId="1795" priority="65" operator="equal">
      <formula>"NI"</formula>
    </cfRule>
    <cfRule type="cellIs" dxfId="1794" priority="66" operator="equal">
      <formula>"N"</formula>
    </cfRule>
    <cfRule type="cellIs" dxfId="1793" priority="67" operator="equal">
      <formula>"P"</formula>
    </cfRule>
    <cfRule type="cellIs" dxfId="1792" priority="68" operator="equal">
      <formula>"J"</formula>
    </cfRule>
  </conditionalFormatting>
  <conditionalFormatting sqref="I33">
    <cfRule type="cellIs" dxfId="1791" priority="61" operator="equal">
      <formula>"NI"</formula>
    </cfRule>
    <cfRule type="cellIs" dxfId="1790" priority="62" operator="equal">
      <formula>"N"</formula>
    </cfRule>
    <cfRule type="cellIs" dxfId="1789" priority="63" operator="equal">
      <formula>"P"</formula>
    </cfRule>
    <cfRule type="cellIs" dxfId="1788" priority="64" operator="equal">
      <formula>"J"</formula>
    </cfRule>
  </conditionalFormatting>
  <conditionalFormatting sqref="J9:J11 J13:J18 J20:J25 J27:J29 J31:J33">
    <cfRule type="cellIs" dxfId="1787" priority="57" operator="equal">
      <formula>"NI"</formula>
    </cfRule>
    <cfRule type="cellIs" dxfId="1786" priority="58" operator="equal">
      <formula>"N"</formula>
    </cfRule>
    <cfRule type="cellIs" dxfId="1785" priority="59" operator="equal">
      <formula>"P"</formula>
    </cfRule>
    <cfRule type="cellIs" dxfId="1784" priority="60" operator="equal">
      <formula>"J"</formula>
    </cfRule>
  </conditionalFormatting>
  <conditionalFormatting sqref="K9:K11 K13:K18 K20:K25 K27:K29 K31:K33">
    <cfRule type="cellIs" dxfId="1783" priority="53" operator="equal">
      <formula>"NI"</formula>
    </cfRule>
    <cfRule type="cellIs" dxfId="1782" priority="54" operator="equal">
      <formula>"N"</formula>
    </cfRule>
    <cfRule type="cellIs" dxfId="1781" priority="55" operator="equal">
      <formula>"P"</formula>
    </cfRule>
    <cfRule type="cellIs" dxfId="1780" priority="56" operator="equal">
      <formula>"J"</formula>
    </cfRule>
  </conditionalFormatting>
  <conditionalFormatting sqref="L9:L11 L13:L16 L18 L20:L25 L27:L29">
    <cfRule type="cellIs" dxfId="1779" priority="49" operator="equal">
      <formula>"NI"</formula>
    </cfRule>
    <cfRule type="cellIs" dxfId="1778" priority="50" operator="equal">
      <formula>"N"</formula>
    </cfRule>
    <cfRule type="cellIs" dxfId="1777" priority="51" operator="equal">
      <formula>"P"</formula>
    </cfRule>
    <cfRule type="cellIs" dxfId="1776" priority="52" operator="equal">
      <formula>"J"</formula>
    </cfRule>
  </conditionalFormatting>
  <conditionalFormatting sqref="L17">
    <cfRule type="cellIs" dxfId="1775" priority="45" operator="equal">
      <formula>"NI"</formula>
    </cfRule>
    <cfRule type="cellIs" dxfId="1774" priority="46" operator="equal">
      <formula>"N"</formula>
    </cfRule>
    <cfRule type="cellIs" dxfId="1773" priority="47" operator="equal">
      <formula>"P"</formula>
    </cfRule>
    <cfRule type="cellIs" dxfId="1772" priority="48" operator="equal">
      <formula>"J"</formula>
    </cfRule>
  </conditionalFormatting>
  <conditionalFormatting sqref="L32">
    <cfRule type="cellIs" dxfId="1771" priority="41" operator="equal">
      <formula>"NI"</formula>
    </cfRule>
    <cfRule type="cellIs" dxfId="1770" priority="42" operator="equal">
      <formula>"N"</formula>
    </cfRule>
    <cfRule type="cellIs" dxfId="1769" priority="43" operator="equal">
      <formula>"P"</formula>
    </cfRule>
    <cfRule type="cellIs" dxfId="1768" priority="44" operator="equal">
      <formula>"J"</formula>
    </cfRule>
  </conditionalFormatting>
  <conditionalFormatting sqref="L31">
    <cfRule type="cellIs" dxfId="1767" priority="37" operator="equal">
      <formula>"NI"</formula>
    </cfRule>
    <cfRule type="cellIs" dxfId="1766" priority="38" operator="equal">
      <formula>"N"</formula>
    </cfRule>
    <cfRule type="cellIs" dxfId="1765" priority="39" operator="equal">
      <formula>"P"</formula>
    </cfRule>
    <cfRule type="cellIs" dxfId="1764" priority="40" operator="equal">
      <formula>"J"</formula>
    </cfRule>
  </conditionalFormatting>
  <conditionalFormatting sqref="L33">
    <cfRule type="cellIs" dxfId="1763" priority="33" operator="equal">
      <formula>"NI"</formula>
    </cfRule>
    <cfRule type="cellIs" dxfId="1762" priority="34" operator="equal">
      <formula>"N"</formula>
    </cfRule>
    <cfRule type="cellIs" dxfId="1761" priority="35" operator="equal">
      <formula>"P"</formula>
    </cfRule>
    <cfRule type="cellIs" dxfId="1760" priority="36" operator="equal">
      <formula>"J"</formula>
    </cfRule>
  </conditionalFormatting>
  <conditionalFormatting sqref="D9:D11 D13:D18 D20:D25 D27:D29 D31:D32">
    <cfRule type="cellIs" dxfId="1759" priority="29" operator="equal">
      <formula>"NI"</formula>
    </cfRule>
    <cfRule type="cellIs" dxfId="1758" priority="30" operator="equal">
      <formula>"N"</formula>
    </cfRule>
    <cfRule type="cellIs" dxfId="1757" priority="31" operator="equal">
      <formula>"P"</formula>
    </cfRule>
    <cfRule type="cellIs" dxfId="1756" priority="32" operator="equal">
      <formula>"J"</formula>
    </cfRule>
  </conditionalFormatting>
  <conditionalFormatting sqref="D33">
    <cfRule type="cellIs" dxfId="1755" priority="25" operator="equal">
      <formula>"NI"</formula>
    </cfRule>
    <cfRule type="cellIs" dxfId="1754" priority="26" operator="equal">
      <formula>"N"</formula>
    </cfRule>
    <cfRule type="cellIs" dxfId="1753" priority="27" operator="equal">
      <formula>"P"</formula>
    </cfRule>
    <cfRule type="cellIs" dxfId="1752" priority="28" operator="equal">
      <formula>"J"</formula>
    </cfRule>
  </conditionalFormatting>
  <conditionalFormatting sqref="E9:E11 E13:E18 E20:E25 E27:E29 E32">
    <cfRule type="cellIs" dxfId="1751" priority="21" operator="equal">
      <formula>"NI"</formula>
    </cfRule>
    <cfRule type="cellIs" dxfId="1750" priority="22" operator="equal">
      <formula>"N"</formula>
    </cfRule>
    <cfRule type="cellIs" dxfId="1749" priority="23" operator="equal">
      <formula>"P"</formula>
    </cfRule>
    <cfRule type="cellIs" dxfId="1748" priority="24" operator="equal">
      <formula>"J"</formula>
    </cfRule>
  </conditionalFormatting>
  <conditionalFormatting sqref="E31">
    <cfRule type="cellIs" dxfId="1747" priority="17" operator="equal">
      <formula>"NI"</formula>
    </cfRule>
    <cfRule type="cellIs" dxfId="1746" priority="18" operator="equal">
      <formula>"N"</formula>
    </cfRule>
    <cfRule type="cellIs" dxfId="1745" priority="19" operator="equal">
      <formula>"P"</formula>
    </cfRule>
    <cfRule type="cellIs" dxfId="1744" priority="20" operator="equal">
      <formula>"J"</formula>
    </cfRule>
  </conditionalFormatting>
  <conditionalFormatting sqref="E33">
    <cfRule type="cellIs" dxfId="1743" priority="13" operator="equal">
      <formula>"NI"</formula>
    </cfRule>
    <cfRule type="cellIs" dxfId="1742" priority="14" operator="equal">
      <formula>"N"</formula>
    </cfRule>
    <cfRule type="cellIs" dxfId="1741" priority="15" operator="equal">
      <formula>"P"</formula>
    </cfRule>
    <cfRule type="cellIs" dxfId="1740" priority="16" operator="equal">
      <formula>"J"</formula>
    </cfRule>
  </conditionalFormatting>
  <conditionalFormatting sqref="F9:F11 F13:F18 F20:F25 F27:F29 F32">
    <cfRule type="cellIs" dxfId="1739" priority="9" operator="equal">
      <formula>"NI"</formula>
    </cfRule>
    <cfRule type="cellIs" dxfId="1738" priority="10" operator="equal">
      <formula>"N"</formula>
    </cfRule>
    <cfRule type="cellIs" dxfId="1737" priority="11" operator="equal">
      <formula>"P"</formula>
    </cfRule>
    <cfRule type="cellIs" dxfId="1736" priority="12" operator="equal">
      <formula>"J"</formula>
    </cfRule>
  </conditionalFormatting>
  <conditionalFormatting sqref="F31">
    <cfRule type="cellIs" dxfId="1735" priority="5" operator="equal">
      <formula>"NI"</formula>
    </cfRule>
    <cfRule type="cellIs" dxfId="1734" priority="6" operator="equal">
      <formula>"N"</formula>
    </cfRule>
    <cfRule type="cellIs" dxfId="1733" priority="7" operator="equal">
      <formula>"P"</formula>
    </cfRule>
    <cfRule type="cellIs" dxfId="1732" priority="8" operator="equal">
      <formula>"J"</formula>
    </cfRule>
  </conditionalFormatting>
  <conditionalFormatting sqref="F33">
    <cfRule type="cellIs" dxfId="1731" priority="1" operator="equal">
      <formula>"NI"</formula>
    </cfRule>
    <cfRule type="cellIs" dxfId="1730" priority="2" operator="equal">
      <formula>"N"</formula>
    </cfRule>
    <cfRule type="cellIs" dxfId="1729" priority="3" operator="equal">
      <formula>"P"</formula>
    </cfRule>
    <cfRule type="cellIs" dxfId="172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C14" sqref="C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317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0.5708333333333333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0.41458333333333341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0.59652777777777777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212"/>
      <c r="S11" s="211"/>
      <c r="T11" s="210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0.44236111111111109</v>
      </c>
      <c r="T13" s="210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0.48819444444444438</v>
      </c>
      <c r="T14" s="210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0.63263888888888886</v>
      </c>
      <c r="T15" s="202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0.37777777777777782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0.71736111111111112</v>
      </c>
      <c r="T17" s="202" t="s">
        <v>213</v>
      </c>
    </row>
    <row r="18" spans="1:21" x14ac:dyDescent="0.25">
      <c r="A18" s="426"/>
      <c r="C18" s="188" t="s">
        <v>271</v>
      </c>
      <c r="D18" s="183" t="s">
        <v>207</v>
      </c>
      <c r="E18" s="183" t="s">
        <v>200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0.61319444444444449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318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727" priority="161" operator="equal">
      <formula>"NI"</formula>
    </cfRule>
    <cfRule type="cellIs" dxfId="1726" priority="162" operator="equal">
      <formula>"N"</formula>
    </cfRule>
    <cfRule type="cellIs" dxfId="1725" priority="163" operator="equal">
      <formula>"P"</formula>
    </cfRule>
    <cfRule type="cellIs" dxfId="1724" priority="164" operator="equal">
      <formula>"J"</formula>
    </cfRule>
  </conditionalFormatting>
  <conditionalFormatting sqref="M32:M33">
    <cfRule type="cellIs" dxfId="1723" priority="165" operator="equal">
      <formula>"NI"</formula>
    </cfRule>
    <cfRule type="cellIs" dxfId="1722" priority="166" operator="equal">
      <formula>"N"</formula>
    </cfRule>
    <cfRule type="cellIs" dxfId="1721" priority="167" operator="equal">
      <formula>"P"</formula>
    </cfRule>
    <cfRule type="cellIs" dxfId="1720" priority="168" operator="equal">
      <formula>"J"</formula>
    </cfRule>
  </conditionalFormatting>
  <conditionalFormatting sqref="M9:M10">
    <cfRule type="cellIs" dxfId="1719" priority="169" operator="equal">
      <formula>"NI"</formula>
    </cfRule>
    <cfRule type="cellIs" dxfId="1718" priority="170" operator="equal">
      <formula>"N"</formula>
    </cfRule>
    <cfRule type="cellIs" dxfId="1717" priority="171" operator="equal">
      <formula>"P"</formula>
    </cfRule>
    <cfRule type="cellIs" dxfId="1716" priority="172" operator="equal">
      <formula>"J"</formula>
    </cfRule>
  </conditionalFormatting>
  <conditionalFormatting sqref="M11">
    <cfRule type="cellIs" dxfId="1715" priority="173" operator="equal">
      <formula>"NI"</formula>
    </cfRule>
    <cfRule type="cellIs" dxfId="1714" priority="174" operator="equal">
      <formula>"N"</formula>
    </cfRule>
    <cfRule type="cellIs" dxfId="1713" priority="175" operator="equal">
      <formula>"P"</formula>
    </cfRule>
    <cfRule type="cellIs" dxfId="1712" priority="176" operator="equal">
      <formula>"J"</formula>
    </cfRule>
  </conditionalFormatting>
  <conditionalFormatting sqref="M13:N18">
    <cfRule type="cellIs" dxfId="1711" priority="177" operator="equal">
      <formula>"NI"</formula>
    </cfRule>
    <cfRule type="cellIs" dxfId="1710" priority="178" operator="equal">
      <formula>"N"</formula>
    </cfRule>
    <cfRule type="cellIs" dxfId="1709" priority="179" operator="equal">
      <formula>"P"</formula>
    </cfRule>
    <cfRule type="cellIs" dxfId="1708" priority="180" operator="equal">
      <formula>"J"</formula>
    </cfRule>
  </conditionalFormatting>
  <conditionalFormatting sqref="M20:N25">
    <cfRule type="cellIs" dxfId="1707" priority="181" operator="equal">
      <formula>"NI"</formula>
    </cfRule>
    <cfRule type="cellIs" dxfId="1706" priority="182" operator="equal">
      <formula>"N"</formula>
    </cfRule>
    <cfRule type="cellIs" dxfId="1705" priority="183" operator="equal">
      <formula>"P"</formula>
    </cfRule>
    <cfRule type="cellIs" dxfId="1704" priority="184" operator="equal">
      <formula>"J"</formula>
    </cfRule>
  </conditionalFormatting>
  <conditionalFormatting sqref="N32:N33">
    <cfRule type="cellIs" dxfId="1703" priority="185" operator="equal">
      <formula>"NI"</formula>
    </cfRule>
    <cfRule type="cellIs" dxfId="1702" priority="186" operator="equal">
      <formula>"N"</formula>
    </cfRule>
    <cfRule type="cellIs" dxfId="1701" priority="187" operator="equal">
      <formula>"P"</formula>
    </cfRule>
    <cfRule type="cellIs" dxfId="1700" priority="188" operator="equal">
      <formula>"J"</formula>
    </cfRule>
  </conditionalFormatting>
  <conditionalFormatting sqref="N9:N11">
    <cfRule type="cellIs" dxfId="1699" priority="189" operator="equal">
      <formula>"NI"</formula>
    </cfRule>
    <cfRule type="cellIs" dxfId="1698" priority="190" operator="equal">
      <formula>"N"</formula>
    </cfRule>
    <cfRule type="cellIs" dxfId="1697" priority="191" operator="equal">
      <formula>"P"</formula>
    </cfRule>
    <cfRule type="cellIs" dxfId="1696" priority="192" operator="equal">
      <formula>"J"</formula>
    </cfRule>
  </conditionalFormatting>
  <conditionalFormatting sqref="O9:O11 O13:O18 O20:O25 O27:O29 O31:O33">
    <cfRule type="cellIs" dxfId="1695" priority="193" operator="equal">
      <formula>"NI"</formula>
    </cfRule>
    <cfRule type="cellIs" dxfId="1694" priority="194" operator="equal">
      <formula>"N"</formula>
    </cfRule>
    <cfRule type="cellIs" dxfId="1693" priority="195" operator="equal">
      <formula>"P"</formula>
    </cfRule>
    <cfRule type="cellIs" dxfId="1692" priority="196" operator="equal">
      <formula>"J"</formula>
    </cfRule>
  </conditionalFormatting>
  <conditionalFormatting sqref="G9:G11 G13:G18 G20:G25 G27:G29 G31:G33">
    <cfRule type="cellIs" dxfId="1691" priority="81" operator="equal">
      <formula>"NI"</formula>
    </cfRule>
    <cfRule type="cellIs" dxfId="1690" priority="82" operator="equal">
      <formula>"N"</formula>
    </cfRule>
    <cfRule type="cellIs" dxfId="1689" priority="83" operator="equal">
      <formula>"P"</formula>
    </cfRule>
    <cfRule type="cellIs" dxfId="1688" priority="84" operator="equal">
      <formula>"J"</formula>
    </cfRule>
  </conditionalFormatting>
  <conditionalFormatting sqref="H9:H11 H13:H18 H20:H25 H27:H29 H31:H33">
    <cfRule type="cellIs" dxfId="1687" priority="77" operator="equal">
      <formula>"NI"</formula>
    </cfRule>
    <cfRule type="cellIs" dxfId="1686" priority="78" operator="equal">
      <formula>"N"</formula>
    </cfRule>
    <cfRule type="cellIs" dxfId="1685" priority="79" operator="equal">
      <formula>"P"</formula>
    </cfRule>
    <cfRule type="cellIs" dxfId="1684" priority="80" operator="equal">
      <formula>"J"</formula>
    </cfRule>
  </conditionalFormatting>
  <conditionalFormatting sqref="I9:I11 I13:I18 I20:I25 I27:I29 I31:I32">
    <cfRule type="cellIs" dxfId="1683" priority="73" operator="equal">
      <formula>"NI"</formula>
    </cfRule>
    <cfRule type="cellIs" dxfId="1682" priority="74" operator="equal">
      <formula>"N"</formula>
    </cfRule>
    <cfRule type="cellIs" dxfId="1681" priority="75" operator="equal">
      <formula>"P"</formula>
    </cfRule>
    <cfRule type="cellIs" dxfId="1680" priority="76" operator="equal">
      <formula>"J"</formula>
    </cfRule>
  </conditionalFormatting>
  <conditionalFormatting sqref="I33">
    <cfRule type="cellIs" dxfId="1679" priority="69" operator="equal">
      <formula>"NI"</formula>
    </cfRule>
    <cfRule type="cellIs" dxfId="1678" priority="70" operator="equal">
      <formula>"N"</formula>
    </cfRule>
    <cfRule type="cellIs" dxfId="1677" priority="71" operator="equal">
      <formula>"P"</formula>
    </cfRule>
    <cfRule type="cellIs" dxfId="1676" priority="72" operator="equal">
      <formula>"J"</formula>
    </cfRule>
  </conditionalFormatting>
  <conditionalFormatting sqref="J9:J11 J13:J18 J20:J25 J27:J29 J31:J33">
    <cfRule type="cellIs" dxfId="1675" priority="65" operator="equal">
      <formula>"NI"</formula>
    </cfRule>
    <cfRule type="cellIs" dxfId="1674" priority="66" operator="equal">
      <formula>"N"</formula>
    </cfRule>
    <cfRule type="cellIs" dxfId="1673" priority="67" operator="equal">
      <formula>"P"</formula>
    </cfRule>
    <cfRule type="cellIs" dxfId="1672" priority="68" operator="equal">
      <formula>"J"</formula>
    </cfRule>
  </conditionalFormatting>
  <conditionalFormatting sqref="K9:K11 K13:K18 K20:K25 K27:K29 K31:K33">
    <cfRule type="cellIs" dxfId="1671" priority="61" operator="equal">
      <formula>"NI"</formula>
    </cfRule>
    <cfRule type="cellIs" dxfId="1670" priority="62" operator="equal">
      <formula>"N"</formula>
    </cfRule>
    <cfRule type="cellIs" dxfId="1669" priority="63" operator="equal">
      <formula>"P"</formula>
    </cfRule>
    <cfRule type="cellIs" dxfId="1668" priority="64" operator="equal">
      <formula>"J"</formula>
    </cfRule>
  </conditionalFormatting>
  <conditionalFormatting sqref="L9:L11 L13:L16 L18 L20:L25 L27:L29 L32">
    <cfRule type="cellIs" dxfId="1667" priority="57" operator="equal">
      <formula>"NI"</formula>
    </cfRule>
    <cfRule type="cellIs" dxfId="1666" priority="58" operator="equal">
      <formula>"N"</formula>
    </cfRule>
    <cfRule type="cellIs" dxfId="1665" priority="59" operator="equal">
      <formula>"P"</formula>
    </cfRule>
    <cfRule type="cellIs" dxfId="1664" priority="60" operator="equal">
      <formula>"J"</formula>
    </cfRule>
  </conditionalFormatting>
  <conditionalFormatting sqref="L17">
    <cfRule type="cellIs" dxfId="1663" priority="53" operator="equal">
      <formula>"NI"</formula>
    </cfRule>
    <cfRule type="cellIs" dxfId="1662" priority="54" operator="equal">
      <formula>"N"</formula>
    </cfRule>
    <cfRule type="cellIs" dxfId="1661" priority="55" operator="equal">
      <formula>"P"</formula>
    </cfRule>
    <cfRule type="cellIs" dxfId="1660" priority="56" operator="equal">
      <formula>"J"</formula>
    </cfRule>
  </conditionalFormatting>
  <conditionalFormatting sqref="L31">
    <cfRule type="cellIs" dxfId="1659" priority="49" operator="equal">
      <formula>"NI"</formula>
    </cfRule>
    <cfRule type="cellIs" dxfId="1658" priority="50" operator="equal">
      <formula>"N"</formula>
    </cfRule>
    <cfRule type="cellIs" dxfId="1657" priority="51" operator="equal">
      <formula>"P"</formula>
    </cfRule>
    <cfRule type="cellIs" dxfId="1656" priority="52" operator="equal">
      <formula>"J"</formula>
    </cfRule>
  </conditionalFormatting>
  <conditionalFormatting sqref="L33">
    <cfRule type="cellIs" dxfId="1655" priority="45" operator="equal">
      <formula>"NI"</formula>
    </cfRule>
    <cfRule type="cellIs" dxfId="1654" priority="46" operator="equal">
      <formula>"N"</formula>
    </cfRule>
    <cfRule type="cellIs" dxfId="1653" priority="47" operator="equal">
      <formula>"P"</formula>
    </cfRule>
    <cfRule type="cellIs" dxfId="1652" priority="48" operator="equal">
      <formula>"J"</formula>
    </cfRule>
  </conditionalFormatting>
  <conditionalFormatting sqref="D9:D11 D13:D18 D20:D25 D27:D29">
    <cfRule type="cellIs" dxfId="1651" priority="41" operator="equal">
      <formula>"NI"</formula>
    </cfRule>
    <cfRule type="cellIs" dxfId="1650" priority="42" operator="equal">
      <formula>"N"</formula>
    </cfRule>
    <cfRule type="cellIs" dxfId="1649" priority="43" operator="equal">
      <formula>"P"</formula>
    </cfRule>
    <cfRule type="cellIs" dxfId="1648" priority="44" operator="equal">
      <formula>"J"</formula>
    </cfRule>
  </conditionalFormatting>
  <conditionalFormatting sqref="D31:D32">
    <cfRule type="cellIs" dxfId="1647" priority="37" operator="equal">
      <formula>"NI"</formula>
    </cfRule>
    <cfRule type="cellIs" dxfId="1646" priority="38" operator="equal">
      <formula>"N"</formula>
    </cfRule>
    <cfRule type="cellIs" dxfId="1645" priority="39" operator="equal">
      <formula>"P"</formula>
    </cfRule>
    <cfRule type="cellIs" dxfId="1644" priority="40" operator="equal">
      <formula>"J"</formula>
    </cfRule>
  </conditionalFormatting>
  <conditionalFormatting sqref="D33">
    <cfRule type="cellIs" dxfId="1643" priority="33" operator="equal">
      <formula>"NI"</formula>
    </cfRule>
    <cfRule type="cellIs" dxfId="1642" priority="34" operator="equal">
      <formula>"N"</formula>
    </cfRule>
    <cfRule type="cellIs" dxfId="1641" priority="35" operator="equal">
      <formula>"P"</formula>
    </cfRule>
    <cfRule type="cellIs" dxfId="1640" priority="36" operator="equal">
      <formula>"J"</formula>
    </cfRule>
  </conditionalFormatting>
  <conditionalFormatting sqref="E9:E11 E13:E18 E20:E25 E27:E29">
    <cfRule type="cellIs" dxfId="1639" priority="29" operator="equal">
      <formula>"NI"</formula>
    </cfRule>
    <cfRule type="cellIs" dxfId="1638" priority="30" operator="equal">
      <formula>"N"</formula>
    </cfRule>
    <cfRule type="cellIs" dxfId="1637" priority="31" operator="equal">
      <formula>"P"</formula>
    </cfRule>
    <cfRule type="cellIs" dxfId="1636" priority="32" operator="equal">
      <formula>"J"</formula>
    </cfRule>
  </conditionalFormatting>
  <conditionalFormatting sqref="E32">
    <cfRule type="cellIs" dxfId="1635" priority="25" operator="equal">
      <formula>"NI"</formula>
    </cfRule>
    <cfRule type="cellIs" dxfId="1634" priority="26" operator="equal">
      <formula>"N"</formula>
    </cfRule>
    <cfRule type="cellIs" dxfId="1633" priority="27" operator="equal">
      <formula>"P"</formula>
    </cfRule>
    <cfRule type="cellIs" dxfId="1632" priority="28" operator="equal">
      <formula>"J"</formula>
    </cfRule>
  </conditionalFormatting>
  <conditionalFormatting sqref="E31">
    <cfRule type="cellIs" dxfId="1631" priority="21" operator="equal">
      <formula>"NI"</formula>
    </cfRule>
    <cfRule type="cellIs" dxfId="1630" priority="22" operator="equal">
      <formula>"N"</formula>
    </cfRule>
    <cfRule type="cellIs" dxfId="1629" priority="23" operator="equal">
      <formula>"P"</formula>
    </cfRule>
    <cfRule type="cellIs" dxfId="1628" priority="24" operator="equal">
      <formula>"J"</formula>
    </cfRule>
  </conditionalFormatting>
  <conditionalFormatting sqref="E33">
    <cfRule type="cellIs" dxfId="1627" priority="17" operator="equal">
      <formula>"NI"</formula>
    </cfRule>
    <cfRule type="cellIs" dxfId="1626" priority="18" operator="equal">
      <formula>"N"</formula>
    </cfRule>
    <cfRule type="cellIs" dxfId="1625" priority="19" operator="equal">
      <formula>"P"</formula>
    </cfRule>
    <cfRule type="cellIs" dxfId="1624" priority="20" operator="equal">
      <formula>"J"</formula>
    </cfRule>
  </conditionalFormatting>
  <conditionalFormatting sqref="F9:F11 F13:F18 F20:F25 F27:F29">
    <cfRule type="cellIs" dxfId="1623" priority="13" operator="equal">
      <formula>"NI"</formula>
    </cfRule>
    <cfRule type="cellIs" dxfId="1622" priority="14" operator="equal">
      <formula>"N"</formula>
    </cfRule>
    <cfRule type="cellIs" dxfId="1621" priority="15" operator="equal">
      <formula>"P"</formula>
    </cfRule>
    <cfRule type="cellIs" dxfId="1620" priority="16" operator="equal">
      <formula>"J"</formula>
    </cfRule>
  </conditionalFormatting>
  <conditionalFormatting sqref="F32">
    <cfRule type="cellIs" dxfId="1619" priority="9" operator="equal">
      <formula>"NI"</formula>
    </cfRule>
    <cfRule type="cellIs" dxfId="1618" priority="10" operator="equal">
      <formula>"N"</formula>
    </cfRule>
    <cfRule type="cellIs" dxfId="1617" priority="11" operator="equal">
      <formula>"P"</formula>
    </cfRule>
    <cfRule type="cellIs" dxfId="1616" priority="12" operator="equal">
      <formula>"J"</formula>
    </cfRule>
  </conditionalFormatting>
  <conditionalFormatting sqref="F31">
    <cfRule type="cellIs" dxfId="1615" priority="5" operator="equal">
      <formula>"NI"</formula>
    </cfRule>
    <cfRule type="cellIs" dxfId="1614" priority="6" operator="equal">
      <formula>"N"</formula>
    </cfRule>
    <cfRule type="cellIs" dxfId="1613" priority="7" operator="equal">
      <formula>"P"</formula>
    </cfRule>
    <cfRule type="cellIs" dxfId="1612" priority="8" operator="equal">
      <formula>"J"</formula>
    </cfRule>
  </conditionalFormatting>
  <conditionalFormatting sqref="F33">
    <cfRule type="cellIs" dxfId="1611" priority="1" operator="equal">
      <formula>"NI"</formula>
    </cfRule>
    <cfRule type="cellIs" dxfId="1610" priority="2" operator="equal">
      <formula>"N"</formula>
    </cfRule>
    <cfRule type="cellIs" dxfId="1609" priority="3" operator="equal">
      <formula>"P"</formula>
    </cfRule>
    <cfRule type="cellIs" dxfId="160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S13" sqref="S13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319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0.57291666666666663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0.41597222222222219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0.59930555555555554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0.44305555555555548</v>
      </c>
      <c r="T13" s="205" t="s">
        <v>213</v>
      </c>
    </row>
    <row r="14" spans="1:23" x14ac:dyDescent="0.25">
      <c r="A14" s="426"/>
      <c r="C14" s="188" t="s">
        <v>216</v>
      </c>
      <c r="D14" s="183" t="s">
        <v>196</v>
      </c>
      <c r="E14" s="183" t="s">
        <v>215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0.48888888888888887</v>
      </c>
      <c r="T14" s="205" t="s">
        <v>213</v>
      </c>
    </row>
    <row r="15" spans="1:23" x14ac:dyDescent="0.25">
      <c r="A15" s="426"/>
      <c r="C15" s="188" t="s">
        <v>217</v>
      </c>
      <c r="D15" s="183" t="s">
        <v>196</v>
      </c>
      <c r="E15" s="183" t="s">
        <v>215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0.63263888888888886</v>
      </c>
      <c r="T15" s="9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0.37916666666666671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0.71736111111111112</v>
      </c>
      <c r="T17" s="202" t="s">
        <v>213</v>
      </c>
    </row>
    <row r="18" spans="1:21" x14ac:dyDescent="0.25">
      <c r="A18" s="426"/>
      <c r="C18" s="188" t="s">
        <v>271</v>
      </c>
      <c r="D18" s="183" t="s">
        <v>196</v>
      </c>
      <c r="E18" s="183" t="s">
        <v>215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318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215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/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607" priority="157" operator="equal">
      <formula>"NI"</formula>
    </cfRule>
    <cfRule type="cellIs" dxfId="1606" priority="158" operator="equal">
      <formula>"N"</formula>
    </cfRule>
    <cfRule type="cellIs" dxfId="1605" priority="159" operator="equal">
      <formula>"P"</formula>
    </cfRule>
    <cfRule type="cellIs" dxfId="1604" priority="160" operator="equal">
      <formula>"J"</formula>
    </cfRule>
  </conditionalFormatting>
  <conditionalFormatting sqref="M32:M33">
    <cfRule type="cellIs" dxfId="1603" priority="161" operator="equal">
      <formula>"NI"</formula>
    </cfRule>
    <cfRule type="cellIs" dxfId="1602" priority="162" operator="equal">
      <formula>"N"</formula>
    </cfRule>
    <cfRule type="cellIs" dxfId="1601" priority="163" operator="equal">
      <formula>"P"</formula>
    </cfRule>
    <cfRule type="cellIs" dxfId="1600" priority="164" operator="equal">
      <formula>"J"</formula>
    </cfRule>
  </conditionalFormatting>
  <conditionalFormatting sqref="M9:M10">
    <cfRule type="cellIs" dxfId="1599" priority="165" operator="equal">
      <formula>"NI"</formula>
    </cfRule>
    <cfRule type="cellIs" dxfId="1598" priority="166" operator="equal">
      <formula>"N"</formula>
    </cfRule>
    <cfRule type="cellIs" dxfId="1597" priority="167" operator="equal">
      <formula>"P"</formula>
    </cfRule>
    <cfRule type="cellIs" dxfId="1596" priority="168" operator="equal">
      <formula>"J"</formula>
    </cfRule>
  </conditionalFormatting>
  <conditionalFormatting sqref="M11">
    <cfRule type="cellIs" dxfId="1595" priority="169" operator="equal">
      <formula>"NI"</formula>
    </cfRule>
    <cfRule type="cellIs" dxfId="1594" priority="170" operator="equal">
      <formula>"N"</formula>
    </cfRule>
    <cfRule type="cellIs" dxfId="1593" priority="171" operator="equal">
      <formula>"P"</formula>
    </cfRule>
    <cfRule type="cellIs" dxfId="1592" priority="172" operator="equal">
      <formula>"J"</formula>
    </cfRule>
  </conditionalFormatting>
  <conditionalFormatting sqref="M13:N18">
    <cfRule type="cellIs" dxfId="1591" priority="173" operator="equal">
      <formula>"NI"</formula>
    </cfRule>
    <cfRule type="cellIs" dxfId="1590" priority="174" operator="equal">
      <formula>"N"</formula>
    </cfRule>
    <cfRule type="cellIs" dxfId="1589" priority="175" operator="equal">
      <formula>"P"</formula>
    </cfRule>
    <cfRule type="cellIs" dxfId="1588" priority="176" operator="equal">
      <formula>"J"</formula>
    </cfRule>
  </conditionalFormatting>
  <conditionalFormatting sqref="M20:N25">
    <cfRule type="cellIs" dxfId="1587" priority="177" operator="equal">
      <formula>"NI"</formula>
    </cfRule>
    <cfRule type="cellIs" dxfId="1586" priority="178" operator="equal">
      <formula>"N"</formula>
    </cfRule>
    <cfRule type="cellIs" dxfId="1585" priority="179" operator="equal">
      <formula>"P"</formula>
    </cfRule>
    <cfRule type="cellIs" dxfId="1584" priority="180" operator="equal">
      <formula>"J"</formula>
    </cfRule>
  </conditionalFormatting>
  <conditionalFormatting sqref="N32:N33">
    <cfRule type="cellIs" dxfId="1583" priority="181" operator="equal">
      <formula>"NI"</formula>
    </cfRule>
    <cfRule type="cellIs" dxfId="1582" priority="182" operator="equal">
      <formula>"N"</formula>
    </cfRule>
    <cfRule type="cellIs" dxfId="1581" priority="183" operator="equal">
      <formula>"P"</formula>
    </cfRule>
    <cfRule type="cellIs" dxfId="1580" priority="184" operator="equal">
      <formula>"J"</formula>
    </cfRule>
  </conditionalFormatting>
  <conditionalFormatting sqref="N9:N11">
    <cfRule type="cellIs" dxfId="1579" priority="185" operator="equal">
      <formula>"NI"</formula>
    </cfRule>
    <cfRule type="cellIs" dxfId="1578" priority="186" operator="equal">
      <formula>"N"</formula>
    </cfRule>
    <cfRule type="cellIs" dxfId="1577" priority="187" operator="equal">
      <formula>"P"</formula>
    </cfRule>
    <cfRule type="cellIs" dxfId="1576" priority="188" operator="equal">
      <formula>"J"</formula>
    </cfRule>
  </conditionalFormatting>
  <conditionalFormatting sqref="O9:O11 O13:O18 O20:O25 O27:O29 O31:O33">
    <cfRule type="cellIs" dxfId="1575" priority="189" operator="equal">
      <formula>"NI"</formula>
    </cfRule>
    <cfRule type="cellIs" dxfId="1574" priority="190" operator="equal">
      <formula>"N"</formula>
    </cfRule>
    <cfRule type="cellIs" dxfId="1573" priority="191" operator="equal">
      <formula>"P"</formula>
    </cfRule>
    <cfRule type="cellIs" dxfId="1572" priority="192" operator="equal">
      <formula>"J"</formula>
    </cfRule>
  </conditionalFormatting>
  <conditionalFormatting sqref="G9:G11 G13:G18 G20:G25 G27:G29 G31:G33">
    <cfRule type="cellIs" dxfId="1571" priority="77" operator="equal">
      <formula>"NI"</formula>
    </cfRule>
    <cfRule type="cellIs" dxfId="1570" priority="78" operator="equal">
      <formula>"N"</formula>
    </cfRule>
    <cfRule type="cellIs" dxfId="1569" priority="79" operator="equal">
      <formula>"P"</formula>
    </cfRule>
    <cfRule type="cellIs" dxfId="1568" priority="80" operator="equal">
      <formula>"J"</formula>
    </cfRule>
  </conditionalFormatting>
  <conditionalFormatting sqref="H9:H11 H13:H18 H20:H25 H27:H29 H31:H33">
    <cfRule type="cellIs" dxfId="1567" priority="73" operator="equal">
      <formula>"NI"</formula>
    </cfRule>
    <cfRule type="cellIs" dxfId="1566" priority="74" operator="equal">
      <formula>"N"</formula>
    </cfRule>
    <cfRule type="cellIs" dxfId="1565" priority="75" operator="equal">
      <formula>"P"</formula>
    </cfRule>
    <cfRule type="cellIs" dxfId="1564" priority="76" operator="equal">
      <formula>"J"</formula>
    </cfRule>
  </conditionalFormatting>
  <conditionalFormatting sqref="I9:I11 I13:I18 I20:I25 I27:I29 I31:I32">
    <cfRule type="cellIs" dxfId="1563" priority="69" operator="equal">
      <formula>"NI"</formula>
    </cfRule>
    <cfRule type="cellIs" dxfId="1562" priority="70" operator="equal">
      <formula>"N"</formula>
    </cfRule>
    <cfRule type="cellIs" dxfId="1561" priority="71" operator="equal">
      <formula>"P"</formula>
    </cfRule>
    <cfRule type="cellIs" dxfId="1560" priority="72" operator="equal">
      <formula>"J"</formula>
    </cfRule>
  </conditionalFormatting>
  <conditionalFormatting sqref="I33">
    <cfRule type="cellIs" dxfId="1559" priority="65" operator="equal">
      <formula>"NI"</formula>
    </cfRule>
    <cfRule type="cellIs" dxfId="1558" priority="66" operator="equal">
      <formula>"N"</formula>
    </cfRule>
    <cfRule type="cellIs" dxfId="1557" priority="67" operator="equal">
      <formula>"P"</formula>
    </cfRule>
    <cfRule type="cellIs" dxfId="1556" priority="68" operator="equal">
      <formula>"J"</formula>
    </cfRule>
  </conditionalFormatting>
  <conditionalFormatting sqref="J9:J11 J13:J18 J20:J25 J27:J29 J31:J33">
    <cfRule type="cellIs" dxfId="1555" priority="61" operator="equal">
      <formula>"NI"</formula>
    </cfRule>
    <cfRule type="cellIs" dxfId="1554" priority="62" operator="equal">
      <formula>"N"</formula>
    </cfRule>
    <cfRule type="cellIs" dxfId="1553" priority="63" operator="equal">
      <formula>"P"</formula>
    </cfRule>
    <cfRule type="cellIs" dxfId="1552" priority="64" operator="equal">
      <formula>"J"</formula>
    </cfRule>
  </conditionalFormatting>
  <conditionalFormatting sqref="K9:K11 K13:K18 K20:K25 K27:K29 K31:K33">
    <cfRule type="cellIs" dxfId="1551" priority="57" operator="equal">
      <formula>"NI"</formula>
    </cfRule>
    <cfRule type="cellIs" dxfId="1550" priority="58" operator="equal">
      <formula>"N"</formula>
    </cfRule>
    <cfRule type="cellIs" dxfId="1549" priority="59" operator="equal">
      <formula>"P"</formula>
    </cfRule>
    <cfRule type="cellIs" dxfId="1548" priority="60" operator="equal">
      <formula>"J"</formula>
    </cfRule>
  </conditionalFormatting>
  <conditionalFormatting sqref="L9:L11 L13:L18 L20:L25 L27:L29">
    <cfRule type="cellIs" dxfId="1547" priority="53" operator="equal">
      <formula>"NI"</formula>
    </cfRule>
    <cfRule type="cellIs" dxfId="1546" priority="54" operator="equal">
      <formula>"N"</formula>
    </cfRule>
    <cfRule type="cellIs" dxfId="1545" priority="55" operator="equal">
      <formula>"P"</formula>
    </cfRule>
    <cfRule type="cellIs" dxfId="1544" priority="56" operator="equal">
      <formula>"J"</formula>
    </cfRule>
  </conditionalFormatting>
  <conditionalFormatting sqref="L31:L32">
    <cfRule type="cellIs" dxfId="1543" priority="49" operator="equal">
      <formula>"NI"</formula>
    </cfRule>
    <cfRule type="cellIs" dxfId="1542" priority="50" operator="equal">
      <formula>"N"</formula>
    </cfRule>
    <cfRule type="cellIs" dxfId="1541" priority="51" operator="equal">
      <formula>"P"</formula>
    </cfRule>
    <cfRule type="cellIs" dxfId="1540" priority="52" operator="equal">
      <formula>"J"</formula>
    </cfRule>
  </conditionalFormatting>
  <conditionalFormatting sqref="L33">
    <cfRule type="cellIs" dxfId="1539" priority="45" operator="equal">
      <formula>"NI"</formula>
    </cfRule>
    <cfRule type="cellIs" dxfId="1538" priority="46" operator="equal">
      <formula>"N"</formula>
    </cfRule>
    <cfRule type="cellIs" dxfId="1537" priority="47" operator="equal">
      <formula>"P"</formula>
    </cfRule>
    <cfRule type="cellIs" dxfId="1536" priority="48" operator="equal">
      <formula>"J"</formula>
    </cfRule>
  </conditionalFormatting>
  <conditionalFormatting sqref="D9:D11 D13:D18 D20:D25 D27:D29">
    <cfRule type="cellIs" dxfId="1535" priority="41" operator="equal">
      <formula>"NI"</formula>
    </cfRule>
    <cfRule type="cellIs" dxfId="1534" priority="42" operator="equal">
      <formula>"N"</formula>
    </cfRule>
    <cfRule type="cellIs" dxfId="1533" priority="43" operator="equal">
      <formula>"P"</formula>
    </cfRule>
    <cfRule type="cellIs" dxfId="1532" priority="44" operator="equal">
      <formula>"J"</formula>
    </cfRule>
  </conditionalFormatting>
  <conditionalFormatting sqref="D31:D32">
    <cfRule type="cellIs" dxfId="1531" priority="37" operator="equal">
      <formula>"NI"</formula>
    </cfRule>
    <cfRule type="cellIs" dxfId="1530" priority="38" operator="equal">
      <formula>"N"</formula>
    </cfRule>
    <cfRule type="cellIs" dxfId="1529" priority="39" operator="equal">
      <formula>"P"</formula>
    </cfRule>
    <cfRule type="cellIs" dxfId="1528" priority="40" operator="equal">
      <formula>"J"</formula>
    </cfRule>
  </conditionalFormatting>
  <conditionalFormatting sqref="D33">
    <cfRule type="cellIs" dxfId="1527" priority="33" operator="equal">
      <formula>"NI"</formula>
    </cfRule>
    <cfRule type="cellIs" dxfId="1526" priority="34" operator="equal">
      <formula>"N"</formula>
    </cfRule>
    <cfRule type="cellIs" dxfId="1525" priority="35" operator="equal">
      <formula>"P"</formula>
    </cfRule>
    <cfRule type="cellIs" dxfId="1524" priority="36" operator="equal">
      <formula>"J"</formula>
    </cfRule>
  </conditionalFormatting>
  <conditionalFormatting sqref="E9:E11 E13:E18 E20:E25 E27:E29">
    <cfRule type="cellIs" dxfId="1523" priority="29" operator="equal">
      <formula>"NI"</formula>
    </cfRule>
    <cfRule type="cellIs" dxfId="1522" priority="30" operator="equal">
      <formula>"N"</formula>
    </cfRule>
    <cfRule type="cellIs" dxfId="1521" priority="31" operator="equal">
      <formula>"P"</formula>
    </cfRule>
    <cfRule type="cellIs" dxfId="1520" priority="32" operator="equal">
      <formula>"J"</formula>
    </cfRule>
  </conditionalFormatting>
  <conditionalFormatting sqref="E32">
    <cfRule type="cellIs" dxfId="1519" priority="25" operator="equal">
      <formula>"NI"</formula>
    </cfRule>
    <cfRule type="cellIs" dxfId="1518" priority="26" operator="equal">
      <formula>"N"</formula>
    </cfRule>
    <cfRule type="cellIs" dxfId="1517" priority="27" operator="equal">
      <formula>"P"</formula>
    </cfRule>
    <cfRule type="cellIs" dxfId="1516" priority="28" operator="equal">
      <formula>"J"</formula>
    </cfRule>
  </conditionalFormatting>
  <conditionalFormatting sqref="E31">
    <cfRule type="cellIs" dxfId="1515" priority="21" operator="equal">
      <formula>"NI"</formula>
    </cfRule>
    <cfRule type="cellIs" dxfId="1514" priority="22" operator="equal">
      <formula>"N"</formula>
    </cfRule>
    <cfRule type="cellIs" dxfId="1513" priority="23" operator="equal">
      <formula>"P"</formula>
    </cfRule>
    <cfRule type="cellIs" dxfId="1512" priority="24" operator="equal">
      <formula>"J"</formula>
    </cfRule>
  </conditionalFormatting>
  <conditionalFormatting sqref="E33">
    <cfRule type="cellIs" dxfId="1511" priority="17" operator="equal">
      <formula>"NI"</formula>
    </cfRule>
    <cfRule type="cellIs" dxfId="1510" priority="18" operator="equal">
      <formula>"N"</formula>
    </cfRule>
    <cfRule type="cellIs" dxfId="1509" priority="19" operator="equal">
      <formula>"P"</formula>
    </cfRule>
    <cfRule type="cellIs" dxfId="1508" priority="20" operator="equal">
      <formula>"J"</formula>
    </cfRule>
  </conditionalFormatting>
  <conditionalFormatting sqref="F9:F11 F13:F18 F20:F25 F27:F29">
    <cfRule type="cellIs" dxfId="1507" priority="13" operator="equal">
      <formula>"NI"</formula>
    </cfRule>
    <cfRule type="cellIs" dxfId="1506" priority="14" operator="equal">
      <formula>"N"</formula>
    </cfRule>
    <cfRule type="cellIs" dxfId="1505" priority="15" operator="equal">
      <formula>"P"</formula>
    </cfRule>
    <cfRule type="cellIs" dxfId="1504" priority="16" operator="equal">
      <formula>"J"</formula>
    </cfRule>
  </conditionalFormatting>
  <conditionalFormatting sqref="F32">
    <cfRule type="cellIs" dxfId="1503" priority="9" operator="equal">
      <formula>"NI"</formula>
    </cfRule>
    <cfRule type="cellIs" dxfId="1502" priority="10" operator="equal">
      <formula>"N"</formula>
    </cfRule>
    <cfRule type="cellIs" dxfId="1501" priority="11" operator="equal">
      <formula>"P"</formula>
    </cfRule>
    <cfRule type="cellIs" dxfId="1500" priority="12" operator="equal">
      <formula>"J"</formula>
    </cfRule>
  </conditionalFormatting>
  <conditionalFormatting sqref="F31">
    <cfRule type="cellIs" dxfId="1499" priority="5" operator="equal">
      <formula>"NI"</formula>
    </cfRule>
    <cfRule type="cellIs" dxfId="1498" priority="6" operator="equal">
      <formula>"N"</formula>
    </cfRule>
    <cfRule type="cellIs" dxfId="1497" priority="7" operator="equal">
      <formula>"P"</formula>
    </cfRule>
    <cfRule type="cellIs" dxfId="1496" priority="8" operator="equal">
      <formula>"J"</formula>
    </cfRule>
  </conditionalFormatting>
  <conditionalFormatting sqref="F33">
    <cfRule type="cellIs" dxfId="1495" priority="1" operator="equal">
      <formula>"NI"</formula>
    </cfRule>
    <cfRule type="cellIs" dxfId="1494" priority="2" operator="equal">
      <formula>"N"</formula>
    </cfRule>
    <cfRule type="cellIs" dxfId="1493" priority="3" operator="equal">
      <formula>"P"</formula>
    </cfRule>
    <cfRule type="cellIs" dxfId="149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K23" sqref="K23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320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0.57430555555555551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0.41666666666666669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0.60138888888888886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212"/>
      <c r="S11" s="211"/>
      <c r="T11" s="210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0.44374999999999998</v>
      </c>
      <c r="T13" s="205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0.48958333333333331</v>
      </c>
      <c r="T14" s="205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0.6333333333333333</v>
      </c>
      <c r="T15" s="20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0.38124999999999998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0.71805555555555556</v>
      </c>
      <c r="T17" s="202" t="s">
        <v>213</v>
      </c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0.6166666666666667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321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207</v>
      </c>
      <c r="E23" s="183" t="s">
        <v>215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491" priority="169" operator="equal">
      <formula>"NI"</formula>
    </cfRule>
    <cfRule type="cellIs" dxfId="1490" priority="170" operator="equal">
      <formula>"N"</formula>
    </cfRule>
    <cfRule type="cellIs" dxfId="1489" priority="171" operator="equal">
      <formula>"P"</formula>
    </cfRule>
    <cfRule type="cellIs" dxfId="1488" priority="172" operator="equal">
      <formula>"J"</formula>
    </cfRule>
  </conditionalFormatting>
  <conditionalFormatting sqref="M32:M33">
    <cfRule type="cellIs" dxfId="1487" priority="173" operator="equal">
      <formula>"NI"</formula>
    </cfRule>
    <cfRule type="cellIs" dxfId="1486" priority="174" operator="equal">
      <formula>"N"</formula>
    </cfRule>
    <cfRule type="cellIs" dxfId="1485" priority="175" operator="equal">
      <formula>"P"</formula>
    </cfRule>
    <cfRule type="cellIs" dxfId="1484" priority="176" operator="equal">
      <formula>"J"</formula>
    </cfRule>
  </conditionalFormatting>
  <conditionalFormatting sqref="M9:M10">
    <cfRule type="cellIs" dxfId="1483" priority="177" operator="equal">
      <formula>"NI"</formula>
    </cfRule>
    <cfRule type="cellIs" dxfId="1482" priority="178" operator="equal">
      <formula>"N"</formula>
    </cfRule>
    <cfRule type="cellIs" dxfId="1481" priority="179" operator="equal">
      <formula>"P"</formula>
    </cfRule>
    <cfRule type="cellIs" dxfId="1480" priority="180" operator="equal">
      <formula>"J"</formula>
    </cfRule>
  </conditionalFormatting>
  <conditionalFormatting sqref="M11">
    <cfRule type="cellIs" dxfId="1479" priority="181" operator="equal">
      <formula>"NI"</formula>
    </cfRule>
    <cfRule type="cellIs" dxfId="1478" priority="182" operator="equal">
      <formula>"N"</formula>
    </cfRule>
    <cfRule type="cellIs" dxfId="1477" priority="183" operator="equal">
      <formula>"P"</formula>
    </cfRule>
    <cfRule type="cellIs" dxfId="1476" priority="184" operator="equal">
      <formula>"J"</formula>
    </cfRule>
  </conditionalFormatting>
  <conditionalFormatting sqref="M13:N18">
    <cfRule type="cellIs" dxfId="1475" priority="185" operator="equal">
      <formula>"NI"</formula>
    </cfRule>
    <cfRule type="cellIs" dxfId="1474" priority="186" operator="equal">
      <formula>"N"</formula>
    </cfRule>
    <cfRule type="cellIs" dxfId="1473" priority="187" operator="equal">
      <formula>"P"</formula>
    </cfRule>
    <cfRule type="cellIs" dxfId="1472" priority="188" operator="equal">
      <formula>"J"</formula>
    </cfRule>
  </conditionalFormatting>
  <conditionalFormatting sqref="M20:N25">
    <cfRule type="cellIs" dxfId="1471" priority="189" operator="equal">
      <formula>"NI"</formula>
    </cfRule>
    <cfRule type="cellIs" dxfId="1470" priority="190" operator="equal">
      <formula>"N"</formula>
    </cfRule>
    <cfRule type="cellIs" dxfId="1469" priority="191" operator="equal">
      <formula>"P"</formula>
    </cfRule>
    <cfRule type="cellIs" dxfId="1468" priority="192" operator="equal">
      <formula>"J"</formula>
    </cfRule>
  </conditionalFormatting>
  <conditionalFormatting sqref="N32:N33">
    <cfRule type="cellIs" dxfId="1467" priority="193" operator="equal">
      <formula>"NI"</formula>
    </cfRule>
    <cfRule type="cellIs" dxfId="1466" priority="194" operator="equal">
      <formula>"N"</formula>
    </cfRule>
    <cfRule type="cellIs" dxfId="1465" priority="195" operator="equal">
      <formula>"P"</formula>
    </cfRule>
    <cfRule type="cellIs" dxfId="1464" priority="196" operator="equal">
      <formula>"J"</formula>
    </cfRule>
  </conditionalFormatting>
  <conditionalFormatting sqref="N9:N11">
    <cfRule type="cellIs" dxfId="1463" priority="197" operator="equal">
      <formula>"NI"</formula>
    </cfRule>
    <cfRule type="cellIs" dxfId="1462" priority="198" operator="equal">
      <formula>"N"</formula>
    </cfRule>
    <cfRule type="cellIs" dxfId="1461" priority="199" operator="equal">
      <formula>"P"</formula>
    </cfRule>
    <cfRule type="cellIs" dxfId="1460" priority="200" operator="equal">
      <formula>"J"</formula>
    </cfRule>
  </conditionalFormatting>
  <conditionalFormatting sqref="O9:O11 O13:O18 O20:O25 O27:O29 O31:O33">
    <cfRule type="cellIs" dxfId="1459" priority="201" operator="equal">
      <formula>"NI"</formula>
    </cfRule>
    <cfRule type="cellIs" dxfId="1458" priority="202" operator="equal">
      <formula>"N"</formula>
    </cfRule>
    <cfRule type="cellIs" dxfId="1457" priority="203" operator="equal">
      <formula>"P"</formula>
    </cfRule>
    <cfRule type="cellIs" dxfId="1456" priority="204" operator="equal">
      <formula>"J"</formula>
    </cfRule>
  </conditionalFormatting>
  <conditionalFormatting sqref="G9:G11 G13:G18 G20:G25 G27:G29 G31:G33">
    <cfRule type="cellIs" dxfId="1455" priority="85" operator="equal">
      <formula>"NI"</formula>
    </cfRule>
    <cfRule type="cellIs" dxfId="1454" priority="86" operator="equal">
      <formula>"N"</formula>
    </cfRule>
    <cfRule type="cellIs" dxfId="1453" priority="87" operator="equal">
      <formula>"P"</formula>
    </cfRule>
    <cfRule type="cellIs" dxfId="1452" priority="88" operator="equal">
      <formula>"J"</formula>
    </cfRule>
  </conditionalFormatting>
  <conditionalFormatting sqref="H9:H11 H13:H18 H20:H25 H27:H29 H31:H33">
    <cfRule type="cellIs" dxfId="1451" priority="81" operator="equal">
      <formula>"NI"</formula>
    </cfRule>
    <cfRule type="cellIs" dxfId="1450" priority="82" operator="equal">
      <formula>"N"</formula>
    </cfRule>
    <cfRule type="cellIs" dxfId="1449" priority="83" operator="equal">
      <formula>"P"</formula>
    </cfRule>
    <cfRule type="cellIs" dxfId="1448" priority="84" operator="equal">
      <formula>"J"</formula>
    </cfRule>
  </conditionalFormatting>
  <conditionalFormatting sqref="I9:I11 I13:I18 I20:I25 I27:I29 I31:I32">
    <cfRule type="cellIs" dxfId="1447" priority="77" operator="equal">
      <formula>"NI"</formula>
    </cfRule>
    <cfRule type="cellIs" dxfId="1446" priority="78" operator="equal">
      <formula>"N"</formula>
    </cfRule>
    <cfRule type="cellIs" dxfId="1445" priority="79" operator="equal">
      <formula>"P"</formula>
    </cfRule>
    <cfRule type="cellIs" dxfId="1444" priority="80" operator="equal">
      <formula>"J"</formula>
    </cfRule>
  </conditionalFormatting>
  <conditionalFormatting sqref="I33">
    <cfRule type="cellIs" dxfId="1443" priority="73" operator="equal">
      <formula>"NI"</formula>
    </cfRule>
    <cfRule type="cellIs" dxfId="1442" priority="74" operator="equal">
      <formula>"N"</formula>
    </cfRule>
    <cfRule type="cellIs" dxfId="1441" priority="75" operator="equal">
      <formula>"P"</formula>
    </cfRule>
    <cfRule type="cellIs" dxfId="1440" priority="76" operator="equal">
      <formula>"J"</formula>
    </cfRule>
  </conditionalFormatting>
  <conditionalFormatting sqref="J9:J11 J13:J18 J20:J25 J27:J29 J31:J33">
    <cfRule type="cellIs" dxfId="1439" priority="69" operator="equal">
      <formula>"NI"</formula>
    </cfRule>
    <cfRule type="cellIs" dxfId="1438" priority="70" operator="equal">
      <formula>"N"</formula>
    </cfRule>
    <cfRule type="cellIs" dxfId="1437" priority="71" operator="equal">
      <formula>"P"</formula>
    </cfRule>
    <cfRule type="cellIs" dxfId="1436" priority="72" operator="equal">
      <formula>"J"</formula>
    </cfRule>
  </conditionalFormatting>
  <conditionalFormatting sqref="K9:K11 K13:K18 K20:K25 K27:K29 K31:K33">
    <cfRule type="cellIs" dxfId="1435" priority="65" operator="equal">
      <formula>"NI"</formula>
    </cfRule>
    <cfRule type="cellIs" dxfId="1434" priority="66" operator="equal">
      <formula>"N"</formula>
    </cfRule>
    <cfRule type="cellIs" dxfId="1433" priority="67" operator="equal">
      <formula>"P"</formula>
    </cfRule>
    <cfRule type="cellIs" dxfId="1432" priority="68" operator="equal">
      <formula>"J"</formula>
    </cfRule>
  </conditionalFormatting>
  <conditionalFormatting sqref="L9:L11 L13:L18 L20:L25 L27:L29">
    <cfRule type="cellIs" dxfId="1431" priority="61" operator="equal">
      <formula>"NI"</formula>
    </cfRule>
    <cfRule type="cellIs" dxfId="1430" priority="62" operator="equal">
      <formula>"N"</formula>
    </cfRule>
    <cfRule type="cellIs" dxfId="1429" priority="63" operator="equal">
      <formula>"P"</formula>
    </cfRule>
    <cfRule type="cellIs" dxfId="1428" priority="64" operator="equal">
      <formula>"J"</formula>
    </cfRule>
  </conditionalFormatting>
  <conditionalFormatting sqref="L32">
    <cfRule type="cellIs" dxfId="1427" priority="57" operator="equal">
      <formula>"NI"</formula>
    </cfRule>
    <cfRule type="cellIs" dxfId="1426" priority="58" operator="equal">
      <formula>"N"</formula>
    </cfRule>
    <cfRule type="cellIs" dxfId="1425" priority="59" operator="equal">
      <formula>"P"</formula>
    </cfRule>
    <cfRule type="cellIs" dxfId="1424" priority="60" operator="equal">
      <formula>"J"</formula>
    </cfRule>
  </conditionalFormatting>
  <conditionalFormatting sqref="L33">
    <cfRule type="cellIs" dxfId="1423" priority="53" operator="equal">
      <formula>"NI"</formula>
    </cfRule>
    <cfRule type="cellIs" dxfId="1422" priority="54" operator="equal">
      <formula>"N"</formula>
    </cfRule>
    <cfRule type="cellIs" dxfId="1421" priority="55" operator="equal">
      <formula>"P"</formula>
    </cfRule>
    <cfRule type="cellIs" dxfId="1420" priority="56" operator="equal">
      <formula>"J"</formula>
    </cfRule>
  </conditionalFormatting>
  <conditionalFormatting sqref="L31">
    <cfRule type="cellIs" dxfId="1419" priority="49" operator="equal">
      <formula>"NI"</formula>
    </cfRule>
    <cfRule type="cellIs" dxfId="1418" priority="50" operator="equal">
      <formula>"N"</formula>
    </cfRule>
    <cfRule type="cellIs" dxfId="1417" priority="51" operator="equal">
      <formula>"P"</formula>
    </cfRule>
    <cfRule type="cellIs" dxfId="1416" priority="52" operator="equal">
      <formula>"J"</formula>
    </cfRule>
  </conditionalFormatting>
  <conditionalFormatting sqref="D9:D11 D13:D18 D20:D25 D27:D29">
    <cfRule type="cellIs" dxfId="1415" priority="45" operator="equal">
      <formula>"NI"</formula>
    </cfRule>
    <cfRule type="cellIs" dxfId="1414" priority="46" operator="equal">
      <formula>"N"</formula>
    </cfRule>
    <cfRule type="cellIs" dxfId="1413" priority="47" operator="equal">
      <formula>"P"</formula>
    </cfRule>
    <cfRule type="cellIs" dxfId="1412" priority="48" operator="equal">
      <formula>"J"</formula>
    </cfRule>
  </conditionalFormatting>
  <conditionalFormatting sqref="D31:D32">
    <cfRule type="cellIs" dxfId="1411" priority="41" operator="equal">
      <formula>"NI"</formula>
    </cfRule>
    <cfRule type="cellIs" dxfId="1410" priority="42" operator="equal">
      <formula>"N"</formula>
    </cfRule>
    <cfRule type="cellIs" dxfId="1409" priority="43" operator="equal">
      <formula>"P"</formula>
    </cfRule>
    <cfRule type="cellIs" dxfId="1408" priority="44" operator="equal">
      <formula>"J"</formula>
    </cfRule>
  </conditionalFormatting>
  <conditionalFormatting sqref="D33">
    <cfRule type="cellIs" dxfId="1407" priority="37" operator="equal">
      <formula>"NI"</formula>
    </cfRule>
    <cfRule type="cellIs" dxfId="1406" priority="38" operator="equal">
      <formula>"N"</formula>
    </cfRule>
    <cfRule type="cellIs" dxfId="1405" priority="39" operator="equal">
      <formula>"P"</formula>
    </cfRule>
    <cfRule type="cellIs" dxfId="1404" priority="40" operator="equal">
      <formula>"J"</formula>
    </cfRule>
  </conditionalFormatting>
  <conditionalFormatting sqref="E9:E11 E20:E25 E27:E29">
    <cfRule type="cellIs" dxfId="1403" priority="33" operator="equal">
      <formula>"NI"</formula>
    </cfRule>
    <cfRule type="cellIs" dxfId="1402" priority="34" operator="equal">
      <formula>"N"</formula>
    </cfRule>
    <cfRule type="cellIs" dxfId="1401" priority="35" operator="equal">
      <formula>"P"</formula>
    </cfRule>
    <cfRule type="cellIs" dxfId="1400" priority="36" operator="equal">
      <formula>"J"</formula>
    </cfRule>
  </conditionalFormatting>
  <conditionalFormatting sqref="E13:E18">
    <cfRule type="cellIs" dxfId="1399" priority="29" operator="equal">
      <formula>"NI"</formula>
    </cfRule>
    <cfRule type="cellIs" dxfId="1398" priority="30" operator="equal">
      <formula>"N"</formula>
    </cfRule>
    <cfRule type="cellIs" dxfId="1397" priority="31" operator="equal">
      <formula>"P"</formula>
    </cfRule>
    <cfRule type="cellIs" dxfId="1396" priority="32" operator="equal">
      <formula>"J"</formula>
    </cfRule>
  </conditionalFormatting>
  <conditionalFormatting sqref="E32">
    <cfRule type="cellIs" dxfId="1395" priority="25" operator="equal">
      <formula>"NI"</formula>
    </cfRule>
    <cfRule type="cellIs" dxfId="1394" priority="26" operator="equal">
      <formula>"N"</formula>
    </cfRule>
    <cfRule type="cellIs" dxfId="1393" priority="27" operator="equal">
      <formula>"P"</formula>
    </cfRule>
    <cfRule type="cellIs" dxfId="1392" priority="28" operator="equal">
      <formula>"J"</formula>
    </cfRule>
  </conditionalFormatting>
  <conditionalFormatting sqref="E31">
    <cfRule type="cellIs" dxfId="1391" priority="21" operator="equal">
      <formula>"NI"</formula>
    </cfRule>
    <cfRule type="cellIs" dxfId="1390" priority="22" operator="equal">
      <formula>"N"</formula>
    </cfRule>
    <cfRule type="cellIs" dxfId="1389" priority="23" operator="equal">
      <formula>"P"</formula>
    </cfRule>
    <cfRule type="cellIs" dxfId="1388" priority="24" operator="equal">
      <formula>"J"</formula>
    </cfRule>
  </conditionalFormatting>
  <conditionalFormatting sqref="E33">
    <cfRule type="cellIs" dxfId="1387" priority="17" operator="equal">
      <formula>"NI"</formula>
    </cfRule>
    <cfRule type="cellIs" dxfId="1386" priority="18" operator="equal">
      <formula>"N"</formula>
    </cfRule>
    <cfRule type="cellIs" dxfId="1385" priority="19" operator="equal">
      <formula>"P"</formula>
    </cfRule>
    <cfRule type="cellIs" dxfId="1384" priority="20" operator="equal">
      <formula>"J"</formula>
    </cfRule>
  </conditionalFormatting>
  <conditionalFormatting sqref="F9:F11 F13:F18 F20:F25 F27:F29">
    <cfRule type="cellIs" dxfId="1383" priority="13" operator="equal">
      <formula>"NI"</formula>
    </cfRule>
    <cfRule type="cellIs" dxfId="1382" priority="14" operator="equal">
      <formula>"N"</formula>
    </cfRule>
    <cfRule type="cellIs" dxfId="1381" priority="15" operator="equal">
      <formula>"P"</formula>
    </cfRule>
    <cfRule type="cellIs" dxfId="1380" priority="16" operator="equal">
      <formula>"J"</formula>
    </cfRule>
  </conditionalFormatting>
  <conditionalFormatting sqref="F32">
    <cfRule type="cellIs" dxfId="1379" priority="9" operator="equal">
      <formula>"NI"</formula>
    </cfRule>
    <cfRule type="cellIs" dxfId="1378" priority="10" operator="equal">
      <formula>"N"</formula>
    </cfRule>
    <cfRule type="cellIs" dxfId="1377" priority="11" operator="equal">
      <formula>"P"</formula>
    </cfRule>
    <cfRule type="cellIs" dxfId="1376" priority="12" operator="equal">
      <formula>"J"</formula>
    </cfRule>
  </conditionalFormatting>
  <conditionalFormatting sqref="F31">
    <cfRule type="cellIs" dxfId="1375" priority="5" operator="equal">
      <formula>"NI"</formula>
    </cfRule>
    <cfRule type="cellIs" dxfId="1374" priority="6" operator="equal">
      <formula>"N"</formula>
    </cfRule>
    <cfRule type="cellIs" dxfId="1373" priority="7" operator="equal">
      <formula>"P"</formula>
    </cfRule>
    <cfRule type="cellIs" dxfId="1372" priority="8" operator="equal">
      <formula>"J"</formula>
    </cfRule>
  </conditionalFormatting>
  <conditionalFormatting sqref="F33">
    <cfRule type="cellIs" dxfId="1371" priority="1" operator="equal">
      <formula>"NI"</formula>
    </cfRule>
    <cfRule type="cellIs" dxfId="1370" priority="2" operator="equal">
      <formula>"N"</formula>
    </cfRule>
    <cfRule type="cellIs" dxfId="1369" priority="3" operator="equal">
      <formula>"P"</formula>
    </cfRule>
    <cfRule type="cellIs" dxfId="136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C28" sqref="C28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322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0.57499999999999996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0.41736111111111113</v>
      </c>
      <c r="T9" s="151" t="s">
        <v>203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0.60347222222222219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0.44444444444444442</v>
      </c>
      <c r="T13" s="205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0.49027777777777781</v>
      </c>
      <c r="T14" s="205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0.6333333333333333</v>
      </c>
      <c r="T15" s="20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0.38472222222222219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0.71805555555555556</v>
      </c>
      <c r="T17" s="202" t="s">
        <v>213</v>
      </c>
    </row>
    <row r="18" spans="1:2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0.61805555555555558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323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196</v>
      </c>
      <c r="E23" s="183" t="s">
        <v>196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367" priority="145" operator="equal">
      <formula>"NI"</formula>
    </cfRule>
    <cfRule type="cellIs" dxfId="1366" priority="146" operator="equal">
      <formula>"N"</formula>
    </cfRule>
    <cfRule type="cellIs" dxfId="1365" priority="147" operator="equal">
      <formula>"P"</formula>
    </cfRule>
    <cfRule type="cellIs" dxfId="1364" priority="148" operator="equal">
      <formula>"J"</formula>
    </cfRule>
  </conditionalFormatting>
  <conditionalFormatting sqref="M32:M33">
    <cfRule type="cellIs" dxfId="1363" priority="149" operator="equal">
      <formula>"NI"</formula>
    </cfRule>
    <cfRule type="cellIs" dxfId="1362" priority="150" operator="equal">
      <formula>"N"</formula>
    </cfRule>
    <cfRule type="cellIs" dxfId="1361" priority="151" operator="equal">
      <formula>"P"</formula>
    </cfRule>
    <cfRule type="cellIs" dxfId="1360" priority="152" operator="equal">
      <formula>"J"</formula>
    </cfRule>
  </conditionalFormatting>
  <conditionalFormatting sqref="M9:M10">
    <cfRule type="cellIs" dxfId="1359" priority="153" operator="equal">
      <formula>"NI"</formula>
    </cfRule>
    <cfRule type="cellIs" dxfId="1358" priority="154" operator="equal">
      <formula>"N"</formula>
    </cfRule>
    <cfRule type="cellIs" dxfId="1357" priority="155" operator="equal">
      <formula>"P"</formula>
    </cfRule>
    <cfRule type="cellIs" dxfId="1356" priority="156" operator="equal">
      <formula>"J"</formula>
    </cfRule>
  </conditionalFormatting>
  <conditionalFormatting sqref="M11">
    <cfRule type="cellIs" dxfId="1355" priority="157" operator="equal">
      <formula>"NI"</formula>
    </cfRule>
    <cfRule type="cellIs" dxfId="1354" priority="158" operator="equal">
      <formula>"N"</formula>
    </cfRule>
    <cfRule type="cellIs" dxfId="1353" priority="159" operator="equal">
      <formula>"P"</formula>
    </cfRule>
    <cfRule type="cellIs" dxfId="1352" priority="160" operator="equal">
      <formula>"J"</formula>
    </cfRule>
  </conditionalFormatting>
  <conditionalFormatting sqref="M13:N18">
    <cfRule type="cellIs" dxfId="1351" priority="161" operator="equal">
      <formula>"NI"</formula>
    </cfRule>
    <cfRule type="cellIs" dxfId="1350" priority="162" operator="equal">
      <formula>"N"</formula>
    </cfRule>
    <cfRule type="cellIs" dxfId="1349" priority="163" operator="equal">
      <formula>"P"</formula>
    </cfRule>
    <cfRule type="cellIs" dxfId="1348" priority="164" operator="equal">
      <formula>"J"</formula>
    </cfRule>
  </conditionalFormatting>
  <conditionalFormatting sqref="M20:N25">
    <cfRule type="cellIs" dxfId="1347" priority="165" operator="equal">
      <formula>"NI"</formula>
    </cfRule>
    <cfRule type="cellIs" dxfId="1346" priority="166" operator="equal">
      <formula>"N"</formula>
    </cfRule>
    <cfRule type="cellIs" dxfId="1345" priority="167" operator="equal">
      <formula>"P"</formula>
    </cfRule>
    <cfRule type="cellIs" dxfId="1344" priority="168" operator="equal">
      <formula>"J"</formula>
    </cfRule>
  </conditionalFormatting>
  <conditionalFormatting sqref="N32:N33">
    <cfRule type="cellIs" dxfId="1343" priority="169" operator="equal">
      <formula>"NI"</formula>
    </cfRule>
    <cfRule type="cellIs" dxfId="1342" priority="170" operator="equal">
      <formula>"N"</formula>
    </cfRule>
    <cfRule type="cellIs" dxfId="1341" priority="171" operator="equal">
      <formula>"P"</formula>
    </cfRule>
    <cfRule type="cellIs" dxfId="1340" priority="172" operator="equal">
      <formula>"J"</formula>
    </cfRule>
  </conditionalFormatting>
  <conditionalFormatting sqref="N9:N11">
    <cfRule type="cellIs" dxfId="1339" priority="173" operator="equal">
      <formula>"NI"</formula>
    </cfRule>
    <cfRule type="cellIs" dxfId="1338" priority="174" operator="equal">
      <formula>"N"</formula>
    </cfRule>
    <cfRule type="cellIs" dxfId="1337" priority="175" operator="equal">
      <formula>"P"</formula>
    </cfRule>
    <cfRule type="cellIs" dxfId="1336" priority="176" operator="equal">
      <formula>"J"</formula>
    </cfRule>
  </conditionalFormatting>
  <conditionalFormatting sqref="O9:O11 O13:O18 O20:O25 O27:O29 O31:O33">
    <cfRule type="cellIs" dxfId="1335" priority="177" operator="equal">
      <formula>"NI"</formula>
    </cfRule>
    <cfRule type="cellIs" dxfId="1334" priority="178" operator="equal">
      <formula>"N"</formula>
    </cfRule>
    <cfRule type="cellIs" dxfId="1333" priority="179" operator="equal">
      <formula>"P"</formula>
    </cfRule>
    <cfRule type="cellIs" dxfId="1332" priority="180" operator="equal">
      <formula>"J"</formula>
    </cfRule>
  </conditionalFormatting>
  <conditionalFormatting sqref="G9:G11 G13:G18 G20:G25 G27:G29 G31:G33">
    <cfRule type="cellIs" dxfId="1331" priority="73" operator="equal">
      <formula>"NI"</formula>
    </cfRule>
    <cfRule type="cellIs" dxfId="1330" priority="74" operator="equal">
      <formula>"N"</formula>
    </cfRule>
    <cfRule type="cellIs" dxfId="1329" priority="75" operator="equal">
      <formula>"P"</formula>
    </cfRule>
    <cfRule type="cellIs" dxfId="1328" priority="76" operator="equal">
      <formula>"J"</formula>
    </cfRule>
  </conditionalFormatting>
  <conditionalFormatting sqref="H9:H11 H13:H18 H20:H25 H27:H29 H31:H33">
    <cfRule type="cellIs" dxfId="1327" priority="69" operator="equal">
      <formula>"NI"</formula>
    </cfRule>
    <cfRule type="cellIs" dxfId="1326" priority="70" operator="equal">
      <formula>"N"</formula>
    </cfRule>
    <cfRule type="cellIs" dxfId="1325" priority="71" operator="equal">
      <formula>"P"</formula>
    </cfRule>
    <cfRule type="cellIs" dxfId="1324" priority="72" operator="equal">
      <formula>"J"</formula>
    </cfRule>
  </conditionalFormatting>
  <conditionalFormatting sqref="I9:I11 I13:I18 I20:I25 I27:I29 I31:I32">
    <cfRule type="cellIs" dxfId="1323" priority="65" operator="equal">
      <formula>"NI"</formula>
    </cfRule>
    <cfRule type="cellIs" dxfId="1322" priority="66" operator="equal">
      <formula>"N"</formula>
    </cfRule>
    <cfRule type="cellIs" dxfId="1321" priority="67" operator="equal">
      <formula>"P"</formula>
    </cfRule>
    <cfRule type="cellIs" dxfId="1320" priority="68" operator="equal">
      <formula>"J"</formula>
    </cfRule>
  </conditionalFormatting>
  <conditionalFormatting sqref="I33">
    <cfRule type="cellIs" dxfId="1319" priority="61" operator="equal">
      <formula>"NI"</formula>
    </cfRule>
    <cfRule type="cellIs" dxfId="1318" priority="62" operator="equal">
      <formula>"N"</formula>
    </cfRule>
    <cfRule type="cellIs" dxfId="1317" priority="63" operator="equal">
      <formula>"P"</formula>
    </cfRule>
    <cfRule type="cellIs" dxfId="1316" priority="64" operator="equal">
      <formula>"J"</formula>
    </cfRule>
  </conditionalFormatting>
  <conditionalFormatting sqref="J9:J11 J13:J18 J20:J25 J27:J29 J31:J33">
    <cfRule type="cellIs" dxfId="1315" priority="57" operator="equal">
      <formula>"NI"</formula>
    </cfRule>
    <cfRule type="cellIs" dxfId="1314" priority="58" operator="equal">
      <formula>"N"</formula>
    </cfRule>
    <cfRule type="cellIs" dxfId="1313" priority="59" operator="equal">
      <formula>"P"</formula>
    </cfRule>
    <cfRule type="cellIs" dxfId="1312" priority="60" operator="equal">
      <formula>"J"</formula>
    </cfRule>
  </conditionalFormatting>
  <conditionalFormatting sqref="K9:K11 K13:K18 K20:K25 K27:K29 K31:K33">
    <cfRule type="cellIs" dxfId="1311" priority="53" operator="equal">
      <formula>"NI"</formula>
    </cfRule>
    <cfRule type="cellIs" dxfId="1310" priority="54" operator="equal">
      <formula>"N"</formula>
    </cfRule>
    <cfRule type="cellIs" dxfId="1309" priority="55" operator="equal">
      <formula>"P"</formula>
    </cfRule>
    <cfRule type="cellIs" dxfId="1308" priority="56" operator="equal">
      <formula>"J"</formula>
    </cfRule>
  </conditionalFormatting>
  <conditionalFormatting sqref="L9:L11 L13:L18 L20:L25 L27:L29">
    <cfRule type="cellIs" dxfId="1307" priority="49" operator="equal">
      <formula>"NI"</formula>
    </cfRule>
    <cfRule type="cellIs" dxfId="1306" priority="50" operator="equal">
      <formula>"N"</formula>
    </cfRule>
    <cfRule type="cellIs" dxfId="1305" priority="51" operator="equal">
      <formula>"P"</formula>
    </cfRule>
    <cfRule type="cellIs" dxfId="1304" priority="52" operator="equal">
      <formula>"J"</formula>
    </cfRule>
  </conditionalFormatting>
  <conditionalFormatting sqref="L31:L32">
    <cfRule type="cellIs" dxfId="1303" priority="45" operator="equal">
      <formula>"NI"</formula>
    </cfRule>
    <cfRule type="cellIs" dxfId="1302" priority="46" operator="equal">
      <formula>"N"</formula>
    </cfRule>
    <cfRule type="cellIs" dxfId="1301" priority="47" operator="equal">
      <formula>"P"</formula>
    </cfRule>
    <cfRule type="cellIs" dxfId="1300" priority="48" operator="equal">
      <formula>"J"</formula>
    </cfRule>
  </conditionalFormatting>
  <conditionalFormatting sqref="L33">
    <cfRule type="cellIs" dxfId="1299" priority="41" operator="equal">
      <formula>"NI"</formula>
    </cfRule>
    <cfRule type="cellIs" dxfId="1298" priority="42" operator="equal">
      <formula>"N"</formula>
    </cfRule>
    <cfRule type="cellIs" dxfId="1297" priority="43" operator="equal">
      <formula>"P"</formula>
    </cfRule>
    <cfRule type="cellIs" dxfId="1296" priority="44" operator="equal">
      <formula>"J"</formula>
    </cfRule>
  </conditionalFormatting>
  <conditionalFormatting sqref="D9:D11 D13:D18 D20:D25 D27:D29 D31:D32">
    <cfRule type="cellIs" dxfId="1295" priority="37" operator="equal">
      <formula>"NI"</formula>
    </cfRule>
    <cfRule type="cellIs" dxfId="1294" priority="38" operator="equal">
      <formula>"N"</formula>
    </cfRule>
    <cfRule type="cellIs" dxfId="1293" priority="39" operator="equal">
      <formula>"P"</formula>
    </cfRule>
    <cfRule type="cellIs" dxfId="1292" priority="40" operator="equal">
      <formula>"J"</formula>
    </cfRule>
  </conditionalFormatting>
  <conditionalFormatting sqref="D33">
    <cfRule type="cellIs" dxfId="1291" priority="33" operator="equal">
      <formula>"NI"</formula>
    </cfRule>
    <cfRule type="cellIs" dxfId="1290" priority="34" operator="equal">
      <formula>"N"</formula>
    </cfRule>
    <cfRule type="cellIs" dxfId="1289" priority="35" operator="equal">
      <formula>"P"</formula>
    </cfRule>
    <cfRule type="cellIs" dxfId="1288" priority="36" operator="equal">
      <formula>"J"</formula>
    </cfRule>
  </conditionalFormatting>
  <conditionalFormatting sqref="E18 E23">
    <cfRule type="cellIs" dxfId="1287" priority="29" operator="equal">
      <formula>"NI"</formula>
    </cfRule>
    <cfRule type="cellIs" dxfId="1286" priority="30" operator="equal">
      <formula>"N"</formula>
    </cfRule>
    <cfRule type="cellIs" dxfId="1285" priority="31" operator="equal">
      <formula>"P"</formula>
    </cfRule>
    <cfRule type="cellIs" dxfId="1284" priority="32" operator="equal">
      <formula>"J"</formula>
    </cfRule>
  </conditionalFormatting>
  <conditionalFormatting sqref="E9:E11 E13:E17 E20:E22 E24:E25 E27:E29 E32">
    <cfRule type="cellIs" dxfId="1283" priority="25" operator="equal">
      <formula>"NI"</formula>
    </cfRule>
    <cfRule type="cellIs" dxfId="1282" priority="26" operator="equal">
      <formula>"N"</formula>
    </cfRule>
    <cfRule type="cellIs" dxfId="1281" priority="27" operator="equal">
      <formula>"P"</formula>
    </cfRule>
    <cfRule type="cellIs" dxfId="1280" priority="28" operator="equal">
      <formula>"J"</formula>
    </cfRule>
  </conditionalFormatting>
  <conditionalFormatting sqref="E31">
    <cfRule type="cellIs" dxfId="1279" priority="21" operator="equal">
      <formula>"NI"</formula>
    </cfRule>
    <cfRule type="cellIs" dxfId="1278" priority="22" operator="equal">
      <formula>"N"</formula>
    </cfRule>
    <cfRule type="cellIs" dxfId="1277" priority="23" operator="equal">
      <formula>"P"</formula>
    </cfRule>
    <cfRule type="cellIs" dxfId="1276" priority="24" operator="equal">
      <formula>"J"</formula>
    </cfRule>
  </conditionalFormatting>
  <conditionalFormatting sqref="E33">
    <cfRule type="cellIs" dxfId="1275" priority="17" operator="equal">
      <formula>"NI"</formula>
    </cfRule>
    <cfRule type="cellIs" dxfId="1274" priority="18" operator="equal">
      <formula>"N"</formula>
    </cfRule>
    <cfRule type="cellIs" dxfId="1273" priority="19" operator="equal">
      <formula>"P"</formula>
    </cfRule>
    <cfRule type="cellIs" dxfId="1272" priority="20" operator="equal">
      <formula>"J"</formula>
    </cfRule>
  </conditionalFormatting>
  <conditionalFormatting sqref="F9:F11 F18 F20:F25 F27:F29 F32">
    <cfRule type="cellIs" dxfId="1271" priority="13" operator="equal">
      <formula>"NI"</formula>
    </cfRule>
    <cfRule type="cellIs" dxfId="1270" priority="14" operator="equal">
      <formula>"N"</formula>
    </cfRule>
    <cfRule type="cellIs" dxfId="1269" priority="15" operator="equal">
      <formula>"P"</formula>
    </cfRule>
    <cfRule type="cellIs" dxfId="1268" priority="16" operator="equal">
      <formula>"J"</formula>
    </cfRule>
  </conditionalFormatting>
  <conditionalFormatting sqref="F31">
    <cfRule type="cellIs" dxfId="1267" priority="9" operator="equal">
      <formula>"NI"</formula>
    </cfRule>
    <cfRule type="cellIs" dxfId="1266" priority="10" operator="equal">
      <formula>"N"</formula>
    </cfRule>
    <cfRule type="cellIs" dxfId="1265" priority="11" operator="equal">
      <formula>"P"</formula>
    </cfRule>
    <cfRule type="cellIs" dxfId="1264" priority="12" operator="equal">
      <formula>"J"</formula>
    </cfRule>
  </conditionalFormatting>
  <conditionalFormatting sqref="F33">
    <cfRule type="cellIs" dxfId="1263" priority="5" operator="equal">
      <formula>"NI"</formula>
    </cfRule>
    <cfRule type="cellIs" dxfId="1262" priority="6" operator="equal">
      <formula>"N"</formula>
    </cfRule>
    <cfRule type="cellIs" dxfId="1261" priority="7" operator="equal">
      <formula>"P"</formula>
    </cfRule>
    <cfRule type="cellIs" dxfId="1260" priority="8" operator="equal">
      <formula>"J"</formula>
    </cfRule>
  </conditionalFormatting>
  <conditionalFormatting sqref="F13:F17">
    <cfRule type="cellIs" dxfId="1259" priority="1" operator="equal">
      <formula>"NI"</formula>
    </cfRule>
    <cfRule type="cellIs" dxfId="1258" priority="2" operator="equal">
      <formula>"N"</formula>
    </cfRule>
    <cfRule type="cellIs" dxfId="1257" priority="3" operator="equal">
      <formula>"P"</formula>
    </cfRule>
    <cfRule type="cellIs" dxfId="125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T14" sqref="T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324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0.57638888888888884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0.42222222222222222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0.60347222222222219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0.44444444444444442</v>
      </c>
      <c r="T13" s="205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0.49027777777777781</v>
      </c>
      <c r="T14" s="205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0.63402777777777775</v>
      </c>
      <c r="T15" s="20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0.38541666666666669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0.71805555555555556</v>
      </c>
      <c r="T17" s="202" t="s">
        <v>213</v>
      </c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0.61805555555555558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326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255" priority="161" operator="equal">
      <formula>"NI"</formula>
    </cfRule>
    <cfRule type="cellIs" dxfId="1254" priority="162" operator="equal">
      <formula>"N"</formula>
    </cfRule>
    <cfRule type="cellIs" dxfId="1253" priority="163" operator="equal">
      <formula>"P"</formula>
    </cfRule>
    <cfRule type="cellIs" dxfId="1252" priority="164" operator="equal">
      <formula>"J"</formula>
    </cfRule>
  </conditionalFormatting>
  <conditionalFormatting sqref="M32:M33">
    <cfRule type="cellIs" dxfId="1251" priority="165" operator="equal">
      <formula>"NI"</formula>
    </cfRule>
    <cfRule type="cellIs" dxfId="1250" priority="166" operator="equal">
      <formula>"N"</formula>
    </cfRule>
    <cfRule type="cellIs" dxfId="1249" priority="167" operator="equal">
      <formula>"P"</formula>
    </cfRule>
    <cfRule type="cellIs" dxfId="1248" priority="168" operator="equal">
      <formula>"J"</formula>
    </cfRule>
  </conditionalFormatting>
  <conditionalFormatting sqref="M9:M10">
    <cfRule type="cellIs" dxfId="1247" priority="169" operator="equal">
      <formula>"NI"</formula>
    </cfRule>
    <cfRule type="cellIs" dxfId="1246" priority="170" operator="equal">
      <formula>"N"</formula>
    </cfRule>
    <cfRule type="cellIs" dxfId="1245" priority="171" operator="equal">
      <formula>"P"</formula>
    </cfRule>
    <cfRule type="cellIs" dxfId="1244" priority="172" operator="equal">
      <formula>"J"</formula>
    </cfRule>
  </conditionalFormatting>
  <conditionalFormatting sqref="M11">
    <cfRule type="cellIs" dxfId="1243" priority="173" operator="equal">
      <formula>"NI"</formula>
    </cfRule>
    <cfRule type="cellIs" dxfId="1242" priority="174" operator="equal">
      <formula>"N"</formula>
    </cfRule>
    <cfRule type="cellIs" dxfId="1241" priority="175" operator="equal">
      <formula>"P"</formula>
    </cfRule>
    <cfRule type="cellIs" dxfId="1240" priority="176" operator="equal">
      <formula>"J"</formula>
    </cfRule>
  </conditionalFormatting>
  <conditionalFormatting sqref="M13:N18">
    <cfRule type="cellIs" dxfId="1239" priority="177" operator="equal">
      <formula>"NI"</formula>
    </cfRule>
    <cfRule type="cellIs" dxfId="1238" priority="178" operator="equal">
      <formula>"N"</formula>
    </cfRule>
    <cfRule type="cellIs" dxfId="1237" priority="179" operator="equal">
      <formula>"P"</formula>
    </cfRule>
    <cfRule type="cellIs" dxfId="1236" priority="180" operator="equal">
      <formula>"J"</formula>
    </cfRule>
  </conditionalFormatting>
  <conditionalFormatting sqref="M20:N25">
    <cfRule type="cellIs" dxfId="1235" priority="181" operator="equal">
      <formula>"NI"</formula>
    </cfRule>
    <cfRule type="cellIs" dxfId="1234" priority="182" operator="equal">
      <formula>"N"</formula>
    </cfRule>
    <cfRule type="cellIs" dxfId="1233" priority="183" operator="equal">
      <formula>"P"</formula>
    </cfRule>
    <cfRule type="cellIs" dxfId="1232" priority="184" operator="equal">
      <formula>"J"</formula>
    </cfRule>
  </conditionalFormatting>
  <conditionalFormatting sqref="N32:N33">
    <cfRule type="cellIs" dxfId="1231" priority="185" operator="equal">
      <formula>"NI"</formula>
    </cfRule>
    <cfRule type="cellIs" dxfId="1230" priority="186" operator="equal">
      <formula>"N"</formula>
    </cfRule>
    <cfRule type="cellIs" dxfId="1229" priority="187" operator="equal">
      <formula>"P"</formula>
    </cfRule>
    <cfRule type="cellIs" dxfId="1228" priority="188" operator="equal">
      <formula>"J"</formula>
    </cfRule>
  </conditionalFormatting>
  <conditionalFormatting sqref="N9:N11">
    <cfRule type="cellIs" dxfId="1227" priority="189" operator="equal">
      <formula>"NI"</formula>
    </cfRule>
    <cfRule type="cellIs" dxfId="1226" priority="190" operator="equal">
      <formula>"N"</formula>
    </cfRule>
    <cfRule type="cellIs" dxfId="1225" priority="191" operator="equal">
      <formula>"P"</formula>
    </cfRule>
    <cfRule type="cellIs" dxfId="1224" priority="192" operator="equal">
      <formula>"J"</formula>
    </cfRule>
  </conditionalFormatting>
  <conditionalFormatting sqref="O9:O11 O13:O18 O20:O25 O27:O29 O31:O33">
    <cfRule type="cellIs" dxfId="1223" priority="193" operator="equal">
      <formula>"NI"</formula>
    </cfRule>
    <cfRule type="cellIs" dxfId="1222" priority="194" operator="equal">
      <formula>"N"</formula>
    </cfRule>
    <cfRule type="cellIs" dxfId="1221" priority="195" operator="equal">
      <formula>"P"</formula>
    </cfRule>
    <cfRule type="cellIs" dxfId="1220" priority="196" operator="equal">
      <formula>"J"</formula>
    </cfRule>
  </conditionalFormatting>
  <conditionalFormatting sqref="G9:G11 G13:G18 G20:G25 G27:G29 G31:G33">
    <cfRule type="cellIs" dxfId="1219" priority="81" operator="equal">
      <formula>"NI"</formula>
    </cfRule>
    <cfRule type="cellIs" dxfId="1218" priority="82" operator="equal">
      <formula>"N"</formula>
    </cfRule>
    <cfRule type="cellIs" dxfId="1217" priority="83" operator="equal">
      <formula>"P"</formula>
    </cfRule>
    <cfRule type="cellIs" dxfId="1216" priority="84" operator="equal">
      <formula>"J"</formula>
    </cfRule>
  </conditionalFormatting>
  <conditionalFormatting sqref="H9:H11 H13:H18 H20:H25 H27:H29 H31:H33">
    <cfRule type="cellIs" dxfId="1215" priority="77" operator="equal">
      <formula>"NI"</formula>
    </cfRule>
    <cfRule type="cellIs" dxfId="1214" priority="78" operator="equal">
      <formula>"N"</formula>
    </cfRule>
    <cfRule type="cellIs" dxfId="1213" priority="79" operator="equal">
      <formula>"P"</formula>
    </cfRule>
    <cfRule type="cellIs" dxfId="1212" priority="80" operator="equal">
      <formula>"J"</formula>
    </cfRule>
  </conditionalFormatting>
  <conditionalFormatting sqref="I9:I11 I13:I18 I20:I25 I27:I29 I31:I32">
    <cfRule type="cellIs" dxfId="1211" priority="73" operator="equal">
      <formula>"NI"</formula>
    </cfRule>
    <cfRule type="cellIs" dxfId="1210" priority="74" operator="equal">
      <formula>"N"</formula>
    </cfRule>
    <cfRule type="cellIs" dxfId="1209" priority="75" operator="equal">
      <formula>"P"</formula>
    </cfRule>
    <cfRule type="cellIs" dxfId="1208" priority="76" operator="equal">
      <formula>"J"</formula>
    </cfRule>
  </conditionalFormatting>
  <conditionalFormatting sqref="I33">
    <cfRule type="cellIs" dxfId="1207" priority="69" operator="equal">
      <formula>"NI"</formula>
    </cfRule>
    <cfRule type="cellIs" dxfId="1206" priority="70" operator="equal">
      <formula>"N"</formula>
    </cfRule>
    <cfRule type="cellIs" dxfId="1205" priority="71" operator="equal">
      <formula>"P"</formula>
    </cfRule>
    <cfRule type="cellIs" dxfId="1204" priority="72" operator="equal">
      <formula>"J"</formula>
    </cfRule>
  </conditionalFormatting>
  <conditionalFormatting sqref="J9:J11 J13:J18 J20:J25 J27:J29 J31:J33">
    <cfRule type="cellIs" dxfId="1203" priority="65" operator="equal">
      <formula>"NI"</formula>
    </cfRule>
    <cfRule type="cellIs" dxfId="1202" priority="66" operator="equal">
      <formula>"N"</formula>
    </cfRule>
    <cfRule type="cellIs" dxfId="1201" priority="67" operator="equal">
      <formula>"P"</formula>
    </cfRule>
    <cfRule type="cellIs" dxfId="1200" priority="68" operator="equal">
      <formula>"J"</formula>
    </cfRule>
  </conditionalFormatting>
  <conditionalFormatting sqref="K9:K11 K13:K18 K20:K25 K27:K29 K31:K33">
    <cfRule type="cellIs" dxfId="1199" priority="61" operator="equal">
      <formula>"NI"</formula>
    </cfRule>
    <cfRule type="cellIs" dxfId="1198" priority="62" operator="equal">
      <formula>"N"</formula>
    </cfRule>
    <cfRule type="cellIs" dxfId="1197" priority="63" operator="equal">
      <formula>"P"</formula>
    </cfRule>
    <cfRule type="cellIs" dxfId="1196" priority="64" operator="equal">
      <formula>"J"</formula>
    </cfRule>
  </conditionalFormatting>
  <conditionalFormatting sqref="L9:L11 L13:L16 L18 L20:L25 L27:L29">
    <cfRule type="cellIs" dxfId="1195" priority="57" operator="equal">
      <formula>"NI"</formula>
    </cfRule>
    <cfRule type="cellIs" dxfId="1194" priority="58" operator="equal">
      <formula>"N"</formula>
    </cfRule>
    <cfRule type="cellIs" dxfId="1193" priority="59" operator="equal">
      <formula>"P"</formula>
    </cfRule>
    <cfRule type="cellIs" dxfId="1192" priority="60" operator="equal">
      <formula>"J"</formula>
    </cfRule>
  </conditionalFormatting>
  <conditionalFormatting sqref="L17">
    <cfRule type="cellIs" dxfId="1191" priority="53" operator="equal">
      <formula>"NI"</formula>
    </cfRule>
    <cfRule type="cellIs" dxfId="1190" priority="54" operator="equal">
      <formula>"N"</formula>
    </cfRule>
    <cfRule type="cellIs" dxfId="1189" priority="55" operator="equal">
      <formula>"P"</formula>
    </cfRule>
    <cfRule type="cellIs" dxfId="1188" priority="56" operator="equal">
      <formula>"J"</formula>
    </cfRule>
  </conditionalFormatting>
  <conditionalFormatting sqref="L31:L32">
    <cfRule type="cellIs" dxfId="1187" priority="49" operator="equal">
      <formula>"NI"</formula>
    </cfRule>
    <cfRule type="cellIs" dxfId="1186" priority="50" operator="equal">
      <formula>"N"</formula>
    </cfRule>
    <cfRule type="cellIs" dxfId="1185" priority="51" operator="equal">
      <formula>"P"</formula>
    </cfRule>
    <cfRule type="cellIs" dxfId="1184" priority="52" operator="equal">
      <formula>"J"</formula>
    </cfRule>
  </conditionalFormatting>
  <conditionalFormatting sqref="L33">
    <cfRule type="cellIs" dxfId="1183" priority="45" operator="equal">
      <formula>"NI"</formula>
    </cfRule>
    <cfRule type="cellIs" dxfId="1182" priority="46" operator="equal">
      <formula>"N"</formula>
    </cfRule>
    <cfRule type="cellIs" dxfId="1181" priority="47" operator="equal">
      <formula>"P"</formula>
    </cfRule>
    <cfRule type="cellIs" dxfId="1180" priority="48" operator="equal">
      <formula>"J"</formula>
    </cfRule>
  </conditionalFormatting>
  <conditionalFormatting sqref="D9:D11 D13:D18 D20:D25 D27:D29">
    <cfRule type="cellIs" dxfId="1179" priority="41" operator="equal">
      <formula>"NI"</formula>
    </cfRule>
    <cfRule type="cellIs" dxfId="1178" priority="42" operator="equal">
      <formula>"N"</formula>
    </cfRule>
    <cfRule type="cellIs" dxfId="1177" priority="43" operator="equal">
      <formula>"P"</formula>
    </cfRule>
    <cfRule type="cellIs" dxfId="1176" priority="44" operator="equal">
      <formula>"J"</formula>
    </cfRule>
  </conditionalFormatting>
  <conditionalFormatting sqref="D31:D32">
    <cfRule type="cellIs" dxfId="1175" priority="37" operator="equal">
      <formula>"NI"</formula>
    </cfRule>
    <cfRule type="cellIs" dxfId="1174" priority="38" operator="equal">
      <formula>"N"</formula>
    </cfRule>
    <cfRule type="cellIs" dxfId="1173" priority="39" operator="equal">
      <formula>"P"</formula>
    </cfRule>
    <cfRule type="cellIs" dxfId="1172" priority="40" operator="equal">
      <formula>"J"</formula>
    </cfRule>
  </conditionalFormatting>
  <conditionalFormatting sqref="D33">
    <cfRule type="cellIs" dxfId="1171" priority="33" operator="equal">
      <formula>"NI"</formula>
    </cfRule>
    <cfRule type="cellIs" dxfId="1170" priority="34" operator="equal">
      <formula>"N"</formula>
    </cfRule>
    <cfRule type="cellIs" dxfId="1169" priority="35" operator="equal">
      <formula>"P"</formula>
    </cfRule>
    <cfRule type="cellIs" dxfId="1168" priority="36" operator="equal">
      <formula>"J"</formula>
    </cfRule>
  </conditionalFormatting>
  <conditionalFormatting sqref="E9:E11 E13:E18 E20:E25 E27:E29">
    <cfRule type="cellIs" dxfId="1167" priority="29" operator="equal">
      <formula>"NI"</formula>
    </cfRule>
    <cfRule type="cellIs" dxfId="1166" priority="30" operator="equal">
      <formula>"N"</formula>
    </cfRule>
    <cfRule type="cellIs" dxfId="1165" priority="31" operator="equal">
      <formula>"P"</formula>
    </cfRule>
    <cfRule type="cellIs" dxfId="1164" priority="32" operator="equal">
      <formula>"J"</formula>
    </cfRule>
  </conditionalFormatting>
  <conditionalFormatting sqref="E32">
    <cfRule type="cellIs" dxfId="1163" priority="25" operator="equal">
      <formula>"NI"</formula>
    </cfRule>
    <cfRule type="cellIs" dxfId="1162" priority="26" operator="equal">
      <formula>"N"</formula>
    </cfRule>
    <cfRule type="cellIs" dxfId="1161" priority="27" operator="equal">
      <formula>"P"</formula>
    </cfRule>
    <cfRule type="cellIs" dxfId="1160" priority="28" operator="equal">
      <formula>"J"</formula>
    </cfRule>
  </conditionalFormatting>
  <conditionalFormatting sqref="E31">
    <cfRule type="cellIs" dxfId="1159" priority="21" operator="equal">
      <formula>"NI"</formula>
    </cfRule>
    <cfRule type="cellIs" dxfId="1158" priority="22" operator="equal">
      <formula>"N"</formula>
    </cfRule>
    <cfRule type="cellIs" dxfId="1157" priority="23" operator="equal">
      <formula>"P"</formula>
    </cfRule>
    <cfRule type="cellIs" dxfId="1156" priority="24" operator="equal">
      <formula>"J"</formula>
    </cfRule>
  </conditionalFormatting>
  <conditionalFormatting sqref="E33">
    <cfRule type="cellIs" dxfId="1155" priority="17" operator="equal">
      <formula>"NI"</formula>
    </cfRule>
    <cfRule type="cellIs" dxfId="1154" priority="18" operator="equal">
      <formula>"N"</formula>
    </cfRule>
    <cfRule type="cellIs" dxfId="1153" priority="19" operator="equal">
      <formula>"P"</formula>
    </cfRule>
    <cfRule type="cellIs" dxfId="1152" priority="20" operator="equal">
      <formula>"J"</formula>
    </cfRule>
  </conditionalFormatting>
  <conditionalFormatting sqref="F9:F11 F13:F18 F20:F25 F27:F29">
    <cfRule type="cellIs" dxfId="1151" priority="13" operator="equal">
      <formula>"NI"</formula>
    </cfRule>
    <cfRule type="cellIs" dxfId="1150" priority="14" operator="equal">
      <formula>"N"</formula>
    </cfRule>
    <cfRule type="cellIs" dxfId="1149" priority="15" operator="equal">
      <formula>"P"</formula>
    </cfRule>
    <cfRule type="cellIs" dxfId="1148" priority="16" operator="equal">
      <formula>"J"</formula>
    </cfRule>
  </conditionalFormatting>
  <conditionalFormatting sqref="F32">
    <cfRule type="cellIs" dxfId="1147" priority="9" operator="equal">
      <formula>"NI"</formula>
    </cfRule>
    <cfRule type="cellIs" dxfId="1146" priority="10" operator="equal">
      <formula>"N"</formula>
    </cfRule>
    <cfRule type="cellIs" dxfId="1145" priority="11" operator="equal">
      <formula>"P"</formula>
    </cfRule>
    <cfRule type="cellIs" dxfId="1144" priority="12" operator="equal">
      <formula>"J"</formula>
    </cfRule>
  </conditionalFormatting>
  <conditionalFormatting sqref="F31">
    <cfRule type="cellIs" dxfId="1143" priority="5" operator="equal">
      <formula>"NI"</formula>
    </cfRule>
    <cfRule type="cellIs" dxfId="1142" priority="6" operator="equal">
      <formula>"N"</formula>
    </cfRule>
    <cfRule type="cellIs" dxfId="1141" priority="7" operator="equal">
      <formula>"P"</formula>
    </cfRule>
    <cfRule type="cellIs" dxfId="1140" priority="8" operator="equal">
      <formula>"J"</formula>
    </cfRule>
  </conditionalFormatting>
  <conditionalFormatting sqref="F33">
    <cfRule type="cellIs" dxfId="1139" priority="1" operator="equal">
      <formula>"NI"</formula>
    </cfRule>
    <cfRule type="cellIs" dxfId="1138" priority="2" operator="equal">
      <formula>"N"</formula>
    </cfRule>
    <cfRule type="cellIs" dxfId="1137" priority="3" operator="equal">
      <formula>"P"</formula>
    </cfRule>
    <cfRule type="cellIs" dxfId="113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2" sqref="S12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327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0.57708333333333328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0.42291666666666672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0.6069444444444444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0.44513888888888892</v>
      </c>
      <c r="T13" s="205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0.4909722222222222</v>
      </c>
      <c r="T14" s="205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0.63402777777777775</v>
      </c>
      <c r="T15" s="20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0.38611111111111113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0.71875</v>
      </c>
      <c r="T17" s="202" t="s">
        <v>213</v>
      </c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0.61875000000000002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328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135" priority="165" operator="equal">
      <formula>"NI"</formula>
    </cfRule>
    <cfRule type="cellIs" dxfId="1134" priority="166" operator="equal">
      <formula>"N"</formula>
    </cfRule>
    <cfRule type="cellIs" dxfId="1133" priority="167" operator="equal">
      <formula>"P"</formula>
    </cfRule>
    <cfRule type="cellIs" dxfId="1132" priority="168" operator="equal">
      <formula>"J"</formula>
    </cfRule>
  </conditionalFormatting>
  <conditionalFormatting sqref="M32:M33">
    <cfRule type="cellIs" dxfId="1131" priority="169" operator="equal">
      <formula>"NI"</formula>
    </cfRule>
    <cfRule type="cellIs" dxfId="1130" priority="170" operator="equal">
      <formula>"N"</formula>
    </cfRule>
    <cfRule type="cellIs" dxfId="1129" priority="171" operator="equal">
      <formula>"P"</formula>
    </cfRule>
    <cfRule type="cellIs" dxfId="1128" priority="172" operator="equal">
      <formula>"J"</formula>
    </cfRule>
  </conditionalFormatting>
  <conditionalFormatting sqref="M9:M10">
    <cfRule type="cellIs" dxfId="1127" priority="173" operator="equal">
      <formula>"NI"</formula>
    </cfRule>
    <cfRule type="cellIs" dxfId="1126" priority="174" operator="equal">
      <formula>"N"</formula>
    </cfRule>
    <cfRule type="cellIs" dxfId="1125" priority="175" operator="equal">
      <formula>"P"</formula>
    </cfRule>
    <cfRule type="cellIs" dxfId="1124" priority="176" operator="equal">
      <formula>"J"</formula>
    </cfRule>
  </conditionalFormatting>
  <conditionalFormatting sqref="M11">
    <cfRule type="cellIs" dxfId="1123" priority="177" operator="equal">
      <formula>"NI"</formula>
    </cfRule>
    <cfRule type="cellIs" dxfId="1122" priority="178" operator="equal">
      <formula>"N"</formula>
    </cfRule>
    <cfRule type="cellIs" dxfId="1121" priority="179" operator="equal">
      <formula>"P"</formula>
    </cfRule>
    <cfRule type="cellIs" dxfId="1120" priority="180" operator="equal">
      <formula>"J"</formula>
    </cfRule>
  </conditionalFormatting>
  <conditionalFormatting sqref="M13:N18">
    <cfRule type="cellIs" dxfId="1119" priority="181" operator="equal">
      <formula>"NI"</formula>
    </cfRule>
    <cfRule type="cellIs" dxfId="1118" priority="182" operator="equal">
      <formula>"N"</formula>
    </cfRule>
    <cfRule type="cellIs" dxfId="1117" priority="183" operator="equal">
      <formula>"P"</formula>
    </cfRule>
    <cfRule type="cellIs" dxfId="1116" priority="184" operator="equal">
      <formula>"J"</formula>
    </cfRule>
  </conditionalFormatting>
  <conditionalFormatting sqref="M20:N25">
    <cfRule type="cellIs" dxfId="1115" priority="185" operator="equal">
      <formula>"NI"</formula>
    </cfRule>
    <cfRule type="cellIs" dxfId="1114" priority="186" operator="equal">
      <formula>"N"</formula>
    </cfRule>
    <cfRule type="cellIs" dxfId="1113" priority="187" operator="equal">
      <formula>"P"</formula>
    </cfRule>
    <cfRule type="cellIs" dxfId="1112" priority="188" operator="equal">
      <formula>"J"</formula>
    </cfRule>
  </conditionalFormatting>
  <conditionalFormatting sqref="N32:N33">
    <cfRule type="cellIs" dxfId="1111" priority="189" operator="equal">
      <formula>"NI"</formula>
    </cfRule>
    <cfRule type="cellIs" dxfId="1110" priority="190" operator="equal">
      <formula>"N"</formula>
    </cfRule>
    <cfRule type="cellIs" dxfId="1109" priority="191" operator="equal">
      <formula>"P"</formula>
    </cfRule>
    <cfRule type="cellIs" dxfId="1108" priority="192" operator="equal">
      <formula>"J"</formula>
    </cfRule>
  </conditionalFormatting>
  <conditionalFormatting sqref="N9:N11">
    <cfRule type="cellIs" dxfId="1107" priority="193" operator="equal">
      <formula>"NI"</formula>
    </cfRule>
    <cfRule type="cellIs" dxfId="1106" priority="194" operator="equal">
      <formula>"N"</formula>
    </cfRule>
    <cfRule type="cellIs" dxfId="1105" priority="195" operator="equal">
      <formula>"P"</formula>
    </cfRule>
    <cfRule type="cellIs" dxfId="1104" priority="196" operator="equal">
      <formula>"J"</formula>
    </cfRule>
  </conditionalFormatting>
  <conditionalFormatting sqref="O9:O11 O13:O18 O20:O25 O27:O29 O31:O33">
    <cfRule type="cellIs" dxfId="1103" priority="197" operator="equal">
      <formula>"NI"</formula>
    </cfRule>
    <cfRule type="cellIs" dxfId="1102" priority="198" operator="equal">
      <formula>"N"</formula>
    </cfRule>
    <cfRule type="cellIs" dxfId="1101" priority="199" operator="equal">
      <formula>"P"</formula>
    </cfRule>
    <cfRule type="cellIs" dxfId="1100" priority="200" operator="equal">
      <formula>"J"</formula>
    </cfRule>
  </conditionalFormatting>
  <conditionalFormatting sqref="G9:G11 G13:G18 G20:G25 G27:G29 G31:G33">
    <cfRule type="cellIs" dxfId="1099" priority="85" operator="equal">
      <formula>"NI"</formula>
    </cfRule>
    <cfRule type="cellIs" dxfId="1098" priority="86" operator="equal">
      <formula>"N"</formula>
    </cfRule>
    <cfRule type="cellIs" dxfId="1097" priority="87" operator="equal">
      <formula>"P"</formula>
    </cfRule>
    <cfRule type="cellIs" dxfId="1096" priority="88" operator="equal">
      <formula>"J"</formula>
    </cfRule>
  </conditionalFormatting>
  <conditionalFormatting sqref="H9:H11 H13:H18 H20:H25 H27:H29 H31:H33">
    <cfRule type="cellIs" dxfId="1095" priority="81" operator="equal">
      <formula>"NI"</formula>
    </cfRule>
    <cfRule type="cellIs" dxfId="1094" priority="82" operator="equal">
      <formula>"N"</formula>
    </cfRule>
    <cfRule type="cellIs" dxfId="1093" priority="83" operator="equal">
      <formula>"P"</formula>
    </cfRule>
    <cfRule type="cellIs" dxfId="1092" priority="84" operator="equal">
      <formula>"J"</formula>
    </cfRule>
  </conditionalFormatting>
  <conditionalFormatting sqref="I9:I11 I13:I18 I20:I25 I27:I29 I31:I32">
    <cfRule type="cellIs" dxfId="1091" priority="77" operator="equal">
      <formula>"NI"</formula>
    </cfRule>
    <cfRule type="cellIs" dxfId="1090" priority="78" operator="equal">
      <formula>"N"</formula>
    </cfRule>
    <cfRule type="cellIs" dxfId="1089" priority="79" operator="equal">
      <formula>"P"</formula>
    </cfRule>
    <cfRule type="cellIs" dxfId="1088" priority="80" operator="equal">
      <formula>"J"</formula>
    </cfRule>
  </conditionalFormatting>
  <conditionalFormatting sqref="I33">
    <cfRule type="cellIs" dxfId="1087" priority="73" operator="equal">
      <formula>"NI"</formula>
    </cfRule>
    <cfRule type="cellIs" dxfId="1086" priority="74" operator="equal">
      <formula>"N"</formula>
    </cfRule>
    <cfRule type="cellIs" dxfId="1085" priority="75" operator="equal">
      <formula>"P"</formula>
    </cfRule>
    <cfRule type="cellIs" dxfId="1084" priority="76" operator="equal">
      <formula>"J"</formula>
    </cfRule>
  </conditionalFormatting>
  <conditionalFormatting sqref="J9:J11 J13:J18 J20:J25 J27:J29 J31:J33">
    <cfRule type="cellIs" dxfId="1083" priority="69" operator="equal">
      <formula>"NI"</formula>
    </cfRule>
    <cfRule type="cellIs" dxfId="1082" priority="70" operator="equal">
      <formula>"N"</formula>
    </cfRule>
    <cfRule type="cellIs" dxfId="1081" priority="71" operator="equal">
      <formula>"P"</formula>
    </cfRule>
    <cfRule type="cellIs" dxfId="1080" priority="72" operator="equal">
      <formula>"J"</formula>
    </cfRule>
  </conditionalFormatting>
  <conditionalFormatting sqref="K9:K11 K13:K18 K20:K25 K27:K29 K31:K33">
    <cfRule type="cellIs" dxfId="1079" priority="65" operator="equal">
      <formula>"NI"</formula>
    </cfRule>
    <cfRule type="cellIs" dxfId="1078" priority="66" operator="equal">
      <formula>"N"</formula>
    </cfRule>
    <cfRule type="cellIs" dxfId="1077" priority="67" operator="equal">
      <formula>"P"</formula>
    </cfRule>
    <cfRule type="cellIs" dxfId="1076" priority="68" operator="equal">
      <formula>"J"</formula>
    </cfRule>
  </conditionalFormatting>
  <conditionalFormatting sqref="L9:L11 L13:L16 L18 L20:L25 L27:L29">
    <cfRule type="cellIs" dxfId="1075" priority="61" operator="equal">
      <formula>"NI"</formula>
    </cfRule>
    <cfRule type="cellIs" dxfId="1074" priority="62" operator="equal">
      <formula>"N"</formula>
    </cfRule>
    <cfRule type="cellIs" dxfId="1073" priority="63" operator="equal">
      <formula>"P"</formula>
    </cfRule>
    <cfRule type="cellIs" dxfId="1072" priority="64" operator="equal">
      <formula>"J"</formula>
    </cfRule>
  </conditionalFormatting>
  <conditionalFormatting sqref="L17">
    <cfRule type="cellIs" dxfId="1071" priority="57" operator="equal">
      <formula>"NI"</formula>
    </cfRule>
    <cfRule type="cellIs" dxfId="1070" priority="58" operator="equal">
      <formula>"N"</formula>
    </cfRule>
    <cfRule type="cellIs" dxfId="1069" priority="59" operator="equal">
      <formula>"P"</formula>
    </cfRule>
    <cfRule type="cellIs" dxfId="1068" priority="60" operator="equal">
      <formula>"J"</formula>
    </cfRule>
  </conditionalFormatting>
  <conditionalFormatting sqref="L32">
    <cfRule type="cellIs" dxfId="1067" priority="53" operator="equal">
      <formula>"NI"</formula>
    </cfRule>
    <cfRule type="cellIs" dxfId="1066" priority="54" operator="equal">
      <formula>"N"</formula>
    </cfRule>
    <cfRule type="cellIs" dxfId="1065" priority="55" operator="equal">
      <formula>"P"</formula>
    </cfRule>
    <cfRule type="cellIs" dxfId="1064" priority="56" operator="equal">
      <formula>"J"</formula>
    </cfRule>
  </conditionalFormatting>
  <conditionalFormatting sqref="L31">
    <cfRule type="cellIs" dxfId="1063" priority="49" operator="equal">
      <formula>"NI"</formula>
    </cfRule>
    <cfRule type="cellIs" dxfId="1062" priority="50" operator="equal">
      <formula>"N"</formula>
    </cfRule>
    <cfRule type="cellIs" dxfId="1061" priority="51" operator="equal">
      <formula>"P"</formula>
    </cfRule>
    <cfRule type="cellIs" dxfId="1060" priority="52" operator="equal">
      <formula>"J"</formula>
    </cfRule>
  </conditionalFormatting>
  <conditionalFormatting sqref="L33">
    <cfRule type="cellIs" dxfId="1059" priority="45" operator="equal">
      <formula>"NI"</formula>
    </cfRule>
    <cfRule type="cellIs" dxfId="1058" priority="46" operator="equal">
      <formula>"N"</formula>
    </cfRule>
    <cfRule type="cellIs" dxfId="1057" priority="47" operator="equal">
      <formula>"P"</formula>
    </cfRule>
    <cfRule type="cellIs" dxfId="1056" priority="48" operator="equal">
      <formula>"J"</formula>
    </cfRule>
  </conditionalFormatting>
  <conditionalFormatting sqref="D9:D11 D13:D18 D20:D25 D27:D29">
    <cfRule type="cellIs" dxfId="1055" priority="41" operator="equal">
      <formula>"NI"</formula>
    </cfRule>
    <cfRule type="cellIs" dxfId="1054" priority="42" operator="equal">
      <formula>"N"</formula>
    </cfRule>
    <cfRule type="cellIs" dxfId="1053" priority="43" operator="equal">
      <formula>"P"</formula>
    </cfRule>
    <cfRule type="cellIs" dxfId="1052" priority="44" operator="equal">
      <formula>"J"</formula>
    </cfRule>
  </conditionalFormatting>
  <conditionalFormatting sqref="D31:D32">
    <cfRule type="cellIs" dxfId="1051" priority="37" operator="equal">
      <formula>"NI"</formula>
    </cfRule>
    <cfRule type="cellIs" dxfId="1050" priority="38" operator="equal">
      <formula>"N"</formula>
    </cfRule>
    <cfRule type="cellIs" dxfId="1049" priority="39" operator="equal">
      <formula>"P"</formula>
    </cfRule>
    <cfRule type="cellIs" dxfId="1048" priority="40" operator="equal">
      <formula>"J"</formula>
    </cfRule>
  </conditionalFormatting>
  <conditionalFormatting sqref="D33">
    <cfRule type="cellIs" dxfId="1047" priority="33" operator="equal">
      <formula>"NI"</formula>
    </cfRule>
    <cfRule type="cellIs" dxfId="1046" priority="34" operator="equal">
      <formula>"N"</formula>
    </cfRule>
    <cfRule type="cellIs" dxfId="1045" priority="35" operator="equal">
      <formula>"P"</formula>
    </cfRule>
    <cfRule type="cellIs" dxfId="1044" priority="36" operator="equal">
      <formula>"J"</formula>
    </cfRule>
  </conditionalFormatting>
  <conditionalFormatting sqref="E9:E11 E13:E18 E20:E25 E27:E29">
    <cfRule type="cellIs" dxfId="1043" priority="29" operator="equal">
      <formula>"NI"</formula>
    </cfRule>
    <cfRule type="cellIs" dxfId="1042" priority="30" operator="equal">
      <formula>"N"</formula>
    </cfRule>
    <cfRule type="cellIs" dxfId="1041" priority="31" operator="equal">
      <formula>"P"</formula>
    </cfRule>
    <cfRule type="cellIs" dxfId="1040" priority="32" operator="equal">
      <formula>"J"</formula>
    </cfRule>
  </conditionalFormatting>
  <conditionalFormatting sqref="E32">
    <cfRule type="cellIs" dxfId="1039" priority="25" operator="equal">
      <formula>"NI"</formula>
    </cfRule>
    <cfRule type="cellIs" dxfId="1038" priority="26" operator="equal">
      <formula>"N"</formula>
    </cfRule>
    <cfRule type="cellIs" dxfId="1037" priority="27" operator="equal">
      <formula>"P"</formula>
    </cfRule>
    <cfRule type="cellIs" dxfId="1036" priority="28" operator="equal">
      <formula>"J"</formula>
    </cfRule>
  </conditionalFormatting>
  <conditionalFormatting sqref="E31">
    <cfRule type="cellIs" dxfId="1035" priority="21" operator="equal">
      <formula>"NI"</formula>
    </cfRule>
    <cfRule type="cellIs" dxfId="1034" priority="22" operator="equal">
      <formula>"N"</formula>
    </cfRule>
    <cfRule type="cellIs" dxfId="1033" priority="23" operator="equal">
      <formula>"P"</formula>
    </cfRule>
    <cfRule type="cellIs" dxfId="1032" priority="24" operator="equal">
      <formula>"J"</formula>
    </cfRule>
  </conditionalFormatting>
  <conditionalFormatting sqref="E33">
    <cfRule type="cellIs" dxfId="1031" priority="17" operator="equal">
      <formula>"NI"</formula>
    </cfRule>
    <cfRule type="cellIs" dxfId="1030" priority="18" operator="equal">
      <formula>"N"</formula>
    </cfRule>
    <cfRule type="cellIs" dxfId="1029" priority="19" operator="equal">
      <formula>"P"</formula>
    </cfRule>
    <cfRule type="cellIs" dxfId="1028" priority="20" operator="equal">
      <formula>"J"</formula>
    </cfRule>
  </conditionalFormatting>
  <conditionalFormatting sqref="F9:F11 F13:F18 F20:F25 F27:F29">
    <cfRule type="cellIs" dxfId="1027" priority="13" operator="equal">
      <formula>"NI"</formula>
    </cfRule>
    <cfRule type="cellIs" dxfId="1026" priority="14" operator="equal">
      <formula>"N"</formula>
    </cfRule>
    <cfRule type="cellIs" dxfId="1025" priority="15" operator="equal">
      <formula>"P"</formula>
    </cfRule>
    <cfRule type="cellIs" dxfId="1024" priority="16" operator="equal">
      <formula>"J"</formula>
    </cfRule>
  </conditionalFormatting>
  <conditionalFormatting sqref="F32">
    <cfRule type="cellIs" dxfId="1023" priority="9" operator="equal">
      <formula>"NI"</formula>
    </cfRule>
    <cfRule type="cellIs" dxfId="1022" priority="10" operator="equal">
      <formula>"N"</formula>
    </cfRule>
    <cfRule type="cellIs" dxfId="1021" priority="11" operator="equal">
      <formula>"P"</formula>
    </cfRule>
    <cfRule type="cellIs" dxfId="1020" priority="12" operator="equal">
      <formula>"J"</formula>
    </cfRule>
  </conditionalFormatting>
  <conditionalFormatting sqref="F31">
    <cfRule type="cellIs" dxfId="1019" priority="5" operator="equal">
      <formula>"NI"</formula>
    </cfRule>
    <cfRule type="cellIs" dxfId="1018" priority="6" operator="equal">
      <formula>"N"</formula>
    </cfRule>
    <cfRule type="cellIs" dxfId="1017" priority="7" operator="equal">
      <formula>"P"</formula>
    </cfRule>
    <cfRule type="cellIs" dxfId="1016" priority="8" operator="equal">
      <formula>"J"</formula>
    </cfRule>
  </conditionalFormatting>
  <conditionalFormatting sqref="F33">
    <cfRule type="cellIs" dxfId="1015" priority="1" operator="equal">
      <formula>"NI"</formula>
    </cfRule>
    <cfRule type="cellIs" dxfId="1014" priority="2" operator="equal">
      <formula>"N"</formula>
    </cfRule>
    <cfRule type="cellIs" dxfId="1013" priority="3" operator="equal">
      <formula>"P"</formula>
    </cfRule>
    <cfRule type="cellIs" dxfId="101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T16" sqref="T16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329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>
        <v>2</v>
      </c>
      <c r="J8" s="193">
        <v>2</v>
      </c>
      <c r="K8" s="193">
        <v>2</v>
      </c>
      <c r="L8" s="193">
        <v>2</v>
      </c>
      <c r="M8" s="192">
        <v>2</v>
      </c>
      <c r="N8" s="192">
        <v>2</v>
      </c>
      <c r="O8" s="192">
        <v>2</v>
      </c>
      <c r="Q8" s="217" t="s">
        <v>15</v>
      </c>
      <c r="R8" s="149">
        <v>45372</v>
      </c>
      <c r="S8" s="150">
        <v>0.57708333333333328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0.4236111111111111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0.60833333333333328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 t="s">
        <v>200</v>
      </c>
      <c r="J11" s="183" t="s">
        <v>200</v>
      </c>
      <c r="K11" s="183" t="s">
        <v>200</v>
      </c>
      <c r="L11" s="183" t="s">
        <v>200</v>
      </c>
      <c r="M11" s="183" t="s">
        <v>200</v>
      </c>
      <c r="N11" s="183" t="s">
        <v>200</v>
      </c>
      <c r="O11" s="183" t="s">
        <v>200</v>
      </c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>
        <v>2</v>
      </c>
      <c r="J12" s="193">
        <v>2</v>
      </c>
      <c r="K12" s="193">
        <v>2</v>
      </c>
      <c r="L12" s="193">
        <v>2</v>
      </c>
      <c r="M12" s="192">
        <v>2</v>
      </c>
      <c r="N12" s="192">
        <v>2</v>
      </c>
      <c r="O12" s="192">
        <v>2</v>
      </c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 t="s">
        <v>200</v>
      </c>
      <c r="J13" s="183" t="s">
        <v>200</v>
      </c>
      <c r="K13" s="183" t="s">
        <v>200</v>
      </c>
      <c r="L13" s="183" t="s">
        <v>200</v>
      </c>
      <c r="M13" s="183" t="s">
        <v>200</v>
      </c>
      <c r="N13" s="183" t="s">
        <v>200</v>
      </c>
      <c r="O13" s="183" t="s">
        <v>200</v>
      </c>
      <c r="Q13" s="204" t="s">
        <v>20</v>
      </c>
      <c r="R13" s="207">
        <v>45531</v>
      </c>
      <c r="S13" s="206">
        <v>0.44583333333333341</v>
      </c>
      <c r="T13" s="205" t="s">
        <v>213</v>
      </c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 t="s">
        <v>200</v>
      </c>
      <c r="J14" s="183" t="s">
        <v>200</v>
      </c>
      <c r="K14" s="183" t="s">
        <v>200</v>
      </c>
      <c r="L14" s="183" t="s">
        <v>200</v>
      </c>
      <c r="M14" s="183" t="s">
        <v>200</v>
      </c>
      <c r="N14" s="183" t="s">
        <v>200</v>
      </c>
      <c r="O14" s="183" t="s">
        <v>200</v>
      </c>
      <c r="Q14" s="204" t="s">
        <v>21</v>
      </c>
      <c r="R14" s="201">
        <v>45562</v>
      </c>
      <c r="S14" s="203">
        <v>0.4909722222222222</v>
      </c>
      <c r="T14" s="205" t="s">
        <v>213</v>
      </c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 t="s">
        <v>200</v>
      </c>
      <c r="J15" s="183" t="s">
        <v>200</v>
      </c>
      <c r="K15" s="183" t="s">
        <v>200</v>
      </c>
      <c r="L15" s="183" t="s">
        <v>200</v>
      </c>
      <c r="M15" s="183" t="s">
        <v>200</v>
      </c>
      <c r="N15" s="183" t="s">
        <v>200</v>
      </c>
      <c r="O15" s="183" t="s">
        <v>200</v>
      </c>
      <c r="Q15" s="204" t="s">
        <v>22</v>
      </c>
      <c r="R15" s="201">
        <v>45589</v>
      </c>
      <c r="S15" s="203">
        <v>0.63472222222222219</v>
      </c>
      <c r="T15" s="205" t="s">
        <v>213</v>
      </c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 t="s">
        <v>200</v>
      </c>
      <c r="J16" s="183" t="s">
        <v>200</v>
      </c>
      <c r="K16" s="183" t="s">
        <v>200</v>
      </c>
      <c r="L16" s="183" t="s">
        <v>200</v>
      </c>
      <c r="M16" s="183" t="s">
        <v>200</v>
      </c>
      <c r="N16" s="183" t="s">
        <v>200</v>
      </c>
      <c r="O16" s="183" t="s">
        <v>200</v>
      </c>
      <c r="Q16" s="204" t="s">
        <v>23</v>
      </c>
      <c r="R16" s="201">
        <v>45635</v>
      </c>
      <c r="S16" s="203">
        <v>0.39444444444444438</v>
      </c>
      <c r="T16" s="202" t="s">
        <v>213</v>
      </c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 t="s">
        <v>200</v>
      </c>
      <c r="J17" s="183" t="s">
        <v>200</v>
      </c>
      <c r="K17" s="183" t="s">
        <v>200</v>
      </c>
      <c r="L17" s="183" t="s">
        <v>200</v>
      </c>
      <c r="M17" s="183" t="s">
        <v>200</v>
      </c>
      <c r="N17" s="183" t="s">
        <v>200</v>
      </c>
      <c r="O17" s="183" t="s">
        <v>200</v>
      </c>
      <c r="Q17" s="204" t="s">
        <v>24</v>
      </c>
      <c r="R17" s="201">
        <v>45670</v>
      </c>
      <c r="S17" s="203">
        <v>0.71875</v>
      </c>
      <c r="T17" s="202" t="s">
        <v>213</v>
      </c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 t="s">
        <v>200</v>
      </c>
      <c r="J18" s="183" t="s">
        <v>200</v>
      </c>
      <c r="K18" s="183" t="s">
        <v>200</v>
      </c>
      <c r="L18" s="183" t="s">
        <v>200</v>
      </c>
      <c r="M18" s="183" t="s">
        <v>200</v>
      </c>
      <c r="N18" s="183" t="s">
        <v>200</v>
      </c>
      <c r="O18" s="183" t="s">
        <v>200</v>
      </c>
      <c r="Q18" s="204" t="s">
        <v>25</v>
      </c>
      <c r="R18" s="201">
        <v>45681</v>
      </c>
      <c r="S18" s="203">
        <v>0.61944444444444446</v>
      </c>
      <c r="T18" s="202" t="s">
        <v>213</v>
      </c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>
        <v>2</v>
      </c>
      <c r="J19" s="193">
        <v>2</v>
      </c>
      <c r="K19" s="193">
        <v>2</v>
      </c>
      <c r="L19" s="193">
        <v>2</v>
      </c>
      <c r="M19" s="192">
        <v>2</v>
      </c>
      <c r="N19" s="192">
        <v>2</v>
      </c>
      <c r="O19" s="192">
        <v>2</v>
      </c>
      <c r="Q19" s="200" t="s">
        <v>26</v>
      </c>
      <c r="R19" s="201">
        <v>45712</v>
      </c>
      <c r="S19" s="201" t="s">
        <v>328</v>
      </c>
      <c r="T19" s="201" t="s">
        <v>213</v>
      </c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 t="s">
        <v>200</v>
      </c>
      <c r="J20" s="183" t="s">
        <v>200</v>
      </c>
      <c r="K20" s="183" t="s">
        <v>200</v>
      </c>
      <c r="L20" s="183" t="s">
        <v>200</v>
      </c>
      <c r="M20" s="183" t="s">
        <v>200</v>
      </c>
      <c r="N20" s="183" t="s">
        <v>200</v>
      </c>
      <c r="O20" s="183" t="s">
        <v>200</v>
      </c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 t="s">
        <v>200</v>
      </c>
      <c r="J21" s="183" t="s">
        <v>200</v>
      </c>
      <c r="K21" s="183" t="s">
        <v>200</v>
      </c>
      <c r="L21" s="183" t="s">
        <v>200</v>
      </c>
      <c r="M21" s="183" t="s">
        <v>200</v>
      </c>
      <c r="N21" s="183" t="s">
        <v>200</v>
      </c>
      <c r="O21" s="183" t="s">
        <v>200</v>
      </c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 t="s">
        <v>200</v>
      </c>
      <c r="J22" s="183" t="s">
        <v>200</v>
      </c>
      <c r="K22" s="183" t="s">
        <v>200</v>
      </c>
      <c r="L22" s="183" t="s">
        <v>200</v>
      </c>
      <c r="M22" s="183" t="s">
        <v>200</v>
      </c>
      <c r="N22" s="183" t="s">
        <v>200</v>
      </c>
      <c r="O22" s="183" t="s">
        <v>200</v>
      </c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 t="s">
        <v>200</v>
      </c>
      <c r="J23" s="183" t="s">
        <v>200</v>
      </c>
      <c r="K23" s="183" t="s">
        <v>200</v>
      </c>
      <c r="L23" s="183" t="s">
        <v>200</v>
      </c>
      <c r="M23" s="183" t="s">
        <v>200</v>
      </c>
      <c r="N23" s="183" t="s">
        <v>200</v>
      </c>
      <c r="O23" s="183" t="s">
        <v>200</v>
      </c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 t="s">
        <v>200</v>
      </c>
      <c r="J24" s="183" t="s">
        <v>200</v>
      </c>
      <c r="K24" s="183" t="s">
        <v>200</v>
      </c>
      <c r="L24" s="183" t="s">
        <v>200</v>
      </c>
      <c r="M24" s="183" t="s">
        <v>200</v>
      </c>
      <c r="N24" s="183" t="s">
        <v>200</v>
      </c>
      <c r="O24" s="183" t="s">
        <v>200</v>
      </c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 t="s">
        <v>200</v>
      </c>
      <c r="J25" s="183" t="s">
        <v>200</v>
      </c>
      <c r="K25" s="183" t="s">
        <v>200</v>
      </c>
      <c r="L25" s="183" t="s">
        <v>200</v>
      </c>
      <c r="M25" s="183" t="s">
        <v>200</v>
      </c>
      <c r="N25" s="183" t="s">
        <v>200</v>
      </c>
      <c r="O25" s="183" t="s">
        <v>200</v>
      </c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>
        <v>2</v>
      </c>
      <c r="J26" s="193">
        <v>2</v>
      </c>
      <c r="K26" s="193">
        <v>2</v>
      </c>
      <c r="L26" s="193">
        <v>2</v>
      </c>
      <c r="M26" s="192">
        <v>2</v>
      </c>
      <c r="N26" s="192">
        <v>2</v>
      </c>
      <c r="O26" s="192">
        <v>2</v>
      </c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 t="s">
        <v>200</v>
      </c>
      <c r="J27" s="183" t="s">
        <v>200</v>
      </c>
      <c r="K27" s="183" t="s">
        <v>200</v>
      </c>
      <c r="L27" s="183" t="s">
        <v>200</v>
      </c>
      <c r="M27" s="183" t="s">
        <v>200</v>
      </c>
      <c r="N27" s="183" t="s">
        <v>200</v>
      </c>
      <c r="O27" s="183" t="s">
        <v>200</v>
      </c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 t="s">
        <v>200</v>
      </c>
      <c r="J28" s="183" t="s">
        <v>200</v>
      </c>
      <c r="K28" s="183" t="s">
        <v>200</v>
      </c>
      <c r="L28" s="183" t="s">
        <v>200</v>
      </c>
      <c r="M28" s="183" t="s">
        <v>200</v>
      </c>
      <c r="N28" s="183" t="s">
        <v>200</v>
      </c>
      <c r="O28" s="183" t="s">
        <v>200</v>
      </c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 t="s">
        <v>200</v>
      </c>
      <c r="J29" s="183" t="s">
        <v>200</v>
      </c>
      <c r="K29" s="183" t="s">
        <v>200</v>
      </c>
      <c r="L29" s="183" t="s">
        <v>200</v>
      </c>
      <c r="M29" s="183" t="s">
        <v>200</v>
      </c>
      <c r="N29" s="183" t="s">
        <v>200</v>
      </c>
      <c r="O29" s="183" t="s">
        <v>200</v>
      </c>
      <c r="Q29" s="420"/>
      <c r="R29" s="381"/>
      <c r="S29" s="381"/>
      <c r="T29" s="381"/>
      <c r="U29" s="403"/>
    </row>
    <row r="30" spans="1:21" ht="15.75" customHeight="1" x14ac:dyDescent="0.25">
      <c r="A30" s="473" t="s">
        <v>233</v>
      </c>
      <c r="B30" s="341"/>
      <c r="C30" s="323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74" t="s">
        <v>235</v>
      </c>
      <c r="B34" s="341"/>
      <c r="C34" s="323"/>
      <c r="D34" s="181" t="s">
        <v>240</v>
      </c>
      <c r="E34" s="181" t="s">
        <v>240</v>
      </c>
      <c r="F34" s="181" t="s">
        <v>240</v>
      </c>
      <c r="G34" s="181"/>
      <c r="H34" s="182"/>
      <c r="I34" s="182" t="s">
        <v>240</v>
      </c>
      <c r="J34" s="181" t="s">
        <v>240</v>
      </c>
      <c r="K34" s="181" t="s">
        <v>240</v>
      </c>
      <c r="L34" s="181" t="s">
        <v>240</v>
      </c>
      <c r="M34" s="180" t="s">
        <v>240</v>
      </c>
      <c r="N34" s="180" t="s">
        <v>240</v>
      </c>
      <c r="O34" s="180" t="s">
        <v>240</v>
      </c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1011" priority="161" operator="equal">
      <formula>"NI"</formula>
    </cfRule>
    <cfRule type="cellIs" dxfId="1010" priority="162" operator="equal">
      <formula>"N"</formula>
    </cfRule>
    <cfRule type="cellIs" dxfId="1009" priority="163" operator="equal">
      <formula>"P"</formula>
    </cfRule>
    <cfRule type="cellIs" dxfId="1008" priority="164" operator="equal">
      <formula>"J"</formula>
    </cfRule>
  </conditionalFormatting>
  <conditionalFormatting sqref="M32:M33">
    <cfRule type="cellIs" dxfId="1007" priority="165" operator="equal">
      <formula>"NI"</formula>
    </cfRule>
    <cfRule type="cellIs" dxfId="1006" priority="166" operator="equal">
      <formula>"N"</formula>
    </cfRule>
    <cfRule type="cellIs" dxfId="1005" priority="167" operator="equal">
      <formula>"P"</formula>
    </cfRule>
    <cfRule type="cellIs" dxfId="1004" priority="168" operator="equal">
      <formula>"J"</formula>
    </cfRule>
  </conditionalFormatting>
  <conditionalFormatting sqref="M9:M10">
    <cfRule type="cellIs" dxfId="1003" priority="169" operator="equal">
      <formula>"NI"</formula>
    </cfRule>
    <cfRule type="cellIs" dxfId="1002" priority="170" operator="equal">
      <formula>"N"</formula>
    </cfRule>
    <cfRule type="cellIs" dxfId="1001" priority="171" operator="equal">
      <formula>"P"</formula>
    </cfRule>
    <cfRule type="cellIs" dxfId="1000" priority="172" operator="equal">
      <formula>"J"</formula>
    </cfRule>
  </conditionalFormatting>
  <conditionalFormatting sqref="M11">
    <cfRule type="cellIs" dxfId="999" priority="173" operator="equal">
      <formula>"NI"</formula>
    </cfRule>
    <cfRule type="cellIs" dxfId="998" priority="174" operator="equal">
      <formula>"N"</formula>
    </cfRule>
    <cfRule type="cellIs" dxfId="997" priority="175" operator="equal">
      <formula>"P"</formula>
    </cfRule>
    <cfRule type="cellIs" dxfId="996" priority="176" operator="equal">
      <formula>"J"</formula>
    </cfRule>
  </conditionalFormatting>
  <conditionalFormatting sqref="M13:N18">
    <cfRule type="cellIs" dxfId="995" priority="177" operator="equal">
      <formula>"NI"</formula>
    </cfRule>
    <cfRule type="cellIs" dxfId="994" priority="178" operator="equal">
      <formula>"N"</formula>
    </cfRule>
    <cfRule type="cellIs" dxfId="993" priority="179" operator="equal">
      <formula>"P"</formula>
    </cfRule>
    <cfRule type="cellIs" dxfId="992" priority="180" operator="equal">
      <formula>"J"</formula>
    </cfRule>
  </conditionalFormatting>
  <conditionalFormatting sqref="M20:N25">
    <cfRule type="cellIs" dxfId="991" priority="181" operator="equal">
      <formula>"NI"</formula>
    </cfRule>
    <cfRule type="cellIs" dxfId="990" priority="182" operator="equal">
      <formula>"N"</formula>
    </cfRule>
    <cfRule type="cellIs" dxfId="989" priority="183" operator="equal">
      <formula>"P"</formula>
    </cfRule>
    <cfRule type="cellIs" dxfId="988" priority="184" operator="equal">
      <formula>"J"</formula>
    </cfRule>
  </conditionalFormatting>
  <conditionalFormatting sqref="N32:N33">
    <cfRule type="cellIs" dxfId="987" priority="185" operator="equal">
      <formula>"NI"</formula>
    </cfRule>
    <cfRule type="cellIs" dxfId="986" priority="186" operator="equal">
      <formula>"N"</formula>
    </cfRule>
    <cfRule type="cellIs" dxfId="985" priority="187" operator="equal">
      <formula>"P"</formula>
    </cfRule>
    <cfRule type="cellIs" dxfId="984" priority="188" operator="equal">
      <formula>"J"</formula>
    </cfRule>
  </conditionalFormatting>
  <conditionalFormatting sqref="N9:N11">
    <cfRule type="cellIs" dxfId="983" priority="189" operator="equal">
      <formula>"NI"</formula>
    </cfRule>
    <cfRule type="cellIs" dxfId="982" priority="190" operator="equal">
      <formula>"N"</formula>
    </cfRule>
    <cfRule type="cellIs" dxfId="981" priority="191" operator="equal">
      <formula>"P"</formula>
    </cfRule>
    <cfRule type="cellIs" dxfId="980" priority="192" operator="equal">
      <formula>"J"</formula>
    </cfRule>
  </conditionalFormatting>
  <conditionalFormatting sqref="O9:O11 O13:O18 O20:O25 O27:O29 O31:O33">
    <cfRule type="cellIs" dxfId="979" priority="193" operator="equal">
      <formula>"NI"</formula>
    </cfRule>
    <cfRule type="cellIs" dxfId="978" priority="194" operator="equal">
      <formula>"N"</formula>
    </cfRule>
    <cfRule type="cellIs" dxfId="977" priority="195" operator="equal">
      <formula>"P"</formula>
    </cfRule>
    <cfRule type="cellIs" dxfId="976" priority="196" operator="equal">
      <formula>"J"</formula>
    </cfRule>
  </conditionalFormatting>
  <conditionalFormatting sqref="G9:G11 G13:G18 G20:G25 G27:G29 G31:G33">
    <cfRule type="cellIs" dxfId="975" priority="81" operator="equal">
      <formula>"NI"</formula>
    </cfRule>
    <cfRule type="cellIs" dxfId="974" priority="82" operator="equal">
      <formula>"N"</formula>
    </cfRule>
    <cfRule type="cellIs" dxfId="973" priority="83" operator="equal">
      <formula>"P"</formula>
    </cfRule>
    <cfRule type="cellIs" dxfId="972" priority="84" operator="equal">
      <formula>"J"</formula>
    </cfRule>
  </conditionalFormatting>
  <conditionalFormatting sqref="H9:H11 H13:H18 H20:H25 H27:H29 H31:H33">
    <cfRule type="cellIs" dxfId="971" priority="77" operator="equal">
      <formula>"NI"</formula>
    </cfRule>
    <cfRule type="cellIs" dxfId="970" priority="78" operator="equal">
      <formula>"N"</formula>
    </cfRule>
    <cfRule type="cellIs" dxfId="969" priority="79" operator="equal">
      <formula>"P"</formula>
    </cfRule>
    <cfRule type="cellIs" dxfId="968" priority="80" operator="equal">
      <formula>"J"</formula>
    </cfRule>
  </conditionalFormatting>
  <conditionalFormatting sqref="I9:I11 I13:I18 I20:I25 I27:I29 I31:I32">
    <cfRule type="cellIs" dxfId="967" priority="73" operator="equal">
      <formula>"NI"</formula>
    </cfRule>
    <cfRule type="cellIs" dxfId="966" priority="74" operator="equal">
      <formula>"N"</formula>
    </cfRule>
    <cfRule type="cellIs" dxfId="965" priority="75" operator="equal">
      <formula>"P"</formula>
    </cfRule>
    <cfRule type="cellIs" dxfId="964" priority="76" operator="equal">
      <formula>"J"</formula>
    </cfRule>
  </conditionalFormatting>
  <conditionalFormatting sqref="I33">
    <cfRule type="cellIs" dxfId="963" priority="69" operator="equal">
      <formula>"NI"</formula>
    </cfRule>
    <cfRule type="cellIs" dxfId="962" priority="70" operator="equal">
      <formula>"N"</formula>
    </cfRule>
    <cfRule type="cellIs" dxfId="961" priority="71" operator="equal">
      <formula>"P"</formula>
    </cfRule>
    <cfRule type="cellIs" dxfId="960" priority="72" operator="equal">
      <formula>"J"</formula>
    </cfRule>
  </conditionalFormatting>
  <conditionalFormatting sqref="J9:J11 J13:J18 J20:J25 J27:J29 J31:J33">
    <cfRule type="cellIs" dxfId="959" priority="65" operator="equal">
      <formula>"NI"</formula>
    </cfRule>
    <cfRule type="cellIs" dxfId="958" priority="66" operator="equal">
      <formula>"N"</formula>
    </cfRule>
    <cfRule type="cellIs" dxfId="957" priority="67" operator="equal">
      <formula>"P"</formula>
    </cfRule>
    <cfRule type="cellIs" dxfId="956" priority="68" operator="equal">
      <formula>"J"</formula>
    </cfRule>
  </conditionalFormatting>
  <conditionalFormatting sqref="K9:K11 K13:K18 K20:K25 K27:K29 K31:K33">
    <cfRule type="cellIs" dxfId="955" priority="61" operator="equal">
      <formula>"NI"</formula>
    </cfRule>
    <cfRule type="cellIs" dxfId="954" priority="62" operator="equal">
      <formula>"N"</formula>
    </cfRule>
    <cfRule type="cellIs" dxfId="953" priority="63" operator="equal">
      <formula>"P"</formula>
    </cfRule>
    <cfRule type="cellIs" dxfId="952" priority="64" operator="equal">
      <formula>"J"</formula>
    </cfRule>
  </conditionalFormatting>
  <conditionalFormatting sqref="L9:L11 L13:L16 L18 L20:L25 L27:L29">
    <cfRule type="cellIs" dxfId="951" priority="57" operator="equal">
      <formula>"NI"</formula>
    </cfRule>
    <cfRule type="cellIs" dxfId="950" priority="58" operator="equal">
      <formula>"N"</formula>
    </cfRule>
    <cfRule type="cellIs" dxfId="949" priority="59" operator="equal">
      <formula>"P"</formula>
    </cfRule>
    <cfRule type="cellIs" dxfId="948" priority="60" operator="equal">
      <formula>"J"</formula>
    </cfRule>
  </conditionalFormatting>
  <conditionalFormatting sqref="L17">
    <cfRule type="cellIs" dxfId="947" priority="53" operator="equal">
      <formula>"NI"</formula>
    </cfRule>
    <cfRule type="cellIs" dxfId="946" priority="54" operator="equal">
      <formula>"N"</formula>
    </cfRule>
    <cfRule type="cellIs" dxfId="945" priority="55" operator="equal">
      <formula>"P"</formula>
    </cfRule>
    <cfRule type="cellIs" dxfId="944" priority="56" operator="equal">
      <formula>"J"</formula>
    </cfRule>
  </conditionalFormatting>
  <conditionalFormatting sqref="L31:L32">
    <cfRule type="cellIs" dxfId="943" priority="49" operator="equal">
      <formula>"NI"</formula>
    </cfRule>
    <cfRule type="cellIs" dxfId="942" priority="50" operator="equal">
      <formula>"N"</formula>
    </cfRule>
    <cfRule type="cellIs" dxfId="941" priority="51" operator="equal">
      <formula>"P"</formula>
    </cfRule>
    <cfRule type="cellIs" dxfId="940" priority="52" operator="equal">
      <formula>"J"</formula>
    </cfRule>
  </conditionalFormatting>
  <conditionalFormatting sqref="L33">
    <cfRule type="cellIs" dxfId="939" priority="45" operator="equal">
      <formula>"NI"</formula>
    </cfRule>
    <cfRule type="cellIs" dxfId="938" priority="46" operator="equal">
      <formula>"N"</formula>
    </cfRule>
    <cfRule type="cellIs" dxfId="937" priority="47" operator="equal">
      <formula>"P"</formula>
    </cfRule>
    <cfRule type="cellIs" dxfId="936" priority="48" operator="equal">
      <formula>"J"</formula>
    </cfRule>
  </conditionalFormatting>
  <conditionalFormatting sqref="D9:D11 D13:D18 D20:D25 D27:D29">
    <cfRule type="cellIs" dxfId="935" priority="41" operator="equal">
      <formula>"NI"</formula>
    </cfRule>
    <cfRule type="cellIs" dxfId="934" priority="42" operator="equal">
      <formula>"N"</formula>
    </cfRule>
    <cfRule type="cellIs" dxfId="933" priority="43" operator="equal">
      <formula>"P"</formula>
    </cfRule>
    <cfRule type="cellIs" dxfId="932" priority="44" operator="equal">
      <formula>"J"</formula>
    </cfRule>
  </conditionalFormatting>
  <conditionalFormatting sqref="D31:D32">
    <cfRule type="cellIs" dxfId="931" priority="37" operator="equal">
      <formula>"NI"</formula>
    </cfRule>
    <cfRule type="cellIs" dxfId="930" priority="38" operator="equal">
      <formula>"N"</formula>
    </cfRule>
    <cfRule type="cellIs" dxfId="929" priority="39" operator="equal">
      <formula>"P"</formula>
    </cfRule>
    <cfRule type="cellIs" dxfId="928" priority="40" operator="equal">
      <formula>"J"</formula>
    </cfRule>
  </conditionalFormatting>
  <conditionalFormatting sqref="D33">
    <cfRule type="cellIs" dxfId="927" priority="33" operator="equal">
      <formula>"NI"</formula>
    </cfRule>
    <cfRule type="cellIs" dxfId="926" priority="34" operator="equal">
      <formula>"N"</formula>
    </cfRule>
    <cfRule type="cellIs" dxfId="925" priority="35" operator="equal">
      <formula>"P"</formula>
    </cfRule>
    <cfRule type="cellIs" dxfId="924" priority="36" operator="equal">
      <formula>"J"</formula>
    </cfRule>
  </conditionalFormatting>
  <conditionalFormatting sqref="E9:E11 E13:E18 E20:E25 E27:E29">
    <cfRule type="cellIs" dxfId="923" priority="29" operator="equal">
      <formula>"NI"</formula>
    </cfRule>
    <cfRule type="cellIs" dxfId="922" priority="30" operator="equal">
      <formula>"N"</formula>
    </cfRule>
    <cfRule type="cellIs" dxfId="921" priority="31" operator="equal">
      <formula>"P"</formula>
    </cfRule>
    <cfRule type="cellIs" dxfId="920" priority="32" operator="equal">
      <formula>"J"</formula>
    </cfRule>
  </conditionalFormatting>
  <conditionalFormatting sqref="E32">
    <cfRule type="cellIs" dxfId="919" priority="25" operator="equal">
      <formula>"NI"</formula>
    </cfRule>
    <cfRule type="cellIs" dxfId="918" priority="26" operator="equal">
      <formula>"N"</formula>
    </cfRule>
    <cfRule type="cellIs" dxfId="917" priority="27" operator="equal">
      <formula>"P"</formula>
    </cfRule>
    <cfRule type="cellIs" dxfId="916" priority="28" operator="equal">
      <formula>"J"</formula>
    </cfRule>
  </conditionalFormatting>
  <conditionalFormatting sqref="E31">
    <cfRule type="cellIs" dxfId="915" priority="21" operator="equal">
      <formula>"NI"</formula>
    </cfRule>
    <cfRule type="cellIs" dxfId="914" priority="22" operator="equal">
      <formula>"N"</formula>
    </cfRule>
    <cfRule type="cellIs" dxfId="913" priority="23" operator="equal">
      <formula>"P"</formula>
    </cfRule>
    <cfRule type="cellIs" dxfId="912" priority="24" operator="equal">
      <formula>"J"</formula>
    </cfRule>
  </conditionalFormatting>
  <conditionalFormatting sqref="E33">
    <cfRule type="cellIs" dxfId="911" priority="17" operator="equal">
      <formula>"NI"</formula>
    </cfRule>
    <cfRule type="cellIs" dxfId="910" priority="18" operator="equal">
      <formula>"N"</formula>
    </cfRule>
    <cfRule type="cellIs" dxfId="909" priority="19" operator="equal">
      <formula>"P"</formula>
    </cfRule>
    <cfRule type="cellIs" dxfId="908" priority="20" operator="equal">
      <formula>"J"</formula>
    </cfRule>
  </conditionalFormatting>
  <conditionalFormatting sqref="F9:F11 F13:F18 F20:F25 F27:F29">
    <cfRule type="cellIs" dxfId="907" priority="13" operator="equal">
      <formula>"NI"</formula>
    </cfRule>
    <cfRule type="cellIs" dxfId="906" priority="14" operator="equal">
      <formula>"N"</formula>
    </cfRule>
    <cfRule type="cellIs" dxfId="905" priority="15" operator="equal">
      <formula>"P"</formula>
    </cfRule>
    <cfRule type="cellIs" dxfId="904" priority="16" operator="equal">
      <formula>"J"</formula>
    </cfRule>
  </conditionalFormatting>
  <conditionalFormatting sqref="F32">
    <cfRule type="cellIs" dxfId="903" priority="9" operator="equal">
      <formula>"NI"</formula>
    </cfRule>
    <cfRule type="cellIs" dxfId="902" priority="10" operator="equal">
      <formula>"N"</formula>
    </cfRule>
    <cfRule type="cellIs" dxfId="901" priority="11" operator="equal">
      <formula>"P"</formula>
    </cfRule>
    <cfRule type="cellIs" dxfId="900" priority="12" operator="equal">
      <formula>"J"</formula>
    </cfRule>
  </conditionalFormatting>
  <conditionalFormatting sqref="F31">
    <cfRule type="cellIs" dxfId="899" priority="5" operator="equal">
      <formula>"NI"</formula>
    </cfRule>
    <cfRule type="cellIs" dxfId="898" priority="6" operator="equal">
      <formula>"N"</formula>
    </cfRule>
    <cfRule type="cellIs" dxfId="897" priority="7" operator="equal">
      <formula>"P"</formula>
    </cfRule>
    <cfRule type="cellIs" dxfId="896" priority="8" operator="equal">
      <formula>"J"</formula>
    </cfRule>
  </conditionalFormatting>
  <conditionalFormatting sqref="F33">
    <cfRule type="cellIs" dxfId="895" priority="1" operator="equal">
      <formula>"NI"</formula>
    </cfRule>
    <cfRule type="cellIs" dxfId="894" priority="2" operator="equal">
      <formula>"N"</formula>
    </cfRule>
    <cfRule type="cellIs" dxfId="893" priority="3" operator="equal">
      <formula>"P"</formula>
    </cfRule>
    <cfRule type="cellIs" dxfId="89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4"/>
  <sheetViews>
    <sheetView topLeftCell="A7" workbookViewId="0">
      <selection activeCell="S12" sqref="S12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291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0.57847222222222228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0.42430555555555549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0.61111111111111116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B18" s="195" t="s">
        <v>220</v>
      </c>
      <c r="C18" s="186"/>
      <c r="D18" s="193">
        <v>2</v>
      </c>
      <c r="E18" s="193">
        <v>2</v>
      </c>
      <c r="F18" s="193">
        <v>2</v>
      </c>
      <c r="G18" s="192"/>
      <c r="H18" s="194"/>
      <c r="I18" s="194"/>
      <c r="J18" s="193"/>
      <c r="K18" s="193"/>
      <c r="L18" s="193"/>
      <c r="M18" s="192"/>
      <c r="N18" s="192"/>
      <c r="O18" s="192"/>
      <c r="Q18" s="204" t="s">
        <v>25</v>
      </c>
      <c r="R18" s="201"/>
      <c r="S18" s="201"/>
      <c r="T18" s="202"/>
    </row>
    <row r="19" spans="1:21" x14ac:dyDescent="0.25">
      <c r="A19" s="426"/>
      <c r="C19" s="188" t="s">
        <v>222</v>
      </c>
      <c r="D19" s="183" t="s">
        <v>200</v>
      </c>
      <c r="E19" s="183" t="s">
        <v>200</v>
      </c>
      <c r="F19" s="183" t="s">
        <v>200</v>
      </c>
      <c r="G19" s="183"/>
      <c r="H19" s="184"/>
      <c r="I19" s="184"/>
      <c r="J19" s="183"/>
      <c r="K19" s="183"/>
      <c r="L19" s="183"/>
      <c r="M19" s="183"/>
      <c r="N19" s="183"/>
      <c r="O19" s="183"/>
      <c r="Q19" s="204" t="s">
        <v>26</v>
      </c>
      <c r="R19" s="199"/>
      <c r="S19" s="201"/>
      <c r="T19" s="202"/>
    </row>
    <row r="20" spans="1:21" ht="15.75" customHeight="1" thickBot="1" x14ac:dyDescent="0.3">
      <c r="A20" s="426"/>
      <c r="C20" s="188" t="s">
        <v>267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196" t="s">
        <v>224</v>
      </c>
    </row>
    <row r="21" spans="1:21" ht="15.75" customHeight="1" x14ac:dyDescent="0.25">
      <c r="A21" s="426"/>
      <c r="C21" s="188" t="s">
        <v>226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472"/>
      <c r="R21" s="397"/>
      <c r="S21" s="397"/>
      <c r="T21" s="397"/>
      <c r="U21" s="398"/>
    </row>
    <row r="22" spans="1:21" ht="15.75" customHeight="1" x14ac:dyDescent="0.25">
      <c r="A22" s="426"/>
      <c r="C22" s="188" t="s">
        <v>259</v>
      </c>
      <c r="D22" s="183" t="s">
        <v>200</v>
      </c>
      <c r="E22" s="183" t="s">
        <v>196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20"/>
      <c r="R22" s="381"/>
      <c r="S22" s="381"/>
      <c r="T22" s="381"/>
      <c r="U22" s="403"/>
    </row>
    <row r="23" spans="1:21" ht="15.75" customHeight="1" x14ac:dyDescent="0.25">
      <c r="A23" s="426"/>
      <c r="C23" s="188" t="s">
        <v>227</v>
      </c>
      <c r="D23" s="183" t="s">
        <v>200</v>
      </c>
      <c r="E23" s="183" t="s">
        <v>200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2"/>
      <c r="R23" s="423"/>
      <c r="S23" s="423"/>
      <c r="T23" s="423"/>
      <c r="U23" s="424"/>
    </row>
    <row r="24" spans="1:21" ht="15.75" customHeight="1" x14ac:dyDescent="0.25">
      <c r="A24" s="426"/>
      <c r="C24" s="188" t="s">
        <v>223</v>
      </c>
      <c r="D24" s="183" t="s">
        <v>207</v>
      </c>
      <c r="E24" s="183" t="s">
        <v>207</v>
      </c>
      <c r="F24" s="183" t="s">
        <v>207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0"/>
      <c r="R24" s="381"/>
      <c r="S24" s="381"/>
      <c r="T24" s="381"/>
      <c r="U24" s="403"/>
    </row>
    <row r="25" spans="1:21" ht="15.75" customHeight="1" x14ac:dyDescent="0.25">
      <c r="A25" s="426"/>
      <c r="B25" s="195" t="s">
        <v>229</v>
      </c>
      <c r="C25" s="186"/>
      <c r="D25" s="193">
        <v>2</v>
      </c>
      <c r="E25" s="193">
        <v>2</v>
      </c>
      <c r="F25" s="193">
        <v>2</v>
      </c>
      <c r="G25" s="192"/>
      <c r="H25" s="194"/>
      <c r="I25" s="194"/>
      <c r="J25" s="193"/>
      <c r="K25" s="193"/>
      <c r="L25" s="193"/>
      <c r="M25" s="192"/>
      <c r="N25" s="192"/>
      <c r="O25" s="192"/>
      <c r="Q25" s="420"/>
      <c r="R25" s="381"/>
      <c r="S25" s="381"/>
      <c r="T25" s="381"/>
      <c r="U25" s="403"/>
    </row>
    <row r="26" spans="1:21" ht="15.75" customHeight="1" x14ac:dyDescent="0.25">
      <c r="A26" s="426"/>
      <c r="C26" s="188" t="s">
        <v>262</v>
      </c>
      <c r="D26" s="183" t="s">
        <v>200</v>
      </c>
      <c r="E26" s="183" t="s">
        <v>200</v>
      </c>
      <c r="F26" s="183" t="s">
        <v>200</v>
      </c>
      <c r="G26" s="183"/>
      <c r="H26" s="184"/>
      <c r="I26" s="184"/>
      <c r="J26" s="183"/>
      <c r="K26" s="183"/>
      <c r="L26" s="183"/>
      <c r="M26" s="183"/>
      <c r="N26" s="183"/>
      <c r="O26" s="183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7" t="s">
        <v>231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333"/>
      <c r="C28" s="187" t="s">
        <v>254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432" t="s">
        <v>233</v>
      </c>
      <c r="B29" s="341"/>
      <c r="C29" s="341"/>
      <c r="D29" s="190"/>
      <c r="E29" s="190"/>
      <c r="F29" s="190"/>
      <c r="G29" s="189"/>
      <c r="H29" s="191"/>
      <c r="I29" s="191"/>
      <c r="J29" s="190"/>
      <c r="K29" s="190"/>
      <c r="L29" s="190"/>
      <c r="M29" s="189"/>
      <c r="N29" s="189"/>
      <c r="O29" s="189"/>
      <c r="Q29" s="420"/>
      <c r="R29" s="381"/>
      <c r="S29" s="381"/>
      <c r="T29" s="381"/>
      <c r="U29" s="403"/>
    </row>
    <row r="30" spans="1:21" ht="15.75" customHeight="1" x14ac:dyDescent="0.25">
      <c r="A30" s="186"/>
      <c r="C30" s="188" t="s">
        <v>83</v>
      </c>
      <c r="D30" s="183"/>
      <c r="E30" s="183"/>
      <c r="F30" s="183"/>
      <c r="G30" s="183"/>
      <c r="H30" s="184"/>
      <c r="I30" s="184"/>
      <c r="J30" s="183"/>
      <c r="K30" s="183"/>
      <c r="L30" s="183"/>
      <c r="M30" s="183"/>
      <c r="N30" s="183"/>
      <c r="O30" s="183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7" t="s">
        <v>234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5" t="s">
        <v>85</v>
      </c>
      <c r="D32" s="227"/>
      <c r="E32" s="227"/>
      <c r="F32" s="227"/>
      <c r="G32" s="183"/>
      <c r="H32" s="184"/>
      <c r="I32" s="184"/>
      <c r="J32" s="183"/>
      <c r="K32" s="183"/>
      <c r="L32" s="227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thickBot="1" x14ac:dyDescent="0.3">
      <c r="A33" s="434" t="s">
        <v>235</v>
      </c>
      <c r="B33" s="341"/>
      <c r="C33" s="341"/>
      <c r="D33" s="181" t="s">
        <v>240</v>
      </c>
      <c r="E33" s="181" t="s">
        <v>240</v>
      </c>
      <c r="F33" s="181" t="s">
        <v>240</v>
      </c>
      <c r="G33" s="181"/>
      <c r="H33" s="182"/>
      <c r="I33" s="182"/>
      <c r="J33" s="181"/>
      <c r="K33" s="181"/>
      <c r="L33" s="181"/>
      <c r="M33" s="180"/>
      <c r="N33" s="180"/>
      <c r="O33" s="180"/>
      <c r="Q33" s="430"/>
      <c r="R33" s="400"/>
      <c r="S33" s="400"/>
      <c r="T33" s="400"/>
      <c r="U33" s="401"/>
    </row>
    <row r="34" spans="1:21" ht="15.75" customHeight="1" x14ac:dyDescent="0.25">
      <c r="A34" s="179" t="s">
        <v>241</v>
      </c>
    </row>
    <row r="35" spans="1:21" ht="15.75" customHeight="1" x14ac:dyDescent="0.25"/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4">
    <mergeCell ref="A7:C7"/>
    <mergeCell ref="A33:C33"/>
    <mergeCell ref="A2:O2"/>
    <mergeCell ref="Q29:U29"/>
    <mergeCell ref="Q23:U23"/>
    <mergeCell ref="A29:C29"/>
    <mergeCell ref="Q26:U26"/>
    <mergeCell ref="Q31:U31"/>
    <mergeCell ref="A5:B5"/>
    <mergeCell ref="Q22:U22"/>
    <mergeCell ref="Q27:U27"/>
    <mergeCell ref="Q30:U30"/>
    <mergeCell ref="A4:B4"/>
    <mergeCell ref="A8:A28"/>
    <mergeCell ref="Q32:U32"/>
    <mergeCell ref="A6:O6"/>
    <mergeCell ref="Q6:T6"/>
    <mergeCell ref="Q25:U25"/>
    <mergeCell ref="Q21:U21"/>
    <mergeCell ref="Q28:U28"/>
    <mergeCell ref="I4:O4"/>
    <mergeCell ref="Q33:U33"/>
    <mergeCell ref="K5:O5"/>
    <mergeCell ref="Q24:U24"/>
  </mergeCells>
  <conditionalFormatting sqref="M26:N28 M30:N30">
    <cfRule type="cellIs" dxfId="891" priority="129" operator="equal">
      <formula>"NI"</formula>
    </cfRule>
    <cfRule type="cellIs" dxfId="890" priority="130" operator="equal">
      <formula>"N"</formula>
    </cfRule>
    <cfRule type="cellIs" dxfId="889" priority="131" operator="equal">
      <formula>"P"</formula>
    </cfRule>
    <cfRule type="cellIs" dxfId="888" priority="132" operator="equal">
      <formula>"J"</formula>
    </cfRule>
  </conditionalFormatting>
  <conditionalFormatting sqref="M31:M32">
    <cfRule type="cellIs" dxfId="887" priority="133" operator="equal">
      <formula>"NI"</formula>
    </cfRule>
    <cfRule type="cellIs" dxfId="886" priority="134" operator="equal">
      <formula>"N"</formula>
    </cfRule>
    <cfRule type="cellIs" dxfId="885" priority="135" operator="equal">
      <formula>"P"</formula>
    </cfRule>
    <cfRule type="cellIs" dxfId="884" priority="136" operator="equal">
      <formula>"J"</formula>
    </cfRule>
  </conditionalFormatting>
  <conditionalFormatting sqref="M9:M10">
    <cfRule type="cellIs" dxfId="883" priority="137" operator="equal">
      <formula>"NI"</formula>
    </cfRule>
    <cfRule type="cellIs" dxfId="882" priority="138" operator="equal">
      <formula>"N"</formula>
    </cfRule>
    <cfRule type="cellIs" dxfId="881" priority="139" operator="equal">
      <formula>"P"</formula>
    </cfRule>
    <cfRule type="cellIs" dxfId="880" priority="140" operator="equal">
      <formula>"J"</formula>
    </cfRule>
  </conditionalFormatting>
  <conditionalFormatting sqref="M11">
    <cfRule type="cellIs" dxfId="879" priority="141" operator="equal">
      <formula>"NI"</formula>
    </cfRule>
    <cfRule type="cellIs" dxfId="878" priority="142" operator="equal">
      <formula>"N"</formula>
    </cfRule>
    <cfRule type="cellIs" dxfId="877" priority="143" operator="equal">
      <formula>"P"</formula>
    </cfRule>
    <cfRule type="cellIs" dxfId="876" priority="144" operator="equal">
      <formula>"J"</formula>
    </cfRule>
  </conditionalFormatting>
  <conditionalFormatting sqref="M13:N17">
    <cfRule type="cellIs" dxfId="875" priority="145" operator="equal">
      <formula>"NI"</formula>
    </cfRule>
    <cfRule type="cellIs" dxfId="874" priority="146" operator="equal">
      <formula>"N"</formula>
    </cfRule>
    <cfRule type="cellIs" dxfId="873" priority="147" operator="equal">
      <formula>"P"</formula>
    </cfRule>
    <cfRule type="cellIs" dxfId="872" priority="148" operator="equal">
      <formula>"J"</formula>
    </cfRule>
  </conditionalFormatting>
  <conditionalFormatting sqref="M19:N24">
    <cfRule type="cellIs" dxfId="871" priority="149" operator="equal">
      <formula>"NI"</formula>
    </cfRule>
    <cfRule type="cellIs" dxfId="870" priority="150" operator="equal">
      <formula>"N"</formula>
    </cfRule>
    <cfRule type="cellIs" dxfId="869" priority="151" operator="equal">
      <formula>"P"</formula>
    </cfRule>
    <cfRule type="cellIs" dxfId="868" priority="152" operator="equal">
      <formula>"J"</formula>
    </cfRule>
  </conditionalFormatting>
  <conditionalFormatting sqref="N31:N32">
    <cfRule type="cellIs" dxfId="867" priority="153" operator="equal">
      <formula>"NI"</formula>
    </cfRule>
    <cfRule type="cellIs" dxfId="866" priority="154" operator="equal">
      <formula>"N"</formula>
    </cfRule>
    <cfRule type="cellIs" dxfId="865" priority="155" operator="equal">
      <formula>"P"</formula>
    </cfRule>
    <cfRule type="cellIs" dxfId="864" priority="156" operator="equal">
      <formula>"J"</formula>
    </cfRule>
  </conditionalFormatting>
  <conditionalFormatting sqref="N9:N11">
    <cfRule type="cellIs" dxfId="863" priority="157" operator="equal">
      <formula>"NI"</formula>
    </cfRule>
    <cfRule type="cellIs" dxfId="862" priority="158" operator="equal">
      <formula>"N"</formula>
    </cfRule>
    <cfRule type="cellIs" dxfId="861" priority="159" operator="equal">
      <formula>"P"</formula>
    </cfRule>
    <cfRule type="cellIs" dxfId="860" priority="160" operator="equal">
      <formula>"J"</formula>
    </cfRule>
  </conditionalFormatting>
  <conditionalFormatting sqref="O9:O11 O13:O17 O19:O24 O26:O28 O30:O32">
    <cfRule type="cellIs" dxfId="859" priority="161" operator="equal">
      <formula>"NI"</formula>
    </cfRule>
    <cfRule type="cellIs" dxfId="858" priority="162" operator="equal">
      <formula>"N"</formula>
    </cfRule>
    <cfRule type="cellIs" dxfId="857" priority="163" operator="equal">
      <formula>"P"</formula>
    </cfRule>
    <cfRule type="cellIs" dxfId="856" priority="164" operator="equal">
      <formula>"J"</formula>
    </cfRule>
  </conditionalFormatting>
  <conditionalFormatting sqref="G9:G11 G13:G17 G19:G24 G26:G28 G30:G32">
    <cfRule type="cellIs" dxfId="855" priority="65" operator="equal">
      <formula>"NI"</formula>
    </cfRule>
    <cfRule type="cellIs" dxfId="854" priority="66" operator="equal">
      <formula>"N"</formula>
    </cfRule>
    <cfRule type="cellIs" dxfId="853" priority="67" operator="equal">
      <formula>"P"</formula>
    </cfRule>
    <cfRule type="cellIs" dxfId="852" priority="68" operator="equal">
      <formula>"J"</formula>
    </cfRule>
  </conditionalFormatting>
  <conditionalFormatting sqref="H9:H11 H13:H17 H19:H24 H26:H28 H30:H32">
    <cfRule type="cellIs" dxfId="851" priority="61" operator="equal">
      <formula>"NI"</formula>
    </cfRule>
    <cfRule type="cellIs" dxfId="850" priority="62" operator="equal">
      <formula>"N"</formula>
    </cfRule>
    <cfRule type="cellIs" dxfId="849" priority="63" operator="equal">
      <formula>"P"</formula>
    </cfRule>
    <cfRule type="cellIs" dxfId="848" priority="64" operator="equal">
      <formula>"J"</formula>
    </cfRule>
  </conditionalFormatting>
  <conditionalFormatting sqref="I9:I11 I13:I17 I19:I24 I26:I28 I30:I31">
    <cfRule type="cellIs" dxfId="847" priority="57" operator="equal">
      <formula>"NI"</formula>
    </cfRule>
    <cfRule type="cellIs" dxfId="846" priority="58" operator="equal">
      <formula>"N"</formula>
    </cfRule>
    <cfRule type="cellIs" dxfId="845" priority="59" operator="equal">
      <formula>"P"</formula>
    </cfRule>
    <cfRule type="cellIs" dxfId="844" priority="60" operator="equal">
      <formula>"J"</formula>
    </cfRule>
  </conditionalFormatting>
  <conditionalFormatting sqref="I32">
    <cfRule type="cellIs" dxfId="843" priority="53" operator="equal">
      <formula>"NI"</formula>
    </cfRule>
    <cfRule type="cellIs" dxfId="842" priority="54" operator="equal">
      <formula>"N"</formula>
    </cfRule>
    <cfRule type="cellIs" dxfId="841" priority="55" operator="equal">
      <formula>"P"</formula>
    </cfRule>
    <cfRule type="cellIs" dxfId="840" priority="56" operator="equal">
      <formula>"J"</formula>
    </cfRule>
  </conditionalFormatting>
  <conditionalFormatting sqref="J9:J11 J13:J17 J19:J24 J26:J28 J30:J32">
    <cfRule type="cellIs" dxfId="839" priority="49" operator="equal">
      <formula>"NI"</formula>
    </cfRule>
    <cfRule type="cellIs" dxfId="838" priority="50" operator="equal">
      <formula>"N"</formula>
    </cfRule>
    <cfRule type="cellIs" dxfId="837" priority="51" operator="equal">
      <formula>"P"</formula>
    </cfRule>
    <cfRule type="cellIs" dxfId="836" priority="52" operator="equal">
      <formula>"J"</formula>
    </cfRule>
  </conditionalFormatting>
  <conditionalFormatting sqref="K9:K11 K13:K17 K19:K24 K26:K28 K30:K32">
    <cfRule type="cellIs" dxfId="835" priority="45" operator="equal">
      <formula>"NI"</formula>
    </cfRule>
    <cfRule type="cellIs" dxfId="834" priority="46" operator="equal">
      <formula>"N"</formula>
    </cfRule>
    <cfRule type="cellIs" dxfId="833" priority="47" operator="equal">
      <formula>"P"</formula>
    </cfRule>
    <cfRule type="cellIs" dxfId="832" priority="48" operator="equal">
      <formula>"J"</formula>
    </cfRule>
  </conditionalFormatting>
  <conditionalFormatting sqref="L9:L11 L13:L16 L19:L24 L26:L28">
    <cfRule type="cellIs" dxfId="831" priority="41" operator="equal">
      <formula>"NI"</formula>
    </cfRule>
    <cfRule type="cellIs" dxfId="830" priority="42" operator="equal">
      <formula>"N"</formula>
    </cfRule>
    <cfRule type="cellIs" dxfId="829" priority="43" operator="equal">
      <formula>"P"</formula>
    </cfRule>
    <cfRule type="cellIs" dxfId="828" priority="44" operator="equal">
      <formula>"J"</formula>
    </cfRule>
  </conditionalFormatting>
  <conditionalFormatting sqref="L17">
    <cfRule type="cellIs" dxfId="827" priority="37" operator="equal">
      <formula>"NI"</formula>
    </cfRule>
    <cfRule type="cellIs" dxfId="826" priority="38" operator="equal">
      <formula>"N"</formula>
    </cfRule>
    <cfRule type="cellIs" dxfId="825" priority="39" operator="equal">
      <formula>"P"</formula>
    </cfRule>
    <cfRule type="cellIs" dxfId="824" priority="40" operator="equal">
      <formula>"J"</formula>
    </cfRule>
  </conditionalFormatting>
  <conditionalFormatting sqref="L31">
    <cfRule type="cellIs" dxfId="823" priority="33" operator="equal">
      <formula>"NI"</formula>
    </cfRule>
    <cfRule type="cellIs" dxfId="822" priority="34" operator="equal">
      <formula>"N"</formula>
    </cfRule>
    <cfRule type="cellIs" dxfId="821" priority="35" operator="equal">
      <formula>"P"</formula>
    </cfRule>
    <cfRule type="cellIs" dxfId="820" priority="36" operator="equal">
      <formula>"J"</formula>
    </cfRule>
  </conditionalFormatting>
  <conditionalFormatting sqref="L32">
    <cfRule type="cellIs" dxfId="819" priority="29" operator="equal">
      <formula>"NI"</formula>
    </cfRule>
    <cfRule type="cellIs" dxfId="818" priority="30" operator="equal">
      <formula>"N"</formula>
    </cfRule>
    <cfRule type="cellIs" dxfId="817" priority="31" operator="equal">
      <formula>"P"</formula>
    </cfRule>
    <cfRule type="cellIs" dxfId="816" priority="32" operator="equal">
      <formula>"J"</formula>
    </cfRule>
  </conditionalFormatting>
  <conditionalFormatting sqref="L30">
    <cfRule type="cellIs" dxfId="815" priority="25" operator="equal">
      <formula>"NI"</formula>
    </cfRule>
    <cfRule type="cellIs" dxfId="814" priority="26" operator="equal">
      <formula>"N"</formula>
    </cfRule>
    <cfRule type="cellIs" dxfId="813" priority="27" operator="equal">
      <formula>"P"</formula>
    </cfRule>
    <cfRule type="cellIs" dxfId="812" priority="28" operator="equal">
      <formula>"J"</formula>
    </cfRule>
  </conditionalFormatting>
  <conditionalFormatting sqref="D9:D11 D13:D17 D19:D24 D26:D28 D30:D31">
    <cfRule type="cellIs" dxfId="811" priority="21" operator="equal">
      <formula>"NI"</formula>
    </cfRule>
    <cfRule type="cellIs" dxfId="810" priority="22" operator="equal">
      <formula>"N"</formula>
    </cfRule>
    <cfRule type="cellIs" dxfId="809" priority="23" operator="equal">
      <formula>"P"</formula>
    </cfRule>
    <cfRule type="cellIs" dxfId="808" priority="24" operator="equal">
      <formula>"J"</formula>
    </cfRule>
  </conditionalFormatting>
  <conditionalFormatting sqref="D32">
    <cfRule type="cellIs" dxfId="807" priority="17" operator="equal">
      <formula>"NI"</formula>
    </cfRule>
    <cfRule type="cellIs" dxfId="806" priority="18" operator="equal">
      <formula>"N"</formula>
    </cfRule>
    <cfRule type="cellIs" dxfId="805" priority="19" operator="equal">
      <formula>"P"</formula>
    </cfRule>
    <cfRule type="cellIs" dxfId="804" priority="20" operator="equal">
      <formula>"J"</formula>
    </cfRule>
  </conditionalFormatting>
  <conditionalFormatting sqref="E9:E11 E13:E17 E19:E24 E26:E28 E30:E31">
    <cfRule type="cellIs" dxfId="803" priority="13" operator="equal">
      <formula>"NI"</formula>
    </cfRule>
    <cfRule type="cellIs" dxfId="802" priority="14" operator="equal">
      <formula>"N"</formula>
    </cfRule>
    <cfRule type="cellIs" dxfId="801" priority="15" operator="equal">
      <formula>"P"</formula>
    </cfRule>
    <cfRule type="cellIs" dxfId="800" priority="16" operator="equal">
      <formula>"J"</formula>
    </cfRule>
  </conditionalFormatting>
  <conditionalFormatting sqref="E32">
    <cfRule type="cellIs" dxfId="799" priority="9" operator="equal">
      <formula>"NI"</formula>
    </cfRule>
    <cfRule type="cellIs" dxfId="798" priority="10" operator="equal">
      <formula>"N"</formula>
    </cfRule>
    <cfRule type="cellIs" dxfId="797" priority="11" operator="equal">
      <formula>"P"</formula>
    </cfRule>
    <cfRule type="cellIs" dxfId="796" priority="12" operator="equal">
      <formula>"J"</formula>
    </cfRule>
  </conditionalFormatting>
  <conditionalFormatting sqref="F9:F11 F13:F17 F19:F24 F26:F28 F30:F31">
    <cfRule type="cellIs" dxfId="795" priority="5" operator="equal">
      <formula>"NI"</formula>
    </cfRule>
    <cfRule type="cellIs" dxfId="794" priority="6" operator="equal">
      <formula>"N"</formula>
    </cfRule>
    <cfRule type="cellIs" dxfId="793" priority="7" operator="equal">
      <formula>"P"</formula>
    </cfRule>
    <cfRule type="cellIs" dxfId="792" priority="8" operator="equal">
      <formula>"J"</formula>
    </cfRule>
  </conditionalFormatting>
  <conditionalFormatting sqref="F32">
    <cfRule type="cellIs" dxfId="791" priority="1" operator="equal">
      <formula>"NI"</formula>
    </cfRule>
    <cfRule type="cellIs" dxfId="790" priority="2" operator="equal">
      <formula>"N"</formula>
    </cfRule>
    <cfRule type="cellIs" dxfId="789" priority="3" operator="equal">
      <formula>"P"</formula>
    </cfRule>
    <cfRule type="cellIs" dxfId="788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3" sqref="S13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292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0.57916666666666672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0.42499999999999999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0.62708333333333333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196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Q24:U24"/>
    <mergeCell ref="K5:O5"/>
    <mergeCell ref="Q31:U31"/>
  </mergeCells>
  <conditionalFormatting sqref="M27:N29 M31:N31">
    <cfRule type="cellIs" dxfId="787" priority="157" operator="equal">
      <formula>"NI"</formula>
    </cfRule>
    <cfRule type="cellIs" dxfId="786" priority="158" operator="equal">
      <formula>"N"</formula>
    </cfRule>
    <cfRule type="cellIs" dxfId="785" priority="159" operator="equal">
      <formula>"P"</formula>
    </cfRule>
    <cfRule type="cellIs" dxfId="784" priority="160" operator="equal">
      <formula>"J"</formula>
    </cfRule>
  </conditionalFormatting>
  <conditionalFormatting sqref="M32:M33">
    <cfRule type="cellIs" dxfId="783" priority="161" operator="equal">
      <formula>"NI"</formula>
    </cfRule>
    <cfRule type="cellIs" dxfId="782" priority="162" operator="equal">
      <formula>"N"</formula>
    </cfRule>
    <cfRule type="cellIs" dxfId="781" priority="163" operator="equal">
      <formula>"P"</formula>
    </cfRule>
    <cfRule type="cellIs" dxfId="780" priority="164" operator="equal">
      <formula>"J"</formula>
    </cfRule>
  </conditionalFormatting>
  <conditionalFormatting sqref="M9:M10">
    <cfRule type="cellIs" dxfId="779" priority="165" operator="equal">
      <formula>"NI"</formula>
    </cfRule>
    <cfRule type="cellIs" dxfId="778" priority="166" operator="equal">
      <formula>"N"</formula>
    </cfRule>
    <cfRule type="cellIs" dxfId="777" priority="167" operator="equal">
      <formula>"P"</formula>
    </cfRule>
    <cfRule type="cellIs" dxfId="776" priority="168" operator="equal">
      <formula>"J"</formula>
    </cfRule>
  </conditionalFormatting>
  <conditionalFormatting sqref="M11">
    <cfRule type="cellIs" dxfId="775" priority="169" operator="equal">
      <formula>"NI"</formula>
    </cfRule>
    <cfRule type="cellIs" dxfId="774" priority="170" operator="equal">
      <formula>"N"</formula>
    </cfRule>
    <cfRule type="cellIs" dxfId="773" priority="171" operator="equal">
      <formula>"P"</formula>
    </cfRule>
    <cfRule type="cellIs" dxfId="772" priority="172" operator="equal">
      <formula>"J"</formula>
    </cfRule>
  </conditionalFormatting>
  <conditionalFormatting sqref="M13:N18">
    <cfRule type="cellIs" dxfId="771" priority="173" operator="equal">
      <formula>"NI"</formula>
    </cfRule>
    <cfRule type="cellIs" dxfId="770" priority="174" operator="equal">
      <formula>"N"</formula>
    </cfRule>
    <cfRule type="cellIs" dxfId="769" priority="175" operator="equal">
      <formula>"P"</formula>
    </cfRule>
    <cfRule type="cellIs" dxfId="768" priority="176" operator="equal">
      <formula>"J"</formula>
    </cfRule>
  </conditionalFormatting>
  <conditionalFormatting sqref="M20:N25">
    <cfRule type="cellIs" dxfId="767" priority="177" operator="equal">
      <formula>"NI"</formula>
    </cfRule>
    <cfRule type="cellIs" dxfId="766" priority="178" operator="equal">
      <formula>"N"</formula>
    </cfRule>
    <cfRule type="cellIs" dxfId="765" priority="179" operator="equal">
      <formula>"P"</formula>
    </cfRule>
    <cfRule type="cellIs" dxfId="764" priority="180" operator="equal">
      <formula>"J"</formula>
    </cfRule>
  </conditionalFormatting>
  <conditionalFormatting sqref="N32:N33">
    <cfRule type="cellIs" dxfId="763" priority="181" operator="equal">
      <formula>"NI"</formula>
    </cfRule>
    <cfRule type="cellIs" dxfId="762" priority="182" operator="equal">
      <formula>"N"</formula>
    </cfRule>
    <cfRule type="cellIs" dxfId="761" priority="183" operator="equal">
      <formula>"P"</formula>
    </cfRule>
    <cfRule type="cellIs" dxfId="760" priority="184" operator="equal">
      <formula>"J"</formula>
    </cfRule>
  </conditionalFormatting>
  <conditionalFormatting sqref="N9:N11">
    <cfRule type="cellIs" dxfId="759" priority="185" operator="equal">
      <formula>"NI"</formula>
    </cfRule>
    <cfRule type="cellIs" dxfId="758" priority="186" operator="equal">
      <formula>"N"</formula>
    </cfRule>
    <cfRule type="cellIs" dxfId="757" priority="187" operator="equal">
      <formula>"P"</formula>
    </cfRule>
    <cfRule type="cellIs" dxfId="756" priority="188" operator="equal">
      <formula>"J"</formula>
    </cfRule>
  </conditionalFormatting>
  <conditionalFormatting sqref="O9:O11 O13:O18 O20:O25 O27:O29 O31:O33">
    <cfRule type="cellIs" dxfId="755" priority="189" operator="equal">
      <formula>"NI"</formula>
    </cfRule>
    <cfRule type="cellIs" dxfId="754" priority="190" operator="equal">
      <formula>"N"</formula>
    </cfRule>
    <cfRule type="cellIs" dxfId="753" priority="191" operator="equal">
      <formula>"P"</formula>
    </cfRule>
    <cfRule type="cellIs" dxfId="752" priority="192" operator="equal">
      <formula>"J"</formula>
    </cfRule>
  </conditionalFormatting>
  <conditionalFormatting sqref="G9:G11 G13:G18 G20:G25 G27:G29 G31:G33">
    <cfRule type="cellIs" dxfId="751" priority="57" operator="equal">
      <formula>"NI"</formula>
    </cfRule>
    <cfRule type="cellIs" dxfId="750" priority="58" operator="equal">
      <formula>"N"</formula>
    </cfRule>
    <cfRule type="cellIs" dxfId="749" priority="59" operator="equal">
      <formula>"P"</formula>
    </cfRule>
    <cfRule type="cellIs" dxfId="748" priority="60" operator="equal">
      <formula>"J"</formula>
    </cfRule>
  </conditionalFormatting>
  <conditionalFormatting sqref="H9:H11 H13:H18 H20:H25 H27:H29 H31:H33">
    <cfRule type="cellIs" dxfId="747" priority="53" operator="equal">
      <formula>"NI"</formula>
    </cfRule>
    <cfRule type="cellIs" dxfId="746" priority="54" operator="equal">
      <formula>"N"</formula>
    </cfRule>
    <cfRule type="cellIs" dxfId="745" priority="55" operator="equal">
      <formula>"P"</formula>
    </cfRule>
    <cfRule type="cellIs" dxfId="744" priority="56" operator="equal">
      <formula>"J"</formula>
    </cfRule>
  </conditionalFormatting>
  <conditionalFormatting sqref="I9:I11 I13:I18 I20:I25 I27:I29 I31:I32">
    <cfRule type="cellIs" dxfId="743" priority="49" operator="equal">
      <formula>"NI"</formula>
    </cfRule>
    <cfRule type="cellIs" dxfId="742" priority="50" operator="equal">
      <formula>"N"</formula>
    </cfRule>
    <cfRule type="cellIs" dxfId="741" priority="51" operator="equal">
      <formula>"P"</formula>
    </cfRule>
    <cfRule type="cellIs" dxfId="740" priority="52" operator="equal">
      <formula>"J"</formula>
    </cfRule>
  </conditionalFormatting>
  <conditionalFormatting sqref="I33">
    <cfRule type="cellIs" dxfId="739" priority="45" operator="equal">
      <formula>"NI"</formula>
    </cfRule>
    <cfRule type="cellIs" dxfId="738" priority="46" operator="equal">
      <formula>"N"</formula>
    </cfRule>
    <cfRule type="cellIs" dxfId="737" priority="47" operator="equal">
      <formula>"P"</formula>
    </cfRule>
    <cfRule type="cellIs" dxfId="736" priority="48" operator="equal">
      <formula>"J"</formula>
    </cfRule>
  </conditionalFormatting>
  <conditionalFormatting sqref="J9:J11 J13:J18 J20:J25 J27:J29 J31:J33">
    <cfRule type="cellIs" dxfId="735" priority="41" operator="equal">
      <formula>"NI"</formula>
    </cfRule>
    <cfRule type="cellIs" dxfId="734" priority="42" operator="equal">
      <formula>"N"</formula>
    </cfRule>
    <cfRule type="cellIs" dxfId="733" priority="43" operator="equal">
      <formula>"P"</formula>
    </cfRule>
    <cfRule type="cellIs" dxfId="732" priority="44" operator="equal">
      <formula>"J"</formula>
    </cfRule>
  </conditionalFormatting>
  <conditionalFormatting sqref="K9:K11 K13:K18 K20:K25 K27:K29 K31:K33">
    <cfRule type="cellIs" dxfId="731" priority="37" operator="equal">
      <formula>"NI"</formula>
    </cfRule>
    <cfRule type="cellIs" dxfId="730" priority="38" operator="equal">
      <formula>"N"</formula>
    </cfRule>
    <cfRule type="cellIs" dxfId="729" priority="39" operator="equal">
      <formula>"P"</formula>
    </cfRule>
    <cfRule type="cellIs" dxfId="728" priority="40" operator="equal">
      <formula>"J"</formula>
    </cfRule>
  </conditionalFormatting>
  <conditionalFormatting sqref="L9:L11 L13:L16 L18 L20:L25 L27:L29 L32">
    <cfRule type="cellIs" dxfId="727" priority="33" operator="equal">
      <formula>"NI"</formula>
    </cfRule>
    <cfRule type="cellIs" dxfId="726" priority="34" operator="equal">
      <formula>"N"</formula>
    </cfRule>
    <cfRule type="cellIs" dxfId="725" priority="35" operator="equal">
      <formula>"P"</formula>
    </cfRule>
    <cfRule type="cellIs" dxfId="724" priority="36" operator="equal">
      <formula>"J"</formula>
    </cfRule>
  </conditionalFormatting>
  <conditionalFormatting sqref="L17">
    <cfRule type="cellIs" dxfId="723" priority="29" operator="equal">
      <formula>"NI"</formula>
    </cfRule>
    <cfRule type="cellIs" dxfId="722" priority="30" operator="equal">
      <formula>"N"</formula>
    </cfRule>
    <cfRule type="cellIs" dxfId="721" priority="31" operator="equal">
      <formula>"P"</formula>
    </cfRule>
    <cfRule type="cellIs" dxfId="720" priority="32" operator="equal">
      <formula>"J"</formula>
    </cfRule>
  </conditionalFormatting>
  <conditionalFormatting sqref="L31">
    <cfRule type="cellIs" dxfId="719" priority="25" operator="equal">
      <formula>"NI"</formula>
    </cfRule>
    <cfRule type="cellIs" dxfId="718" priority="26" operator="equal">
      <formula>"N"</formula>
    </cfRule>
    <cfRule type="cellIs" dxfId="717" priority="27" operator="equal">
      <formula>"P"</formula>
    </cfRule>
    <cfRule type="cellIs" dxfId="716" priority="28" operator="equal">
      <formula>"J"</formula>
    </cfRule>
  </conditionalFormatting>
  <conditionalFormatting sqref="L33">
    <cfRule type="cellIs" dxfId="715" priority="21" operator="equal">
      <formula>"NI"</formula>
    </cfRule>
    <cfRule type="cellIs" dxfId="714" priority="22" operator="equal">
      <formula>"N"</formula>
    </cfRule>
    <cfRule type="cellIs" dxfId="713" priority="23" operator="equal">
      <formula>"P"</formula>
    </cfRule>
    <cfRule type="cellIs" dxfId="712" priority="24" operator="equal">
      <formula>"J"</formula>
    </cfRule>
  </conditionalFormatting>
  <conditionalFormatting sqref="D9:D11 D13:D18 D20:D25 D27:D29 D31:D33">
    <cfRule type="cellIs" dxfId="711" priority="17" operator="equal">
      <formula>"NI"</formula>
    </cfRule>
    <cfRule type="cellIs" dxfId="710" priority="18" operator="equal">
      <formula>"N"</formula>
    </cfRule>
    <cfRule type="cellIs" dxfId="709" priority="19" operator="equal">
      <formula>"P"</formula>
    </cfRule>
    <cfRule type="cellIs" dxfId="708" priority="20" operator="equal">
      <formula>"J"</formula>
    </cfRule>
  </conditionalFormatting>
  <conditionalFormatting sqref="E9:E11 E13:E18 E20:E25 E27:E29 E32:E33">
    <cfRule type="cellIs" dxfId="707" priority="13" operator="equal">
      <formula>"NI"</formula>
    </cfRule>
    <cfRule type="cellIs" dxfId="706" priority="14" operator="equal">
      <formula>"N"</formula>
    </cfRule>
    <cfRule type="cellIs" dxfId="705" priority="15" operator="equal">
      <formula>"P"</formula>
    </cfRule>
    <cfRule type="cellIs" dxfId="704" priority="16" operator="equal">
      <formula>"J"</formula>
    </cfRule>
  </conditionalFormatting>
  <conditionalFormatting sqref="E31">
    <cfRule type="cellIs" dxfId="703" priority="9" operator="equal">
      <formula>"NI"</formula>
    </cfRule>
    <cfRule type="cellIs" dxfId="702" priority="10" operator="equal">
      <formula>"N"</formula>
    </cfRule>
    <cfRule type="cellIs" dxfId="701" priority="11" operator="equal">
      <formula>"P"</formula>
    </cfRule>
    <cfRule type="cellIs" dxfId="700" priority="12" operator="equal">
      <formula>"J"</formula>
    </cfRule>
  </conditionalFormatting>
  <conditionalFormatting sqref="F9:F11 F13:F18 F20:F25 F27:F29 F32:F33">
    <cfRule type="cellIs" dxfId="699" priority="5" operator="equal">
      <formula>"NI"</formula>
    </cfRule>
    <cfRule type="cellIs" dxfId="698" priority="6" operator="equal">
      <formula>"N"</formula>
    </cfRule>
    <cfRule type="cellIs" dxfId="697" priority="7" operator="equal">
      <formula>"P"</formula>
    </cfRule>
    <cfRule type="cellIs" dxfId="696" priority="8" operator="equal">
      <formula>"J"</formula>
    </cfRule>
  </conditionalFormatting>
  <conditionalFormatting sqref="F31">
    <cfRule type="cellIs" dxfId="695" priority="1" operator="equal">
      <formula>"NI"</formula>
    </cfRule>
    <cfRule type="cellIs" dxfId="694" priority="2" operator="equal">
      <formula>"N"</formula>
    </cfRule>
    <cfRule type="cellIs" dxfId="693" priority="3" operator="equal">
      <formula>"P"</formula>
    </cfRule>
    <cfRule type="cellIs" dxfId="69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R14" sqref="R14"/>
    </sheetView>
  </sheetViews>
  <sheetFormatPr defaultColWidth="12.625" defaultRowHeight="15" x14ac:dyDescent="0.25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  <col min="1025" max="1031" width="12.625" style="178" customWidth="1"/>
    <col min="1032" max="16384" width="12.625" style="178"/>
  </cols>
  <sheetData>
    <row r="1" spans="1:23" ht="3.75" customHeight="1" x14ac:dyDescent="0.25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5"/>
    <row r="4" spans="1:23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x14ac:dyDescent="0.25">
      <c r="A5" s="431" t="s">
        <v>246</v>
      </c>
      <c r="B5" s="426"/>
      <c r="C5" s="302" t="s">
        <v>294</v>
      </c>
      <c r="E5" s="196" t="s">
        <v>171</v>
      </c>
      <c r="K5" s="425" t="s">
        <v>270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0.57986111111111116</v>
      </c>
      <c r="T8" s="151" t="s">
        <v>213</v>
      </c>
      <c r="V8" s="215" t="s">
        <v>196</v>
      </c>
      <c r="W8" s="208" t="s">
        <v>197</v>
      </c>
    </row>
    <row r="9" spans="1:23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0.42499999999999999</v>
      </c>
      <c r="T9" s="151" t="s">
        <v>325</v>
      </c>
      <c r="V9" s="215" t="s">
        <v>200</v>
      </c>
      <c r="W9" s="208" t="s">
        <v>201</v>
      </c>
    </row>
    <row r="10" spans="1:23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0.62916666666666665</v>
      </c>
      <c r="T10" s="151" t="s">
        <v>213</v>
      </c>
      <c r="V10" s="209" t="s">
        <v>204</v>
      </c>
      <c r="W10" s="208" t="s">
        <v>205</v>
      </c>
    </row>
    <row r="11" spans="1:23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5">
      <c r="A35" s="179" t="s">
        <v>241</v>
      </c>
    </row>
    <row r="36" spans="1:21" ht="15.75" customHeight="1" x14ac:dyDescent="0.25"/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M27:N29 M31:N31">
    <cfRule type="cellIs" dxfId="691" priority="137" operator="equal">
      <formula>"NI"</formula>
    </cfRule>
    <cfRule type="cellIs" dxfId="690" priority="138" operator="equal">
      <formula>"N"</formula>
    </cfRule>
    <cfRule type="cellIs" dxfId="689" priority="139" operator="equal">
      <formula>"P"</formula>
    </cfRule>
    <cfRule type="cellIs" dxfId="688" priority="140" operator="equal">
      <formula>"J"</formula>
    </cfRule>
  </conditionalFormatting>
  <conditionalFormatting sqref="M32:M33">
    <cfRule type="cellIs" dxfId="687" priority="141" operator="equal">
      <formula>"NI"</formula>
    </cfRule>
    <cfRule type="cellIs" dxfId="686" priority="142" operator="equal">
      <formula>"N"</formula>
    </cfRule>
    <cfRule type="cellIs" dxfId="685" priority="143" operator="equal">
      <formula>"P"</formula>
    </cfRule>
    <cfRule type="cellIs" dxfId="684" priority="144" operator="equal">
      <formula>"J"</formula>
    </cfRule>
  </conditionalFormatting>
  <conditionalFormatting sqref="M9:M10">
    <cfRule type="cellIs" dxfId="683" priority="145" operator="equal">
      <formula>"NI"</formula>
    </cfRule>
    <cfRule type="cellIs" dxfId="682" priority="146" operator="equal">
      <formula>"N"</formula>
    </cfRule>
    <cfRule type="cellIs" dxfId="681" priority="147" operator="equal">
      <formula>"P"</formula>
    </cfRule>
    <cfRule type="cellIs" dxfId="680" priority="148" operator="equal">
      <formula>"J"</formula>
    </cfRule>
  </conditionalFormatting>
  <conditionalFormatting sqref="M11">
    <cfRule type="cellIs" dxfId="679" priority="149" operator="equal">
      <formula>"NI"</formula>
    </cfRule>
    <cfRule type="cellIs" dxfId="678" priority="150" operator="equal">
      <formula>"N"</formula>
    </cfRule>
    <cfRule type="cellIs" dxfId="677" priority="151" operator="equal">
      <formula>"P"</formula>
    </cfRule>
    <cfRule type="cellIs" dxfId="676" priority="152" operator="equal">
      <formula>"J"</formula>
    </cfRule>
  </conditionalFormatting>
  <conditionalFormatting sqref="M13:N18">
    <cfRule type="cellIs" dxfId="675" priority="153" operator="equal">
      <formula>"NI"</formula>
    </cfRule>
    <cfRule type="cellIs" dxfId="674" priority="154" operator="equal">
      <formula>"N"</formula>
    </cfRule>
    <cfRule type="cellIs" dxfId="673" priority="155" operator="equal">
      <formula>"P"</formula>
    </cfRule>
    <cfRule type="cellIs" dxfId="672" priority="156" operator="equal">
      <formula>"J"</formula>
    </cfRule>
  </conditionalFormatting>
  <conditionalFormatting sqref="M20:N25">
    <cfRule type="cellIs" dxfId="671" priority="157" operator="equal">
      <formula>"NI"</formula>
    </cfRule>
    <cfRule type="cellIs" dxfId="670" priority="158" operator="equal">
      <formula>"N"</formula>
    </cfRule>
    <cfRule type="cellIs" dxfId="669" priority="159" operator="equal">
      <formula>"P"</formula>
    </cfRule>
    <cfRule type="cellIs" dxfId="668" priority="160" operator="equal">
      <formula>"J"</formula>
    </cfRule>
  </conditionalFormatting>
  <conditionalFormatting sqref="N32:N33">
    <cfRule type="cellIs" dxfId="667" priority="161" operator="equal">
      <formula>"NI"</formula>
    </cfRule>
    <cfRule type="cellIs" dxfId="666" priority="162" operator="equal">
      <formula>"N"</formula>
    </cfRule>
    <cfRule type="cellIs" dxfId="665" priority="163" operator="equal">
      <formula>"P"</formula>
    </cfRule>
    <cfRule type="cellIs" dxfId="664" priority="164" operator="equal">
      <formula>"J"</formula>
    </cfRule>
  </conditionalFormatting>
  <conditionalFormatting sqref="N9:N11">
    <cfRule type="cellIs" dxfId="663" priority="165" operator="equal">
      <formula>"NI"</formula>
    </cfRule>
    <cfRule type="cellIs" dxfId="662" priority="166" operator="equal">
      <formula>"N"</formula>
    </cfRule>
    <cfRule type="cellIs" dxfId="661" priority="167" operator="equal">
      <formula>"P"</formula>
    </cfRule>
    <cfRule type="cellIs" dxfId="660" priority="168" operator="equal">
      <formula>"J"</formula>
    </cfRule>
  </conditionalFormatting>
  <conditionalFormatting sqref="O9:O11 O13:O18 O20:O25 O27:O29 O31:O33">
    <cfRule type="cellIs" dxfId="659" priority="169" operator="equal">
      <formula>"NI"</formula>
    </cfRule>
    <cfRule type="cellIs" dxfId="658" priority="170" operator="equal">
      <formula>"N"</formula>
    </cfRule>
    <cfRule type="cellIs" dxfId="657" priority="171" operator="equal">
      <formula>"P"</formula>
    </cfRule>
    <cfRule type="cellIs" dxfId="656" priority="172" operator="equal">
      <formula>"J"</formula>
    </cfRule>
  </conditionalFormatting>
  <conditionalFormatting sqref="G9:G11 G13:G18 G20:G25 G27:G29 G31:G33">
    <cfRule type="cellIs" dxfId="655" priority="69" operator="equal">
      <formula>"NI"</formula>
    </cfRule>
    <cfRule type="cellIs" dxfId="654" priority="70" operator="equal">
      <formula>"N"</formula>
    </cfRule>
    <cfRule type="cellIs" dxfId="653" priority="71" operator="equal">
      <formula>"P"</formula>
    </cfRule>
    <cfRule type="cellIs" dxfId="652" priority="72" operator="equal">
      <formula>"J"</formula>
    </cfRule>
  </conditionalFormatting>
  <conditionalFormatting sqref="H9:H11 H13:H18 H20:H25 H27:H29 H31:H33">
    <cfRule type="cellIs" dxfId="651" priority="65" operator="equal">
      <formula>"NI"</formula>
    </cfRule>
    <cfRule type="cellIs" dxfId="650" priority="66" operator="equal">
      <formula>"N"</formula>
    </cfRule>
    <cfRule type="cellIs" dxfId="649" priority="67" operator="equal">
      <formula>"P"</formula>
    </cfRule>
    <cfRule type="cellIs" dxfId="648" priority="68" operator="equal">
      <formula>"J"</formula>
    </cfRule>
  </conditionalFormatting>
  <conditionalFormatting sqref="I9:I11 I13:I18 I20:I25 I27:I29 I31:I32">
    <cfRule type="cellIs" dxfId="647" priority="61" operator="equal">
      <formula>"NI"</formula>
    </cfRule>
    <cfRule type="cellIs" dxfId="646" priority="62" operator="equal">
      <formula>"N"</formula>
    </cfRule>
    <cfRule type="cellIs" dxfId="645" priority="63" operator="equal">
      <formula>"P"</formula>
    </cfRule>
    <cfRule type="cellIs" dxfId="644" priority="64" operator="equal">
      <formula>"J"</formula>
    </cfRule>
  </conditionalFormatting>
  <conditionalFormatting sqref="I33">
    <cfRule type="cellIs" dxfId="643" priority="57" operator="equal">
      <formula>"NI"</formula>
    </cfRule>
    <cfRule type="cellIs" dxfId="642" priority="58" operator="equal">
      <formula>"N"</formula>
    </cfRule>
    <cfRule type="cellIs" dxfId="641" priority="59" operator="equal">
      <formula>"P"</formula>
    </cfRule>
    <cfRule type="cellIs" dxfId="640" priority="60" operator="equal">
      <formula>"J"</formula>
    </cfRule>
  </conditionalFormatting>
  <conditionalFormatting sqref="J9:J11 J13:J18 J20:J25 J27:J29 J31:J33">
    <cfRule type="cellIs" dxfId="639" priority="53" operator="equal">
      <formula>"NI"</formula>
    </cfRule>
    <cfRule type="cellIs" dxfId="638" priority="54" operator="equal">
      <formula>"N"</formula>
    </cfRule>
    <cfRule type="cellIs" dxfId="637" priority="55" operator="equal">
      <formula>"P"</formula>
    </cfRule>
    <cfRule type="cellIs" dxfId="636" priority="56" operator="equal">
      <formula>"J"</formula>
    </cfRule>
  </conditionalFormatting>
  <conditionalFormatting sqref="K9:K11 K13:K18 K20:K25 K27:K29 K31:K33">
    <cfRule type="cellIs" dxfId="635" priority="49" operator="equal">
      <formula>"NI"</formula>
    </cfRule>
    <cfRule type="cellIs" dxfId="634" priority="50" operator="equal">
      <formula>"N"</formula>
    </cfRule>
    <cfRule type="cellIs" dxfId="633" priority="51" operator="equal">
      <formula>"P"</formula>
    </cfRule>
    <cfRule type="cellIs" dxfId="632" priority="52" operator="equal">
      <formula>"J"</formula>
    </cfRule>
  </conditionalFormatting>
  <conditionalFormatting sqref="L9:L11 L13:L16 L18 L20:L25 L27:L29">
    <cfRule type="cellIs" dxfId="631" priority="45" operator="equal">
      <formula>"NI"</formula>
    </cfRule>
    <cfRule type="cellIs" dxfId="630" priority="46" operator="equal">
      <formula>"N"</formula>
    </cfRule>
    <cfRule type="cellIs" dxfId="629" priority="47" operator="equal">
      <formula>"P"</formula>
    </cfRule>
    <cfRule type="cellIs" dxfId="628" priority="48" operator="equal">
      <formula>"J"</formula>
    </cfRule>
  </conditionalFormatting>
  <conditionalFormatting sqref="L17">
    <cfRule type="cellIs" dxfId="627" priority="41" operator="equal">
      <formula>"NI"</formula>
    </cfRule>
    <cfRule type="cellIs" dxfId="626" priority="42" operator="equal">
      <formula>"N"</formula>
    </cfRule>
    <cfRule type="cellIs" dxfId="625" priority="43" operator="equal">
      <formula>"P"</formula>
    </cfRule>
    <cfRule type="cellIs" dxfId="624" priority="44" operator="equal">
      <formula>"J"</formula>
    </cfRule>
  </conditionalFormatting>
  <conditionalFormatting sqref="L31:L32">
    <cfRule type="cellIs" dxfId="623" priority="37" operator="equal">
      <formula>"NI"</formula>
    </cfRule>
    <cfRule type="cellIs" dxfId="622" priority="38" operator="equal">
      <formula>"N"</formula>
    </cfRule>
    <cfRule type="cellIs" dxfId="621" priority="39" operator="equal">
      <formula>"P"</formula>
    </cfRule>
    <cfRule type="cellIs" dxfId="620" priority="40" operator="equal">
      <formula>"J"</formula>
    </cfRule>
  </conditionalFormatting>
  <conditionalFormatting sqref="L33">
    <cfRule type="cellIs" dxfId="619" priority="33" operator="equal">
      <formula>"NI"</formula>
    </cfRule>
    <cfRule type="cellIs" dxfId="618" priority="34" operator="equal">
      <formula>"N"</formula>
    </cfRule>
    <cfRule type="cellIs" dxfId="617" priority="35" operator="equal">
      <formula>"P"</formula>
    </cfRule>
    <cfRule type="cellIs" dxfId="616" priority="36" operator="equal">
      <formula>"J"</formula>
    </cfRule>
  </conditionalFormatting>
  <conditionalFormatting sqref="D9:D11 D13:D18 D20:D25 D27:D29 D31:D32">
    <cfRule type="cellIs" dxfId="615" priority="29" operator="equal">
      <formula>"NI"</formula>
    </cfRule>
    <cfRule type="cellIs" dxfId="614" priority="30" operator="equal">
      <formula>"N"</formula>
    </cfRule>
    <cfRule type="cellIs" dxfId="613" priority="31" operator="equal">
      <formula>"P"</formula>
    </cfRule>
    <cfRule type="cellIs" dxfId="612" priority="32" operator="equal">
      <formula>"J"</formula>
    </cfRule>
  </conditionalFormatting>
  <conditionalFormatting sqref="D33">
    <cfRule type="cellIs" dxfId="611" priority="25" operator="equal">
      <formula>"NI"</formula>
    </cfRule>
    <cfRule type="cellIs" dxfId="610" priority="26" operator="equal">
      <formula>"N"</formula>
    </cfRule>
    <cfRule type="cellIs" dxfId="609" priority="27" operator="equal">
      <formula>"P"</formula>
    </cfRule>
    <cfRule type="cellIs" dxfId="608" priority="28" operator="equal">
      <formula>"J"</formula>
    </cfRule>
  </conditionalFormatting>
  <conditionalFormatting sqref="E9:E11 E13:E18 E20:E25 E27:E29 E32">
    <cfRule type="cellIs" dxfId="607" priority="21" operator="equal">
      <formula>"NI"</formula>
    </cfRule>
    <cfRule type="cellIs" dxfId="606" priority="22" operator="equal">
      <formula>"N"</formula>
    </cfRule>
    <cfRule type="cellIs" dxfId="605" priority="23" operator="equal">
      <formula>"P"</formula>
    </cfRule>
    <cfRule type="cellIs" dxfId="604" priority="24" operator="equal">
      <formula>"J"</formula>
    </cfRule>
  </conditionalFormatting>
  <conditionalFormatting sqref="E31">
    <cfRule type="cellIs" dxfId="603" priority="17" operator="equal">
      <formula>"NI"</formula>
    </cfRule>
    <cfRule type="cellIs" dxfId="602" priority="18" operator="equal">
      <formula>"N"</formula>
    </cfRule>
    <cfRule type="cellIs" dxfId="601" priority="19" operator="equal">
      <formula>"P"</formula>
    </cfRule>
    <cfRule type="cellIs" dxfId="600" priority="20" operator="equal">
      <formula>"J"</formula>
    </cfRule>
  </conditionalFormatting>
  <conditionalFormatting sqref="E33">
    <cfRule type="cellIs" dxfId="599" priority="13" operator="equal">
      <formula>"NI"</formula>
    </cfRule>
    <cfRule type="cellIs" dxfId="598" priority="14" operator="equal">
      <formula>"N"</formula>
    </cfRule>
    <cfRule type="cellIs" dxfId="597" priority="15" operator="equal">
      <formula>"P"</formula>
    </cfRule>
    <cfRule type="cellIs" dxfId="596" priority="16" operator="equal">
      <formula>"J"</formula>
    </cfRule>
  </conditionalFormatting>
  <conditionalFormatting sqref="F9:F11 F13:F18 F20:F25 F27:F29 F32">
    <cfRule type="cellIs" dxfId="595" priority="9" operator="equal">
      <formula>"NI"</formula>
    </cfRule>
    <cfRule type="cellIs" dxfId="594" priority="10" operator="equal">
      <formula>"N"</formula>
    </cfRule>
    <cfRule type="cellIs" dxfId="593" priority="11" operator="equal">
      <formula>"P"</formula>
    </cfRule>
    <cfRule type="cellIs" dxfId="592" priority="12" operator="equal">
      <formula>"J"</formula>
    </cfRule>
  </conditionalFormatting>
  <conditionalFormatting sqref="F31">
    <cfRule type="cellIs" dxfId="591" priority="5" operator="equal">
      <formula>"NI"</formula>
    </cfRule>
    <cfRule type="cellIs" dxfId="590" priority="6" operator="equal">
      <formula>"N"</formula>
    </cfRule>
    <cfRule type="cellIs" dxfId="589" priority="7" operator="equal">
      <formula>"P"</formula>
    </cfRule>
    <cfRule type="cellIs" dxfId="588" priority="8" operator="equal">
      <formula>"J"</formula>
    </cfRule>
  </conditionalFormatting>
  <conditionalFormatting sqref="F33">
    <cfRule type="cellIs" dxfId="587" priority="1" operator="equal">
      <formula>"NI"</formula>
    </cfRule>
    <cfRule type="cellIs" dxfId="586" priority="2" operator="equal">
      <formula>"N"</formula>
    </cfRule>
    <cfRule type="cellIs" dxfId="585" priority="3" operator="equal">
      <formula>"P"</formula>
    </cfRule>
    <cfRule type="cellIs" dxfId="58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S13" sqref="S13:S14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296</v>
      </c>
      <c r="E5" s="196" t="s">
        <v>171</v>
      </c>
      <c r="K5" s="425" t="s">
        <v>297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0.5805555555555556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0.42708333333333331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0.63194444444444442</v>
      </c>
      <c r="T10" s="151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ht="15" customHeight="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196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ht="15" customHeight="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ht="15" customHeight="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 t="s">
        <v>330</v>
      </c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196</v>
      </c>
      <c r="E27" s="183" t="s">
        <v>196</v>
      </c>
      <c r="F27" s="183" t="s">
        <v>196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227"/>
      <c r="E33" s="227"/>
      <c r="F33" s="227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1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">
      <c r="A35" s="179" t="s">
        <v>241</v>
      </c>
    </row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G9:G11 G13:G18 G20:G25 G27:G29 G31:G33 M27:N29 M31:N31">
    <cfRule type="cellIs" dxfId="583" priority="185" operator="equal">
      <formula>"NI"</formula>
    </cfRule>
    <cfRule type="cellIs" dxfId="582" priority="186" operator="equal">
      <formula>"N"</formula>
    </cfRule>
    <cfRule type="cellIs" dxfId="581" priority="187" operator="equal">
      <formula>"P"</formula>
    </cfRule>
    <cfRule type="cellIs" dxfId="580" priority="188" operator="equal">
      <formula>"J"</formula>
    </cfRule>
  </conditionalFormatting>
  <conditionalFormatting sqref="M32:M33">
    <cfRule type="cellIs" dxfId="579" priority="189" operator="equal">
      <formula>"NI"</formula>
    </cfRule>
    <cfRule type="cellIs" dxfId="578" priority="190" operator="equal">
      <formula>"N"</formula>
    </cfRule>
    <cfRule type="cellIs" dxfId="577" priority="191" operator="equal">
      <formula>"P"</formula>
    </cfRule>
    <cfRule type="cellIs" dxfId="576" priority="192" operator="equal">
      <formula>"J"</formula>
    </cfRule>
  </conditionalFormatting>
  <conditionalFormatting sqref="M9:M10">
    <cfRule type="cellIs" dxfId="575" priority="193" operator="equal">
      <formula>"NI"</formula>
    </cfRule>
    <cfRule type="cellIs" dxfId="574" priority="194" operator="equal">
      <formula>"N"</formula>
    </cfRule>
    <cfRule type="cellIs" dxfId="573" priority="195" operator="equal">
      <formula>"P"</formula>
    </cfRule>
    <cfRule type="cellIs" dxfId="572" priority="196" operator="equal">
      <formula>"J"</formula>
    </cfRule>
  </conditionalFormatting>
  <conditionalFormatting sqref="M11">
    <cfRule type="cellIs" dxfId="571" priority="197" operator="equal">
      <formula>"NI"</formula>
    </cfRule>
    <cfRule type="cellIs" dxfId="570" priority="198" operator="equal">
      <formula>"N"</formula>
    </cfRule>
    <cfRule type="cellIs" dxfId="569" priority="199" operator="equal">
      <formula>"P"</formula>
    </cfRule>
    <cfRule type="cellIs" dxfId="568" priority="200" operator="equal">
      <formula>"J"</formula>
    </cfRule>
  </conditionalFormatting>
  <conditionalFormatting sqref="M13:N18">
    <cfRule type="cellIs" dxfId="567" priority="201" operator="equal">
      <formula>"NI"</formula>
    </cfRule>
    <cfRule type="cellIs" dxfId="566" priority="202" operator="equal">
      <formula>"N"</formula>
    </cfRule>
    <cfRule type="cellIs" dxfId="565" priority="203" operator="equal">
      <formula>"P"</formula>
    </cfRule>
    <cfRule type="cellIs" dxfId="564" priority="204" operator="equal">
      <formula>"J"</formula>
    </cfRule>
  </conditionalFormatting>
  <conditionalFormatting sqref="M20:N25">
    <cfRule type="cellIs" dxfId="563" priority="205" operator="equal">
      <formula>"NI"</formula>
    </cfRule>
    <cfRule type="cellIs" dxfId="562" priority="206" operator="equal">
      <formula>"N"</formula>
    </cfRule>
    <cfRule type="cellIs" dxfId="561" priority="207" operator="equal">
      <formula>"P"</formula>
    </cfRule>
    <cfRule type="cellIs" dxfId="560" priority="208" operator="equal">
      <formula>"J"</formula>
    </cfRule>
  </conditionalFormatting>
  <conditionalFormatting sqref="N32:N33">
    <cfRule type="cellIs" dxfId="559" priority="209" operator="equal">
      <formula>"NI"</formula>
    </cfRule>
    <cfRule type="cellIs" dxfId="558" priority="210" operator="equal">
      <formula>"N"</formula>
    </cfRule>
    <cfRule type="cellIs" dxfId="557" priority="211" operator="equal">
      <formula>"P"</formula>
    </cfRule>
    <cfRule type="cellIs" dxfId="556" priority="212" operator="equal">
      <formula>"J"</formula>
    </cfRule>
  </conditionalFormatting>
  <conditionalFormatting sqref="N9:N11">
    <cfRule type="cellIs" dxfId="555" priority="213" operator="equal">
      <formula>"NI"</formula>
    </cfRule>
    <cfRule type="cellIs" dxfId="554" priority="214" operator="equal">
      <formula>"N"</formula>
    </cfRule>
    <cfRule type="cellIs" dxfId="553" priority="215" operator="equal">
      <formula>"P"</formula>
    </cfRule>
    <cfRule type="cellIs" dxfId="552" priority="216" operator="equal">
      <formula>"J"</formula>
    </cfRule>
  </conditionalFormatting>
  <conditionalFormatting sqref="O9:O11 O13:O18 O20:O25 O27:O29 O31:O33">
    <cfRule type="cellIs" dxfId="551" priority="217" operator="equal">
      <formula>"NI"</formula>
    </cfRule>
    <cfRule type="cellIs" dxfId="550" priority="218" operator="equal">
      <formula>"N"</formula>
    </cfRule>
    <cfRule type="cellIs" dxfId="549" priority="219" operator="equal">
      <formula>"P"</formula>
    </cfRule>
    <cfRule type="cellIs" dxfId="548" priority="220" operator="equal">
      <formula>"J"</formula>
    </cfRule>
  </conditionalFormatting>
  <conditionalFormatting sqref="H9:H11 H13:H18 H20:H25 H27:H29 H31:H33">
    <cfRule type="cellIs" dxfId="547" priority="101" operator="equal">
      <formula>"NI"</formula>
    </cfRule>
    <cfRule type="cellIs" dxfId="546" priority="102" operator="equal">
      <formula>"N"</formula>
    </cfRule>
    <cfRule type="cellIs" dxfId="545" priority="103" operator="equal">
      <formula>"P"</formula>
    </cfRule>
    <cfRule type="cellIs" dxfId="544" priority="104" operator="equal">
      <formula>"J"</formula>
    </cfRule>
  </conditionalFormatting>
  <conditionalFormatting sqref="I9:I11 I13:I18 I20:I25 I27:I29 I31:I32">
    <cfRule type="cellIs" dxfId="543" priority="97" operator="equal">
      <formula>"NI"</formula>
    </cfRule>
    <cfRule type="cellIs" dxfId="542" priority="98" operator="equal">
      <formula>"N"</formula>
    </cfRule>
    <cfRule type="cellIs" dxfId="541" priority="99" operator="equal">
      <formula>"P"</formula>
    </cfRule>
    <cfRule type="cellIs" dxfId="540" priority="100" operator="equal">
      <formula>"J"</formula>
    </cfRule>
  </conditionalFormatting>
  <conditionalFormatting sqref="I33">
    <cfRule type="cellIs" dxfId="539" priority="93" operator="equal">
      <formula>"NI"</formula>
    </cfRule>
    <cfRule type="cellIs" dxfId="538" priority="94" operator="equal">
      <formula>"N"</formula>
    </cfRule>
    <cfRule type="cellIs" dxfId="537" priority="95" operator="equal">
      <formula>"P"</formula>
    </cfRule>
    <cfRule type="cellIs" dxfId="536" priority="96" operator="equal">
      <formula>"J"</formula>
    </cfRule>
  </conditionalFormatting>
  <conditionalFormatting sqref="J9:J11 J13:J18 J20:J25 J27:J29 J31:J33">
    <cfRule type="cellIs" dxfId="535" priority="89" operator="equal">
      <formula>"NI"</formula>
    </cfRule>
    <cfRule type="cellIs" dxfId="534" priority="90" operator="equal">
      <formula>"N"</formula>
    </cfRule>
    <cfRule type="cellIs" dxfId="533" priority="91" operator="equal">
      <formula>"P"</formula>
    </cfRule>
    <cfRule type="cellIs" dxfId="532" priority="92" operator="equal">
      <formula>"J"</formula>
    </cfRule>
  </conditionalFormatting>
  <conditionalFormatting sqref="K9:K11 K13:K18 K20:K25 K27:K29 K31:K33">
    <cfRule type="cellIs" dxfId="531" priority="85" operator="equal">
      <formula>"NI"</formula>
    </cfRule>
    <cfRule type="cellIs" dxfId="530" priority="86" operator="equal">
      <formula>"N"</formula>
    </cfRule>
    <cfRule type="cellIs" dxfId="529" priority="87" operator="equal">
      <formula>"P"</formula>
    </cfRule>
    <cfRule type="cellIs" dxfId="528" priority="88" operator="equal">
      <formula>"J"</formula>
    </cfRule>
  </conditionalFormatting>
  <conditionalFormatting sqref="L9:L11 L13:L16 L18 L20:L25 L27:L29 L32">
    <cfRule type="cellIs" dxfId="527" priority="81" operator="equal">
      <formula>"NI"</formula>
    </cfRule>
    <cfRule type="cellIs" dxfId="526" priority="82" operator="equal">
      <formula>"N"</formula>
    </cfRule>
    <cfRule type="cellIs" dxfId="525" priority="83" operator="equal">
      <formula>"P"</formula>
    </cfRule>
    <cfRule type="cellIs" dxfId="524" priority="84" operator="equal">
      <formula>"J"</formula>
    </cfRule>
  </conditionalFormatting>
  <conditionalFormatting sqref="L17">
    <cfRule type="cellIs" dxfId="523" priority="77" operator="equal">
      <formula>"NI"</formula>
    </cfRule>
    <cfRule type="cellIs" dxfId="522" priority="78" operator="equal">
      <formula>"N"</formula>
    </cfRule>
    <cfRule type="cellIs" dxfId="521" priority="79" operator="equal">
      <formula>"P"</formula>
    </cfRule>
    <cfRule type="cellIs" dxfId="520" priority="80" operator="equal">
      <formula>"J"</formula>
    </cfRule>
  </conditionalFormatting>
  <conditionalFormatting sqref="L31">
    <cfRule type="cellIs" dxfId="519" priority="73" operator="equal">
      <formula>"NI"</formula>
    </cfRule>
    <cfRule type="cellIs" dxfId="518" priority="74" operator="equal">
      <formula>"N"</formula>
    </cfRule>
    <cfRule type="cellIs" dxfId="517" priority="75" operator="equal">
      <formula>"P"</formula>
    </cfRule>
    <cfRule type="cellIs" dxfId="516" priority="76" operator="equal">
      <formula>"J"</formula>
    </cfRule>
  </conditionalFormatting>
  <conditionalFormatting sqref="L33">
    <cfRule type="cellIs" dxfId="515" priority="69" operator="equal">
      <formula>"NI"</formula>
    </cfRule>
    <cfRule type="cellIs" dxfId="514" priority="70" operator="equal">
      <formula>"N"</formula>
    </cfRule>
    <cfRule type="cellIs" dxfId="513" priority="71" operator="equal">
      <formula>"P"</formula>
    </cfRule>
    <cfRule type="cellIs" dxfId="512" priority="72" operator="equal">
      <formula>"J"</formula>
    </cfRule>
  </conditionalFormatting>
  <conditionalFormatting sqref="D9:D11 D13:D18 D31:D32">
    <cfRule type="cellIs" dxfId="511" priority="65" operator="equal">
      <formula>"NI"</formula>
    </cfRule>
    <cfRule type="cellIs" dxfId="510" priority="66" operator="equal">
      <formula>"N"</formula>
    </cfRule>
    <cfRule type="cellIs" dxfId="509" priority="67" operator="equal">
      <formula>"P"</formula>
    </cfRule>
    <cfRule type="cellIs" dxfId="508" priority="68" operator="equal">
      <formula>"J"</formula>
    </cfRule>
  </conditionalFormatting>
  <conditionalFormatting sqref="D33">
    <cfRule type="cellIs" dxfId="507" priority="61" operator="equal">
      <formula>"NI"</formula>
    </cfRule>
    <cfRule type="cellIs" dxfId="506" priority="62" operator="equal">
      <formula>"N"</formula>
    </cfRule>
    <cfRule type="cellIs" dxfId="505" priority="63" operator="equal">
      <formula>"P"</formula>
    </cfRule>
    <cfRule type="cellIs" dxfId="504" priority="64" operator="equal">
      <formula>"J"</formula>
    </cfRule>
  </conditionalFormatting>
  <conditionalFormatting sqref="D20:D25">
    <cfRule type="cellIs" dxfId="503" priority="57" operator="equal">
      <formula>"NI"</formula>
    </cfRule>
    <cfRule type="cellIs" dxfId="502" priority="58" operator="equal">
      <formula>"N"</formula>
    </cfRule>
    <cfRule type="cellIs" dxfId="501" priority="59" operator="equal">
      <formula>"P"</formula>
    </cfRule>
    <cfRule type="cellIs" dxfId="500" priority="60" operator="equal">
      <formula>"J"</formula>
    </cfRule>
  </conditionalFormatting>
  <conditionalFormatting sqref="D27:D29">
    <cfRule type="cellIs" dxfId="499" priority="53" operator="equal">
      <formula>"NI"</formula>
    </cfRule>
    <cfRule type="cellIs" dxfId="498" priority="54" operator="equal">
      <formula>"N"</formula>
    </cfRule>
    <cfRule type="cellIs" dxfId="497" priority="55" operator="equal">
      <formula>"P"</formula>
    </cfRule>
    <cfRule type="cellIs" dxfId="496" priority="56" operator="equal">
      <formula>"J"</formula>
    </cfRule>
  </conditionalFormatting>
  <conditionalFormatting sqref="E9:E10 E31:E32">
    <cfRule type="cellIs" dxfId="495" priority="49" operator="equal">
      <formula>"NI"</formula>
    </cfRule>
    <cfRule type="cellIs" dxfId="494" priority="50" operator="equal">
      <formula>"N"</formula>
    </cfRule>
    <cfRule type="cellIs" dxfId="493" priority="51" operator="equal">
      <formula>"P"</formula>
    </cfRule>
    <cfRule type="cellIs" dxfId="492" priority="52" operator="equal">
      <formula>"J"</formula>
    </cfRule>
  </conditionalFormatting>
  <conditionalFormatting sqref="E33">
    <cfRule type="cellIs" dxfId="491" priority="45" operator="equal">
      <formula>"NI"</formula>
    </cfRule>
    <cfRule type="cellIs" dxfId="490" priority="46" operator="equal">
      <formula>"N"</formula>
    </cfRule>
    <cfRule type="cellIs" dxfId="489" priority="47" operator="equal">
      <formula>"P"</formula>
    </cfRule>
    <cfRule type="cellIs" dxfId="488" priority="48" operator="equal">
      <formula>"J"</formula>
    </cfRule>
  </conditionalFormatting>
  <conditionalFormatting sqref="E11">
    <cfRule type="cellIs" dxfId="487" priority="41" operator="equal">
      <formula>"NI"</formula>
    </cfRule>
    <cfRule type="cellIs" dxfId="486" priority="42" operator="equal">
      <formula>"N"</formula>
    </cfRule>
    <cfRule type="cellIs" dxfId="485" priority="43" operator="equal">
      <formula>"P"</formula>
    </cfRule>
    <cfRule type="cellIs" dxfId="484" priority="44" operator="equal">
      <formula>"J"</formula>
    </cfRule>
  </conditionalFormatting>
  <conditionalFormatting sqref="E13:E18">
    <cfRule type="cellIs" dxfId="483" priority="37" operator="equal">
      <formula>"NI"</formula>
    </cfRule>
    <cfRule type="cellIs" dxfId="482" priority="38" operator="equal">
      <formula>"N"</formula>
    </cfRule>
    <cfRule type="cellIs" dxfId="481" priority="39" operator="equal">
      <formula>"P"</formula>
    </cfRule>
    <cfRule type="cellIs" dxfId="480" priority="40" operator="equal">
      <formula>"J"</formula>
    </cfRule>
  </conditionalFormatting>
  <conditionalFormatting sqref="E20:E25">
    <cfRule type="cellIs" dxfId="479" priority="33" operator="equal">
      <formula>"NI"</formula>
    </cfRule>
    <cfRule type="cellIs" dxfId="478" priority="34" operator="equal">
      <formula>"N"</formula>
    </cfRule>
    <cfRule type="cellIs" dxfId="477" priority="35" operator="equal">
      <formula>"P"</formula>
    </cfRule>
    <cfRule type="cellIs" dxfId="476" priority="36" operator="equal">
      <formula>"J"</formula>
    </cfRule>
  </conditionalFormatting>
  <conditionalFormatting sqref="E27:E29">
    <cfRule type="cellIs" dxfId="475" priority="29" operator="equal">
      <formula>"NI"</formula>
    </cfRule>
    <cfRule type="cellIs" dxfId="474" priority="30" operator="equal">
      <formula>"N"</formula>
    </cfRule>
    <cfRule type="cellIs" dxfId="473" priority="31" operator="equal">
      <formula>"P"</formula>
    </cfRule>
    <cfRule type="cellIs" dxfId="472" priority="32" operator="equal">
      <formula>"J"</formula>
    </cfRule>
  </conditionalFormatting>
  <conditionalFormatting sqref="F9:F10 F31:F32">
    <cfRule type="cellIs" dxfId="471" priority="25" operator="equal">
      <formula>"NI"</formula>
    </cfRule>
    <cfRule type="cellIs" dxfId="470" priority="26" operator="equal">
      <formula>"N"</formula>
    </cfRule>
    <cfRule type="cellIs" dxfId="469" priority="27" operator="equal">
      <formula>"P"</formula>
    </cfRule>
    <cfRule type="cellIs" dxfId="468" priority="28" operator="equal">
      <formula>"J"</formula>
    </cfRule>
  </conditionalFormatting>
  <conditionalFormatting sqref="F33">
    <cfRule type="cellIs" dxfId="467" priority="21" operator="equal">
      <formula>"NI"</formula>
    </cfRule>
    <cfRule type="cellIs" dxfId="466" priority="22" operator="equal">
      <formula>"N"</formula>
    </cfRule>
    <cfRule type="cellIs" dxfId="465" priority="23" operator="equal">
      <formula>"P"</formula>
    </cfRule>
    <cfRule type="cellIs" dxfId="464" priority="24" operator="equal">
      <formula>"J"</formula>
    </cfRule>
  </conditionalFormatting>
  <conditionalFormatting sqref="F11">
    <cfRule type="cellIs" dxfId="463" priority="17" operator="equal">
      <formula>"NI"</formula>
    </cfRule>
    <cfRule type="cellIs" dxfId="462" priority="18" operator="equal">
      <formula>"N"</formula>
    </cfRule>
    <cfRule type="cellIs" dxfId="461" priority="19" operator="equal">
      <formula>"P"</formula>
    </cfRule>
    <cfRule type="cellIs" dxfId="460" priority="20" operator="equal">
      <formula>"J"</formula>
    </cfRule>
  </conditionalFormatting>
  <conditionalFormatting sqref="F13:F18">
    <cfRule type="cellIs" dxfId="459" priority="13" operator="equal">
      <formula>"NI"</formula>
    </cfRule>
    <cfRule type="cellIs" dxfId="458" priority="14" operator="equal">
      <formula>"N"</formula>
    </cfRule>
    <cfRule type="cellIs" dxfId="457" priority="15" operator="equal">
      <formula>"P"</formula>
    </cfRule>
    <cfRule type="cellIs" dxfId="456" priority="16" operator="equal">
      <formula>"J"</formula>
    </cfRule>
  </conditionalFormatting>
  <conditionalFormatting sqref="F25">
    <cfRule type="cellIs" dxfId="455" priority="9" operator="equal">
      <formula>"NI"</formula>
    </cfRule>
    <cfRule type="cellIs" dxfId="454" priority="10" operator="equal">
      <formula>"N"</formula>
    </cfRule>
    <cfRule type="cellIs" dxfId="453" priority="11" operator="equal">
      <formula>"P"</formula>
    </cfRule>
    <cfRule type="cellIs" dxfId="452" priority="12" operator="equal">
      <formula>"J"</formula>
    </cfRule>
  </conditionalFormatting>
  <conditionalFormatting sqref="F20:F24">
    <cfRule type="cellIs" dxfId="451" priority="5" operator="equal">
      <formula>"NI"</formula>
    </cfRule>
    <cfRule type="cellIs" dxfId="450" priority="6" operator="equal">
      <formula>"N"</formula>
    </cfRule>
    <cfRule type="cellIs" dxfId="449" priority="7" operator="equal">
      <formula>"P"</formula>
    </cfRule>
    <cfRule type="cellIs" dxfId="448" priority="8" operator="equal">
      <formula>"J"</formula>
    </cfRule>
  </conditionalFormatting>
  <conditionalFormatting sqref="F27:F29">
    <cfRule type="cellIs" dxfId="447" priority="1" operator="equal">
      <formula>"NI"</formula>
    </cfRule>
    <cfRule type="cellIs" dxfId="446" priority="2" operator="equal">
      <formula>"N"</formula>
    </cfRule>
    <cfRule type="cellIs" dxfId="445" priority="3" operator="equal">
      <formula>"P"</formula>
    </cfRule>
    <cfRule type="cellIs" dxfId="44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4"/>
  <sheetViews>
    <sheetView workbookViewId="0">
      <selection activeCell="S14" sqref="S14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 t="s">
        <v>244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299</v>
      </c>
      <c r="E5" s="196" t="s">
        <v>171</v>
      </c>
      <c r="K5" s="425" t="s">
        <v>300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231"/>
      <c r="I8" s="231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0.58194444444444449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53"/>
      <c r="I9" s="153"/>
      <c r="J9" s="183"/>
      <c r="K9" s="183"/>
      <c r="L9" s="183"/>
      <c r="M9" s="183"/>
      <c r="N9" s="183"/>
      <c r="O9" s="183"/>
      <c r="Q9" s="204" t="s">
        <v>16</v>
      </c>
      <c r="R9" s="149">
        <v>45404</v>
      </c>
      <c r="S9" s="150">
        <v>0.42708333333333331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53"/>
      <c r="I10" s="153"/>
      <c r="J10" s="183"/>
      <c r="K10" s="183"/>
      <c r="L10" s="183"/>
      <c r="M10" s="183"/>
      <c r="N10" s="183"/>
      <c r="O10" s="183"/>
      <c r="Q10" s="204" t="s">
        <v>17</v>
      </c>
      <c r="R10" s="149">
        <v>45434</v>
      </c>
      <c r="S10" s="150">
        <v>0.63194444444444442</v>
      </c>
      <c r="T10" s="151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53"/>
      <c r="I11" s="153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231"/>
      <c r="I12" s="231"/>
      <c r="J12" s="193"/>
      <c r="K12" s="193"/>
      <c r="L12" s="193"/>
      <c r="M12" s="192"/>
      <c r="N12" s="192"/>
      <c r="O12" s="192"/>
      <c r="Q12" s="204" t="s">
        <v>19</v>
      </c>
      <c r="R12" s="93"/>
      <c r="S12" s="94"/>
      <c r="T12" s="95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53"/>
      <c r="I13" s="153"/>
      <c r="J13" s="183"/>
      <c r="K13" s="183"/>
      <c r="L13" s="183"/>
      <c r="M13" s="183"/>
      <c r="N13" s="183"/>
      <c r="O13" s="183"/>
      <c r="Q13" s="204" t="s">
        <v>20</v>
      </c>
      <c r="R13" s="159"/>
      <c r="S13" s="160"/>
      <c r="T13" s="9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53"/>
      <c r="I14" s="153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53"/>
      <c r="I15" s="153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9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53"/>
      <c r="I16" s="153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53"/>
      <c r="I17" s="153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ht="15" customHeight="1" x14ac:dyDescent="0.25">
      <c r="A18" s="426"/>
      <c r="B18" s="195" t="s">
        <v>220</v>
      </c>
      <c r="C18" s="186"/>
      <c r="D18" s="193">
        <v>2</v>
      </c>
      <c r="E18" s="193">
        <v>2</v>
      </c>
      <c r="F18" s="193">
        <v>2</v>
      </c>
      <c r="G18" s="192"/>
      <c r="H18" s="231"/>
      <c r="I18" s="231"/>
      <c r="J18" s="193"/>
      <c r="K18" s="193"/>
      <c r="L18" s="193"/>
      <c r="M18" s="192"/>
      <c r="N18" s="192"/>
      <c r="O18" s="192"/>
      <c r="Q18" s="204" t="s">
        <v>25</v>
      </c>
      <c r="R18" s="201"/>
      <c r="S18" s="201"/>
      <c r="T18" s="201"/>
    </row>
    <row r="19" spans="1:21" ht="15" customHeight="1" x14ac:dyDescent="0.25">
      <c r="A19" s="426"/>
      <c r="C19" s="188" t="s">
        <v>222</v>
      </c>
      <c r="D19" s="183" t="s">
        <v>200</v>
      </c>
      <c r="E19" s="183" t="s">
        <v>200</v>
      </c>
      <c r="F19" s="183" t="s">
        <v>200</v>
      </c>
      <c r="G19" s="183"/>
      <c r="H19" s="153"/>
      <c r="I19" s="153"/>
      <c r="J19" s="183"/>
      <c r="K19" s="183"/>
      <c r="L19" s="183"/>
      <c r="M19" s="183"/>
      <c r="N19" s="183"/>
      <c r="O19" s="183"/>
      <c r="Q19" s="204" t="s">
        <v>26</v>
      </c>
      <c r="R19" s="199"/>
      <c r="S19" s="198"/>
      <c r="T19" s="197"/>
    </row>
    <row r="20" spans="1:21" ht="15.75" customHeight="1" thickBot="1" x14ac:dyDescent="0.3">
      <c r="A20" s="426"/>
      <c r="C20" s="188" t="s">
        <v>267</v>
      </c>
      <c r="D20" s="183" t="s">
        <v>200</v>
      </c>
      <c r="E20" s="183" t="s">
        <v>200</v>
      </c>
      <c r="F20" s="183" t="s">
        <v>200</v>
      </c>
      <c r="G20" s="183"/>
      <c r="H20" s="153"/>
      <c r="I20" s="153"/>
      <c r="J20" s="183"/>
      <c r="K20" s="183"/>
      <c r="L20" s="183"/>
      <c r="M20" s="183"/>
      <c r="N20" s="183"/>
      <c r="O20" s="183"/>
      <c r="Q20" s="196" t="s">
        <v>224</v>
      </c>
    </row>
    <row r="21" spans="1:21" ht="15.75" customHeight="1" x14ac:dyDescent="0.25">
      <c r="A21" s="426"/>
      <c r="C21" s="188" t="s">
        <v>226</v>
      </c>
      <c r="D21" s="183" t="s">
        <v>200</v>
      </c>
      <c r="E21" s="183" t="s">
        <v>200</v>
      </c>
      <c r="F21" s="183" t="s">
        <v>200</v>
      </c>
      <c r="G21" s="183"/>
      <c r="H21" s="153"/>
      <c r="I21" s="153"/>
      <c r="J21" s="183"/>
      <c r="K21" s="183"/>
      <c r="L21" s="183"/>
      <c r="M21" s="183"/>
      <c r="N21" s="183"/>
      <c r="O21" s="183"/>
      <c r="Q21" s="475" t="s">
        <v>331</v>
      </c>
      <c r="R21" s="466"/>
      <c r="S21" s="466"/>
      <c r="T21" s="466"/>
      <c r="U21" s="467"/>
    </row>
    <row r="22" spans="1:21" ht="15.75" customHeight="1" x14ac:dyDescent="0.25">
      <c r="A22" s="426"/>
      <c r="C22" s="188" t="s">
        <v>259</v>
      </c>
      <c r="D22" s="183" t="s">
        <v>200</v>
      </c>
      <c r="E22" s="183" t="s">
        <v>196</v>
      </c>
      <c r="F22" s="183" t="s">
        <v>200</v>
      </c>
      <c r="G22" s="183"/>
      <c r="H22" s="153"/>
      <c r="I22" s="153"/>
      <c r="J22" s="183"/>
      <c r="K22" s="183"/>
      <c r="L22" s="183"/>
      <c r="M22" s="183"/>
      <c r="N22" s="183"/>
      <c r="O22" s="183"/>
      <c r="Q22" s="420"/>
      <c r="R22" s="381"/>
      <c r="S22" s="381"/>
      <c r="T22" s="381"/>
      <c r="U22" s="403"/>
    </row>
    <row r="23" spans="1:21" ht="15.75" customHeight="1" x14ac:dyDescent="0.25">
      <c r="A23" s="426"/>
      <c r="C23" s="188" t="s">
        <v>227</v>
      </c>
      <c r="D23" s="183" t="s">
        <v>200</v>
      </c>
      <c r="E23" s="183" t="s">
        <v>200</v>
      </c>
      <c r="F23" s="183" t="s">
        <v>200</v>
      </c>
      <c r="G23" s="183"/>
      <c r="H23" s="153"/>
      <c r="I23" s="153"/>
      <c r="J23" s="183"/>
      <c r="K23" s="183"/>
      <c r="L23" s="183"/>
      <c r="M23" s="183"/>
      <c r="N23" s="183"/>
      <c r="O23" s="183"/>
      <c r="Q23" s="422"/>
      <c r="R23" s="423"/>
      <c r="S23" s="423"/>
      <c r="T23" s="423"/>
      <c r="U23" s="424"/>
    </row>
    <row r="24" spans="1:21" ht="15.75" customHeight="1" x14ac:dyDescent="0.25">
      <c r="A24" s="426"/>
      <c r="C24" s="188" t="s">
        <v>223</v>
      </c>
      <c r="D24" s="183" t="s">
        <v>207</v>
      </c>
      <c r="E24" s="183" t="s">
        <v>207</v>
      </c>
      <c r="F24" s="183" t="s">
        <v>207</v>
      </c>
      <c r="G24" s="183"/>
      <c r="H24" s="153"/>
      <c r="I24" s="153"/>
      <c r="J24" s="183"/>
      <c r="K24" s="183"/>
      <c r="L24" s="183"/>
      <c r="M24" s="183"/>
      <c r="N24" s="183"/>
      <c r="O24" s="183"/>
      <c r="Q24" s="420"/>
      <c r="R24" s="381"/>
      <c r="S24" s="381"/>
      <c r="T24" s="381"/>
      <c r="U24" s="403"/>
    </row>
    <row r="25" spans="1:21" ht="15.75" customHeight="1" x14ac:dyDescent="0.25">
      <c r="A25" s="426"/>
      <c r="B25" s="195" t="s">
        <v>229</v>
      </c>
      <c r="C25" s="186"/>
      <c r="D25" s="193">
        <v>2</v>
      </c>
      <c r="E25" s="193">
        <v>2</v>
      </c>
      <c r="F25" s="193">
        <v>2</v>
      </c>
      <c r="G25" s="192"/>
      <c r="H25" s="231"/>
      <c r="I25" s="231"/>
      <c r="J25" s="193"/>
      <c r="K25" s="193"/>
      <c r="L25" s="193"/>
      <c r="M25" s="192"/>
      <c r="N25" s="192"/>
      <c r="O25" s="192"/>
      <c r="Q25" s="420"/>
      <c r="R25" s="381"/>
      <c r="S25" s="381"/>
      <c r="T25" s="381"/>
      <c r="U25" s="403"/>
    </row>
    <row r="26" spans="1:21" ht="15.75" customHeight="1" x14ac:dyDescent="0.25">
      <c r="A26" s="426"/>
      <c r="C26" s="188" t="s">
        <v>262</v>
      </c>
      <c r="D26" s="183" t="s">
        <v>200</v>
      </c>
      <c r="E26" s="183" t="s">
        <v>200</v>
      </c>
      <c r="F26" s="183" t="s">
        <v>200</v>
      </c>
      <c r="G26" s="183"/>
      <c r="H26" s="153"/>
      <c r="I26" s="153"/>
      <c r="J26" s="183"/>
      <c r="K26" s="183"/>
      <c r="L26" s="183"/>
      <c r="M26" s="183"/>
      <c r="N26" s="183"/>
      <c r="O26" s="183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7" t="s">
        <v>231</v>
      </c>
      <c r="D27" s="183" t="s">
        <v>200</v>
      </c>
      <c r="E27" s="183" t="s">
        <v>200</v>
      </c>
      <c r="F27" s="183" t="s">
        <v>200</v>
      </c>
      <c r="G27" s="183"/>
      <c r="H27" s="153"/>
      <c r="I27" s="153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333"/>
      <c r="C28" s="187" t="s">
        <v>254</v>
      </c>
      <c r="D28" s="183" t="s">
        <v>200</v>
      </c>
      <c r="E28" s="183" t="s">
        <v>200</v>
      </c>
      <c r="F28" s="183" t="s">
        <v>200</v>
      </c>
      <c r="G28" s="183"/>
      <c r="H28" s="153"/>
      <c r="I28" s="153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432" t="s">
        <v>233</v>
      </c>
      <c r="B29" s="341"/>
      <c r="C29" s="341"/>
      <c r="D29" s="190"/>
      <c r="E29" s="190"/>
      <c r="F29" s="190"/>
      <c r="G29" s="189"/>
      <c r="H29" s="232"/>
      <c r="I29" s="232"/>
      <c r="J29" s="190"/>
      <c r="K29" s="190"/>
      <c r="L29" s="190"/>
      <c r="M29" s="189"/>
      <c r="N29" s="189"/>
      <c r="O29" s="189"/>
      <c r="Q29" s="420"/>
      <c r="R29" s="381"/>
      <c r="S29" s="381"/>
      <c r="T29" s="381"/>
      <c r="U29" s="403"/>
    </row>
    <row r="30" spans="1:21" ht="15.75" customHeight="1" x14ac:dyDescent="0.25">
      <c r="A30" s="186"/>
      <c r="C30" s="188" t="s">
        <v>83</v>
      </c>
      <c r="D30" s="183"/>
      <c r="E30" s="183"/>
      <c r="F30" s="183"/>
      <c r="G30" s="183"/>
      <c r="H30" s="153"/>
      <c r="I30" s="153"/>
      <c r="J30" s="183"/>
      <c r="K30" s="183"/>
      <c r="L30" s="183"/>
      <c r="M30" s="183"/>
      <c r="N30" s="183"/>
      <c r="O30" s="183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7" t="s">
        <v>234</v>
      </c>
      <c r="D31" s="183"/>
      <c r="E31" s="183"/>
      <c r="F31" s="183"/>
      <c r="G31" s="183"/>
      <c r="H31" s="153"/>
      <c r="I31" s="153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5" t="s">
        <v>85</v>
      </c>
      <c r="D32" s="227"/>
      <c r="E32" s="227"/>
      <c r="F32" s="227"/>
      <c r="G32" s="183"/>
      <c r="H32" s="153"/>
      <c r="I32" s="153"/>
      <c r="J32" s="183"/>
      <c r="K32" s="183"/>
      <c r="L32" s="227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thickBot="1" x14ac:dyDescent="0.3">
      <c r="A33" s="434" t="s">
        <v>235</v>
      </c>
      <c r="B33" s="341"/>
      <c r="C33" s="341"/>
      <c r="D33" s="181" t="s">
        <v>240</v>
      </c>
      <c r="E33" s="181" t="s">
        <v>240</v>
      </c>
      <c r="F33" s="181" t="s">
        <v>240</v>
      </c>
      <c r="G33" s="181"/>
      <c r="H33" s="170"/>
      <c r="I33" s="170"/>
      <c r="J33" s="181"/>
      <c r="K33" s="181"/>
      <c r="L33" s="181"/>
      <c r="M33" s="180"/>
      <c r="N33" s="180"/>
      <c r="O33" s="180"/>
      <c r="Q33" s="430"/>
      <c r="R33" s="400"/>
      <c r="S33" s="400"/>
      <c r="T33" s="400"/>
      <c r="U33" s="401"/>
    </row>
    <row r="34" spans="1:21" ht="15.75" customHeight="1" x14ac:dyDescent="0.2">
      <c r="A34" s="179" t="s">
        <v>241</v>
      </c>
    </row>
    <row r="35" spans="1:21" ht="15.75" customHeight="1" x14ac:dyDescent="0.2"/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24">
    <mergeCell ref="A7:C7"/>
    <mergeCell ref="A33:C33"/>
    <mergeCell ref="A2:O2"/>
    <mergeCell ref="Q29:U29"/>
    <mergeCell ref="Q23:U23"/>
    <mergeCell ref="A29:C29"/>
    <mergeCell ref="Q26:U26"/>
    <mergeCell ref="Q31:U31"/>
    <mergeCell ref="A5:B5"/>
    <mergeCell ref="Q22:U22"/>
    <mergeCell ref="Q27:U27"/>
    <mergeCell ref="Q30:U30"/>
    <mergeCell ref="A4:B4"/>
    <mergeCell ref="A8:A28"/>
    <mergeCell ref="Q32:U32"/>
    <mergeCell ref="A6:O6"/>
    <mergeCell ref="Q6:T6"/>
    <mergeCell ref="Q25:U25"/>
    <mergeCell ref="Q21:U21"/>
    <mergeCell ref="Q28:U28"/>
    <mergeCell ref="I4:O4"/>
    <mergeCell ref="Q33:U33"/>
    <mergeCell ref="K5:O5"/>
    <mergeCell ref="Q24:U24"/>
  </mergeCells>
  <conditionalFormatting sqref="G9:G11 G13:G17 G19:G24 G26:G28 G30:G32 M26:N28 M30:N30">
    <cfRule type="cellIs" dxfId="443" priority="77" operator="equal">
      <formula>"NI"</formula>
    </cfRule>
    <cfRule type="cellIs" dxfId="442" priority="78" operator="equal">
      <formula>"N"</formula>
    </cfRule>
    <cfRule type="cellIs" dxfId="441" priority="79" operator="equal">
      <formula>"P"</formula>
    </cfRule>
    <cfRule type="cellIs" dxfId="440" priority="80" operator="equal">
      <formula>"J"</formula>
    </cfRule>
  </conditionalFormatting>
  <conditionalFormatting sqref="M31:M32">
    <cfRule type="cellIs" dxfId="439" priority="81" operator="equal">
      <formula>"NI"</formula>
    </cfRule>
    <cfRule type="cellIs" dxfId="438" priority="82" operator="equal">
      <formula>"N"</formula>
    </cfRule>
    <cfRule type="cellIs" dxfId="437" priority="83" operator="equal">
      <formula>"P"</formula>
    </cfRule>
    <cfRule type="cellIs" dxfId="436" priority="84" operator="equal">
      <formula>"J"</formula>
    </cfRule>
  </conditionalFormatting>
  <conditionalFormatting sqref="M9:M10">
    <cfRule type="cellIs" dxfId="435" priority="85" operator="equal">
      <formula>"NI"</formula>
    </cfRule>
    <cfRule type="cellIs" dxfId="434" priority="86" operator="equal">
      <formula>"N"</formula>
    </cfRule>
    <cfRule type="cellIs" dxfId="433" priority="87" operator="equal">
      <formula>"P"</formula>
    </cfRule>
    <cfRule type="cellIs" dxfId="432" priority="88" operator="equal">
      <formula>"J"</formula>
    </cfRule>
  </conditionalFormatting>
  <conditionalFormatting sqref="M11">
    <cfRule type="cellIs" dxfId="431" priority="89" operator="equal">
      <formula>"NI"</formula>
    </cfRule>
    <cfRule type="cellIs" dxfId="430" priority="90" operator="equal">
      <formula>"N"</formula>
    </cfRule>
    <cfRule type="cellIs" dxfId="429" priority="91" operator="equal">
      <formula>"P"</formula>
    </cfRule>
    <cfRule type="cellIs" dxfId="428" priority="92" operator="equal">
      <formula>"J"</formula>
    </cfRule>
  </conditionalFormatting>
  <conditionalFormatting sqref="M13:N17">
    <cfRule type="cellIs" dxfId="427" priority="93" operator="equal">
      <formula>"NI"</formula>
    </cfRule>
    <cfRule type="cellIs" dxfId="426" priority="94" operator="equal">
      <formula>"N"</formula>
    </cfRule>
    <cfRule type="cellIs" dxfId="425" priority="95" operator="equal">
      <formula>"P"</formula>
    </cfRule>
    <cfRule type="cellIs" dxfId="424" priority="96" operator="equal">
      <formula>"J"</formula>
    </cfRule>
  </conditionalFormatting>
  <conditionalFormatting sqref="M19:N24">
    <cfRule type="cellIs" dxfId="423" priority="97" operator="equal">
      <formula>"NI"</formula>
    </cfRule>
    <cfRule type="cellIs" dxfId="422" priority="98" operator="equal">
      <formula>"N"</formula>
    </cfRule>
    <cfRule type="cellIs" dxfId="421" priority="99" operator="equal">
      <formula>"P"</formula>
    </cfRule>
    <cfRule type="cellIs" dxfId="420" priority="100" operator="equal">
      <formula>"J"</formula>
    </cfRule>
  </conditionalFormatting>
  <conditionalFormatting sqref="N31:N32">
    <cfRule type="cellIs" dxfId="419" priority="101" operator="equal">
      <formula>"NI"</formula>
    </cfRule>
    <cfRule type="cellIs" dxfId="418" priority="102" operator="equal">
      <formula>"N"</formula>
    </cfRule>
    <cfRule type="cellIs" dxfId="417" priority="103" operator="equal">
      <formula>"P"</formula>
    </cfRule>
    <cfRule type="cellIs" dxfId="416" priority="104" operator="equal">
      <formula>"J"</formula>
    </cfRule>
  </conditionalFormatting>
  <conditionalFormatting sqref="N9:N11">
    <cfRule type="cellIs" dxfId="415" priority="105" operator="equal">
      <formula>"NI"</formula>
    </cfRule>
    <cfRule type="cellIs" dxfId="414" priority="106" operator="equal">
      <formula>"N"</formula>
    </cfRule>
    <cfRule type="cellIs" dxfId="413" priority="107" operator="equal">
      <formula>"P"</formula>
    </cfRule>
    <cfRule type="cellIs" dxfId="412" priority="108" operator="equal">
      <formula>"J"</formula>
    </cfRule>
  </conditionalFormatting>
  <conditionalFormatting sqref="O9:O11 O13:O17 O19:O24 O26:O28 O30:O32">
    <cfRule type="cellIs" dxfId="411" priority="109" operator="equal">
      <formula>"NI"</formula>
    </cfRule>
    <cfRule type="cellIs" dxfId="410" priority="110" operator="equal">
      <formula>"N"</formula>
    </cfRule>
    <cfRule type="cellIs" dxfId="409" priority="111" operator="equal">
      <formula>"P"</formula>
    </cfRule>
    <cfRule type="cellIs" dxfId="408" priority="112" operator="equal">
      <formula>"J"</formula>
    </cfRule>
  </conditionalFormatting>
  <conditionalFormatting sqref="H9:H11 H13:H17 H19:H24 H26:H28 H30:H32">
    <cfRule type="cellIs" dxfId="407" priority="73" operator="equal">
      <formula>"NI"</formula>
    </cfRule>
    <cfRule type="cellIs" dxfId="406" priority="74" operator="equal">
      <formula>"N"</formula>
    </cfRule>
    <cfRule type="cellIs" dxfId="405" priority="75" operator="equal">
      <formula>"P"</formula>
    </cfRule>
    <cfRule type="cellIs" dxfId="404" priority="76" operator="equal">
      <formula>"J"</formula>
    </cfRule>
  </conditionalFormatting>
  <conditionalFormatting sqref="J9:J11 J13:J17 J19:J24 J26:J28 J30:J32">
    <cfRule type="cellIs" dxfId="403" priority="69" operator="equal">
      <formula>"NI"</formula>
    </cfRule>
    <cfRule type="cellIs" dxfId="402" priority="70" operator="equal">
      <formula>"N"</formula>
    </cfRule>
    <cfRule type="cellIs" dxfId="401" priority="71" operator="equal">
      <formula>"P"</formula>
    </cfRule>
    <cfRule type="cellIs" dxfId="400" priority="72" operator="equal">
      <formula>"J"</formula>
    </cfRule>
  </conditionalFormatting>
  <conditionalFormatting sqref="K9:K11 K13:K17 K19:K24 K26:K28 K30:K32">
    <cfRule type="cellIs" dxfId="399" priority="65" operator="equal">
      <formula>"NI"</formula>
    </cfRule>
    <cfRule type="cellIs" dxfId="398" priority="66" operator="equal">
      <formula>"N"</formula>
    </cfRule>
    <cfRule type="cellIs" dxfId="397" priority="67" operator="equal">
      <formula>"P"</formula>
    </cfRule>
    <cfRule type="cellIs" dxfId="396" priority="68" operator="equal">
      <formula>"J"</formula>
    </cfRule>
  </conditionalFormatting>
  <conditionalFormatting sqref="L9:L11 L13:L16 L19:L24 L26:L28 L31">
    <cfRule type="cellIs" dxfId="395" priority="61" operator="equal">
      <formula>"NI"</formula>
    </cfRule>
    <cfRule type="cellIs" dxfId="394" priority="62" operator="equal">
      <formula>"N"</formula>
    </cfRule>
    <cfRule type="cellIs" dxfId="393" priority="63" operator="equal">
      <formula>"P"</formula>
    </cfRule>
    <cfRule type="cellIs" dxfId="392" priority="64" operator="equal">
      <formula>"J"</formula>
    </cfRule>
  </conditionalFormatting>
  <conditionalFormatting sqref="D9:D11 D13:D17 D19:D24 D26:D28 D30:D31">
    <cfRule type="cellIs" dxfId="391" priority="57" operator="equal">
      <formula>"NI"</formula>
    </cfRule>
    <cfRule type="cellIs" dxfId="390" priority="58" operator="equal">
      <formula>"N"</formula>
    </cfRule>
    <cfRule type="cellIs" dxfId="389" priority="59" operator="equal">
      <formula>"P"</formula>
    </cfRule>
    <cfRule type="cellIs" dxfId="388" priority="60" operator="equal">
      <formula>"J"</formula>
    </cfRule>
  </conditionalFormatting>
  <conditionalFormatting sqref="E9:E11 E13:E17 E19:E24 E26:E28 E30:E31">
    <cfRule type="cellIs" dxfId="387" priority="53" operator="equal">
      <formula>"NI"</formula>
    </cfRule>
    <cfRule type="cellIs" dxfId="386" priority="54" operator="equal">
      <formula>"N"</formula>
    </cfRule>
    <cfRule type="cellIs" dxfId="385" priority="55" operator="equal">
      <formula>"P"</formula>
    </cfRule>
    <cfRule type="cellIs" dxfId="384" priority="56" operator="equal">
      <formula>"J"</formula>
    </cfRule>
  </conditionalFormatting>
  <conditionalFormatting sqref="I9:I11 I13:I17 I19:I24 I26:I28 I30:I31">
    <cfRule type="cellIs" dxfId="383" priority="45" operator="equal">
      <formula>"NI"</formula>
    </cfRule>
    <cfRule type="cellIs" dxfId="382" priority="46" operator="equal">
      <formula>"N"</formula>
    </cfRule>
    <cfRule type="cellIs" dxfId="381" priority="47" operator="equal">
      <formula>"P"</formula>
    </cfRule>
    <cfRule type="cellIs" dxfId="380" priority="48" operator="equal">
      <formula>"J"</formula>
    </cfRule>
  </conditionalFormatting>
  <conditionalFormatting sqref="I32">
    <cfRule type="cellIs" dxfId="379" priority="41" operator="equal">
      <formula>"NI"</formula>
    </cfRule>
    <cfRule type="cellIs" dxfId="378" priority="42" operator="equal">
      <formula>"N"</formula>
    </cfRule>
    <cfRule type="cellIs" dxfId="377" priority="43" operator="equal">
      <formula>"P"</formula>
    </cfRule>
    <cfRule type="cellIs" dxfId="376" priority="44" operator="equal">
      <formula>"J"</formula>
    </cfRule>
  </conditionalFormatting>
  <conditionalFormatting sqref="D32">
    <cfRule type="cellIs" dxfId="375" priority="37" operator="equal">
      <formula>"NI"</formula>
    </cfRule>
    <cfRule type="cellIs" dxfId="374" priority="38" operator="equal">
      <formula>"N"</formula>
    </cfRule>
    <cfRule type="cellIs" dxfId="373" priority="39" operator="equal">
      <formula>"P"</formula>
    </cfRule>
    <cfRule type="cellIs" dxfId="372" priority="40" operator="equal">
      <formula>"J"</formula>
    </cfRule>
  </conditionalFormatting>
  <conditionalFormatting sqref="E32">
    <cfRule type="cellIs" dxfId="371" priority="33" operator="equal">
      <formula>"NI"</formula>
    </cfRule>
    <cfRule type="cellIs" dxfId="370" priority="34" operator="equal">
      <formula>"N"</formula>
    </cfRule>
    <cfRule type="cellIs" dxfId="369" priority="35" operator="equal">
      <formula>"P"</formula>
    </cfRule>
    <cfRule type="cellIs" dxfId="368" priority="36" operator="equal">
      <formula>"J"</formula>
    </cfRule>
  </conditionalFormatting>
  <conditionalFormatting sqref="L17">
    <cfRule type="cellIs" dxfId="367" priority="25" operator="equal">
      <formula>"NI"</formula>
    </cfRule>
    <cfRule type="cellIs" dxfId="366" priority="26" operator="equal">
      <formula>"N"</formula>
    </cfRule>
    <cfRule type="cellIs" dxfId="365" priority="27" operator="equal">
      <formula>"P"</formula>
    </cfRule>
    <cfRule type="cellIs" dxfId="364" priority="28" operator="equal">
      <formula>"J"</formula>
    </cfRule>
  </conditionalFormatting>
  <conditionalFormatting sqref="L30">
    <cfRule type="cellIs" dxfId="363" priority="21" operator="equal">
      <formula>"NI"</formula>
    </cfRule>
    <cfRule type="cellIs" dxfId="362" priority="22" operator="equal">
      <formula>"N"</formula>
    </cfRule>
    <cfRule type="cellIs" dxfId="361" priority="23" operator="equal">
      <formula>"P"</formula>
    </cfRule>
    <cfRule type="cellIs" dxfId="360" priority="24" operator="equal">
      <formula>"J"</formula>
    </cfRule>
  </conditionalFormatting>
  <conditionalFormatting sqref="L32">
    <cfRule type="cellIs" dxfId="359" priority="17" operator="equal">
      <formula>"NI"</formula>
    </cfRule>
    <cfRule type="cellIs" dxfId="358" priority="18" operator="equal">
      <formula>"N"</formula>
    </cfRule>
    <cfRule type="cellIs" dxfId="357" priority="19" operator="equal">
      <formula>"P"</formula>
    </cfRule>
    <cfRule type="cellIs" dxfId="356" priority="20" operator="equal">
      <formula>"J"</formula>
    </cfRule>
  </conditionalFormatting>
  <conditionalFormatting sqref="F30:F31">
    <cfRule type="cellIs" dxfId="355" priority="9" operator="equal">
      <formula>"NI"</formula>
    </cfRule>
    <cfRule type="cellIs" dxfId="354" priority="10" operator="equal">
      <formula>"N"</formula>
    </cfRule>
    <cfRule type="cellIs" dxfId="353" priority="11" operator="equal">
      <formula>"P"</formula>
    </cfRule>
    <cfRule type="cellIs" dxfId="352" priority="12" operator="equal">
      <formula>"J"</formula>
    </cfRule>
  </conditionalFormatting>
  <conditionalFormatting sqref="F32">
    <cfRule type="cellIs" dxfId="351" priority="5" operator="equal">
      <formula>"NI"</formula>
    </cfRule>
    <cfRule type="cellIs" dxfId="350" priority="6" operator="equal">
      <formula>"N"</formula>
    </cfRule>
    <cfRule type="cellIs" dxfId="349" priority="7" operator="equal">
      <formula>"P"</formula>
    </cfRule>
    <cfRule type="cellIs" dxfId="348" priority="8" operator="equal">
      <formula>"J"</formula>
    </cfRule>
  </conditionalFormatting>
  <conditionalFormatting sqref="F9:F11 F13:F17 F19:F24 F26:F28">
    <cfRule type="cellIs" dxfId="347" priority="1" operator="equal">
      <formula>"NI"</formula>
    </cfRule>
    <cfRule type="cellIs" dxfId="346" priority="2" operator="equal">
      <formula>"N"</formula>
    </cfRule>
    <cfRule type="cellIs" dxfId="345" priority="3" operator="equal">
      <formula>"P"</formula>
    </cfRule>
    <cfRule type="cellIs" dxfId="34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4" workbookViewId="0">
      <selection activeCell="C28" sqref="C28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332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/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333</v>
      </c>
      <c r="E5" s="196" t="s">
        <v>171</v>
      </c>
      <c r="K5" s="425"/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0.58263888888888893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93">
        <v>45404</v>
      </c>
      <c r="S9" s="94">
        <v>0.4284722222222222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93">
        <v>45434</v>
      </c>
      <c r="S10" s="94">
        <v>0.63472222222222219</v>
      </c>
      <c r="T10" s="95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ht="15" customHeight="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ht="15" customHeight="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ht="15" customHeight="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183"/>
      <c r="E33" s="183"/>
      <c r="F33" s="183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">
      <c r="A35" s="179" t="s">
        <v>241</v>
      </c>
    </row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G9:G11 G13:G18 G20:G25 G27:G29 G31:G33 M27:N29 M31:N31">
    <cfRule type="cellIs" dxfId="343" priority="85" operator="equal">
      <formula>"NI"</formula>
    </cfRule>
    <cfRule type="cellIs" dxfId="342" priority="86" operator="equal">
      <formula>"N"</formula>
    </cfRule>
    <cfRule type="cellIs" dxfId="341" priority="87" operator="equal">
      <formula>"P"</formula>
    </cfRule>
    <cfRule type="cellIs" dxfId="340" priority="88" operator="equal">
      <formula>"J"</formula>
    </cfRule>
  </conditionalFormatting>
  <conditionalFormatting sqref="M32:M33">
    <cfRule type="cellIs" dxfId="339" priority="89" operator="equal">
      <formula>"NI"</formula>
    </cfRule>
    <cfRule type="cellIs" dxfId="338" priority="90" operator="equal">
      <formula>"N"</formula>
    </cfRule>
    <cfRule type="cellIs" dxfId="337" priority="91" operator="equal">
      <formula>"P"</formula>
    </cfRule>
    <cfRule type="cellIs" dxfId="336" priority="92" operator="equal">
      <formula>"J"</formula>
    </cfRule>
  </conditionalFormatting>
  <conditionalFormatting sqref="M9:M10">
    <cfRule type="cellIs" dxfId="335" priority="93" operator="equal">
      <formula>"NI"</formula>
    </cfRule>
    <cfRule type="cellIs" dxfId="334" priority="94" operator="equal">
      <formula>"N"</formula>
    </cfRule>
    <cfRule type="cellIs" dxfId="333" priority="95" operator="equal">
      <formula>"P"</formula>
    </cfRule>
    <cfRule type="cellIs" dxfId="332" priority="96" operator="equal">
      <formula>"J"</formula>
    </cfRule>
  </conditionalFormatting>
  <conditionalFormatting sqref="M11">
    <cfRule type="cellIs" dxfId="331" priority="97" operator="equal">
      <formula>"NI"</formula>
    </cfRule>
    <cfRule type="cellIs" dxfId="330" priority="98" operator="equal">
      <formula>"N"</formula>
    </cfRule>
    <cfRule type="cellIs" dxfId="329" priority="99" operator="equal">
      <formula>"P"</formula>
    </cfRule>
    <cfRule type="cellIs" dxfId="328" priority="100" operator="equal">
      <formula>"J"</formula>
    </cfRule>
  </conditionalFormatting>
  <conditionalFormatting sqref="M13:N18">
    <cfRule type="cellIs" dxfId="327" priority="101" operator="equal">
      <formula>"NI"</formula>
    </cfRule>
    <cfRule type="cellIs" dxfId="326" priority="102" operator="equal">
      <formula>"N"</formula>
    </cfRule>
    <cfRule type="cellIs" dxfId="325" priority="103" operator="equal">
      <formula>"P"</formula>
    </cfRule>
    <cfRule type="cellIs" dxfId="324" priority="104" operator="equal">
      <formula>"J"</formula>
    </cfRule>
  </conditionalFormatting>
  <conditionalFormatting sqref="M20:N25">
    <cfRule type="cellIs" dxfId="323" priority="105" operator="equal">
      <formula>"NI"</formula>
    </cfRule>
    <cfRule type="cellIs" dxfId="322" priority="106" operator="equal">
      <formula>"N"</formula>
    </cfRule>
    <cfRule type="cellIs" dxfId="321" priority="107" operator="equal">
      <formula>"P"</formula>
    </cfRule>
    <cfRule type="cellIs" dxfId="320" priority="108" operator="equal">
      <formula>"J"</formula>
    </cfRule>
  </conditionalFormatting>
  <conditionalFormatting sqref="N32:N33">
    <cfRule type="cellIs" dxfId="319" priority="109" operator="equal">
      <formula>"NI"</formula>
    </cfRule>
    <cfRule type="cellIs" dxfId="318" priority="110" operator="equal">
      <formula>"N"</formula>
    </cfRule>
    <cfRule type="cellIs" dxfId="317" priority="111" operator="equal">
      <formula>"P"</formula>
    </cfRule>
    <cfRule type="cellIs" dxfId="316" priority="112" operator="equal">
      <formula>"J"</formula>
    </cfRule>
  </conditionalFormatting>
  <conditionalFormatting sqref="N9:N11">
    <cfRule type="cellIs" dxfId="315" priority="113" operator="equal">
      <formula>"NI"</formula>
    </cfRule>
    <cfRule type="cellIs" dxfId="314" priority="114" operator="equal">
      <formula>"N"</formula>
    </cfRule>
    <cfRule type="cellIs" dxfId="313" priority="115" operator="equal">
      <formula>"P"</formula>
    </cfRule>
    <cfRule type="cellIs" dxfId="312" priority="116" operator="equal">
      <formula>"J"</formula>
    </cfRule>
  </conditionalFormatting>
  <conditionalFormatting sqref="O9:O11 O13:O18 O20:O25 O27:O29 O31:O33">
    <cfRule type="cellIs" dxfId="311" priority="117" operator="equal">
      <formula>"NI"</formula>
    </cfRule>
    <cfRule type="cellIs" dxfId="310" priority="118" operator="equal">
      <formula>"N"</formula>
    </cfRule>
    <cfRule type="cellIs" dxfId="309" priority="119" operator="equal">
      <formula>"P"</formula>
    </cfRule>
    <cfRule type="cellIs" dxfId="308" priority="120" operator="equal">
      <formula>"J"</formula>
    </cfRule>
  </conditionalFormatting>
  <conditionalFormatting sqref="K31:K33">
    <cfRule type="cellIs" dxfId="307" priority="73" operator="equal">
      <formula>"NI"</formula>
    </cfRule>
    <cfRule type="cellIs" dxfId="306" priority="74" operator="equal">
      <formula>"N"</formula>
    </cfRule>
    <cfRule type="cellIs" dxfId="305" priority="75" operator="equal">
      <formula>"P"</formula>
    </cfRule>
    <cfRule type="cellIs" dxfId="304" priority="76" operator="equal">
      <formula>"J"</formula>
    </cfRule>
  </conditionalFormatting>
  <conditionalFormatting sqref="H9:H11 H13:H18 H20:H25 H27:H29 H31:H33">
    <cfRule type="cellIs" dxfId="303" priority="45" operator="equal">
      <formula>"NI"</formula>
    </cfRule>
    <cfRule type="cellIs" dxfId="302" priority="46" operator="equal">
      <formula>"N"</formula>
    </cfRule>
    <cfRule type="cellIs" dxfId="301" priority="47" operator="equal">
      <formula>"P"</formula>
    </cfRule>
    <cfRule type="cellIs" dxfId="300" priority="48" operator="equal">
      <formula>"J"</formula>
    </cfRule>
  </conditionalFormatting>
  <conditionalFormatting sqref="I9:I11 I13:I18 I20:I25 I27:I29 I31:I32">
    <cfRule type="cellIs" dxfId="299" priority="41" operator="equal">
      <formula>"NI"</formula>
    </cfRule>
    <cfRule type="cellIs" dxfId="298" priority="42" operator="equal">
      <formula>"N"</formula>
    </cfRule>
    <cfRule type="cellIs" dxfId="297" priority="43" operator="equal">
      <formula>"P"</formula>
    </cfRule>
    <cfRule type="cellIs" dxfId="296" priority="44" operator="equal">
      <formula>"J"</formula>
    </cfRule>
  </conditionalFormatting>
  <conditionalFormatting sqref="I33">
    <cfRule type="cellIs" dxfId="295" priority="37" operator="equal">
      <formula>"NI"</formula>
    </cfRule>
    <cfRule type="cellIs" dxfId="294" priority="38" operator="equal">
      <formula>"N"</formula>
    </cfRule>
    <cfRule type="cellIs" dxfId="293" priority="39" operator="equal">
      <formula>"P"</formula>
    </cfRule>
    <cfRule type="cellIs" dxfId="292" priority="40" operator="equal">
      <formula>"J"</formula>
    </cfRule>
  </conditionalFormatting>
  <conditionalFormatting sqref="J9:J11 J13:J18 J20:J25 J27:J29 J31:J33">
    <cfRule type="cellIs" dxfId="291" priority="33" operator="equal">
      <formula>"NI"</formula>
    </cfRule>
    <cfRule type="cellIs" dxfId="290" priority="34" operator="equal">
      <formula>"N"</formula>
    </cfRule>
    <cfRule type="cellIs" dxfId="289" priority="35" operator="equal">
      <formula>"P"</formula>
    </cfRule>
    <cfRule type="cellIs" dxfId="288" priority="36" operator="equal">
      <formula>"J"</formula>
    </cfRule>
  </conditionalFormatting>
  <conditionalFormatting sqref="K9:K11 K13:K18 K20:K25 K27:K29">
    <cfRule type="cellIs" dxfId="287" priority="29" operator="equal">
      <formula>"NI"</formula>
    </cfRule>
    <cfRule type="cellIs" dxfId="286" priority="30" operator="equal">
      <formula>"N"</formula>
    </cfRule>
    <cfRule type="cellIs" dxfId="285" priority="31" operator="equal">
      <formula>"P"</formula>
    </cfRule>
    <cfRule type="cellIs" dxfId="284" priority="32" operator="equal">
      <formula>"J"</formula>
    </cfRule>
  </conditionalFormatting>
  <conditionalFormatting sqref="L9:L11 L13:L18 L20:L25 L27:L29">
    <cfRule type="cellIs" dxfId="283" priority="25" operator="equal">
      <formula>"NI"</formula>
    </cfRule>
    <cfRule type="cellIs" dxfId="282" priority="26" operator="equal">
      <formula>"N"</formula>
    </cfRule>
    <cfRule type="cellIs" dxfId="281" priority="27" operator="equal">
      <formula>"P"</formula>
    </cfRule>
    <cfRule type="cellIs" dxfId="280" priority="28" operator="equal">
      <formula>"J"</formula>
    </cfRule>
  </conditionalFormatting>
  <conditionalFormatting sqref="L32">
    <cfRule type="cellIs" dxfId="279" priority="21" operator="equal">
      <formula>"NI"</formula>
    </cfRule>
    <cfRule type="cellIs" dxfId="278" priority="22" operator="equal">
      <formula>"N"</formula>
    </cfRule>
    <cfRule type="cellIs" dxfId="277" priority="23" operator="equal">
      <formula>"P"</formula>
    </cfRule>
    <cfRule type="cellIs" dxfId="276" priority="24" operator="equal">
      <formula>"J"</formula>
    </cfRule>
  </conditionalFormatting>
  <conditionalFormatting sqref="L31">
    <cfRule type="cellIs" dxfId="275" priority="17" operator="equal">
      <formula>"NI"</formula>
    </cfRule>
    <cfRule type="cellIs" dxfId="274" priority="18" operator="equal">
      <formula>"N"</formula>
    </cfRule>
    <cfRule type="cellIs" dxfId="273" priority="19" operator="equal">
      <formula>"P"</formula>
    </cfRule>
    <cfRule type="cellIs" dxfId="272" priority="20" operator="equal">
      <formula>"J"</formula>
    </cfRule>
  </conditionalFormatting>
  <conditionalFormatting sqref="L33">
    <cfRule type="cellIs" dxfId="271" priority="13" operator="equal">
      <formula>"NI"</formula>
    </cfRule>
    <cfRule type="cellIs" dxfId="270" priority="14" operator="equal">
      <formula>"N"</formula>
    </cfRule>
    <cfRule type="cellIs" dxfId="269" priority="15" operator="equal">
      <formula>"P"</formula>
    </cfRule>
    <cfRule type="cellIs" dxfId="268" priority="16" operator="equal">
      <formula>"J"</formula>
    </cfRule>
  </conditionalFormatting>
  <conditionalFormatting sqref="D9:D11 D13:D18 D20:D25 D27:D29 D31:D33">
    <cfRule type="cellIs" dxfId="267" priority="9" operator="equal">
      <formula>"NI"</formula>
    </cfRule>
    <cfRule type="cellIs" dxfId="266" priority="10" operator="equal">
      <formula>"N"</formula>
    </cfRule>
    <cfRule type="cellIs" dxfId="265" priority="11" operator="equal">
      <formula>"P"</formula>
    </cfRule>
    <cfRule type="cellIs" dxfId="264" priority="12" operator="equal">
      <formula>"J"</formula>
    </cfRule>
  </conditionalFormatting>
  <conditionalFormatting sqref="E9:E11 E13:E18 E20:E25 E27:E29 E31:E33">
    <cfRule type="cellIs" dxfId="263" priority="5" operator="equal">
      <formula>"NI"</formula>
    </cfRule>
    <cfRule type="cellIs" dxfId="262" priority="6" operator="equal">
      <formula>"N"</formula>
    </cfRule>
    <cfRule type="cellIs" dxfId="261" priority="7" operator="equal">
      <formula>"P"</formula>
    </cfRule>
    <cfRule type="cellIs" dxfId="260" priority="8" operator="equal">
      <formula>"J"</formula>
    </cfRule>
  </conditionalFormatting>
  <conditionalFormatting sqref="F9:F11 F13:F18 F20:F25 F27:F29 F31:F33">
    <cfRule type="cellIs" dxfId="259" priority="1" operator="equal">
      <formula>"NI"</formula>
    </cfRule>
    <cfRule type="cellIs" dxfId="258" priority="2" operator="equal">
      <formula>"N"</formula>
    </cfRule>
    <cfRule type="cellIs" dxfId="257" priority="3" operator="equal">
      <formula>"P"</formula>
    </cfRule>
    <cfRule type="cellIs" dxfId="256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topLeftCell="A7" workbookViewId="0">
      <selection activeCell="C21" sqref="C21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/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333</v>
      </c>
      <c r="E5" s="196" t="s">
        <v>171</v>
      </c>
      <c r="K5" s="425"/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0.58333333333333337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93">
        <v>45404</v>
      </c>
      <c r="S9" s="94">
        <v>0.4284722222222222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93">
        <v>45434</v>
      </c>
      <c r="S10" s="94">
        <v>0.63611111111111107</v>
      </c>
      <c r="T10" s="95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9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9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ht="15" customHeight="1" x14ac:dyDescent="0.25">
      <c r="A18" s="426"/>
      <c r="C18" s="188" t="s">
        <v>271</v>
      </c>
      <c r="D18" s="183" t="s">
        <v>200</v>
      </c>
      <c r="E18" s="183" t="s">
        <v>200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ht="15" customHeight="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ht="15" customHeight="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183"/>
      <c r="E33" s="183"/>
      <c r="F33" s="183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">
      <c r="A35" s="179" t="s">
        <v>241</v>
      </c>
    </row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G9:G11 G13:G18 G20:G25 G27:G29 G31:G33 M27:N29 M31:N31">
    <cfRule type="cellIs" dxfId="255" priority="85" operator="equal">
      <formula>"NI"</formula>
    </cfRule>
    <cfRule type="cellIs" dxfId="254" priority="86" operator="equal">
      <formula>"N"</formula>
    </cfRule>
    <cfRule type="cellIs" dxfId="253" priority="87" operator="equal">
      <formula>"P"</formula>
    </cfRule>
    <cfRule type="cellIs" dxfId="252" priority="88" operator="equal">
      <formula>"J"</formula>
    </cfRule>
  </conditionalFormatting>
  <conditionalFormatting sqref="M32:M33">
    <cfRule type="cellIs" dxfId="251" priority="89" operator="equal">
      <formula>"NI"</formula>
    </cfRule>
    <cfRule type="cellIs" dxfId="250" priority="90" operator="equal">
      <formula>"N"</formula>
    </cfRule>
    <cfRule type="cellIs" dxfId="249" priority="91" operator="equal">
      <formula>"P"</formula>
    </cfRule>
    <cfRule type="cellIs" dxfId="248" priority="92" operator="equal">
      <formula>"J"</formula>
    </cfRule>
  </conditionalFormatting>
  <conditionalFormatting sqref="M9:M10">
    <cfRule type="cellIs" dxfId="247" priority="93" operator="equal">
      <formula>"NI"</formula>
    </cfRule>
    <cfRule type="cellIs" dxfId="246" priority="94" operator="equal">
      <formula>"N"</formula>
    </cfRule>
    <cfRule type="cellIs" dxfId="245" priority="95" operator="equal">
      <formula>"P"</formula>
    </cfRule>
    <cfRule type="cellIs" dxfId="244" priority="96" operator="equal">
      <formula>"J"</formula>
    </cfRule>
  </conditionalFormatting>
  <conditionalFormatting sqref="M11">
    <cfRule type="cellIs" dxfId="243" priority="97" operator="equal">
      <formula>"NI"</formula>
    </cfRule>
    <cfRule type="cellIs" dxfId="242" priority="98" operator="equal">
      <formula>"N"</formula>
    </cfRule>
    <cfRule type="cellIs" dxfId="241" priority="99" operator="equal">
      <formula>"P"</formula>
    </cfRule>
    <cfRule type="cellIs" dxfId="240" priority="100" operator="equal">
      <formula>"J"</formula>
    </cfRule>
  </conditionalFormatting>
  <conditionalFormatting sqref="M13:N18">
    <cfRule type="cellIs" dxfId="239" priority="101" operator="equal">
      <formula>"NI"</formula>
    </cfRule>
    <cfRule type="cellIs" dxfId="238" priority="102" operator="equal">
      <formula>"N"</formula>
    </cfRule>
    <cfRule type="cellIs" dxfId="237" priority="103" operator="equal">
      <formula>"P"</formula>
    </cfRule>
    <cfRule type="cellIs" dxfId="236" priority="104" operator="equal">
      <formula>"J"</formula>
    </cfRule>
  </conditionalFormatting>
  <conditionalFormatting sqref="M20:N25">
    <cfRule type="cellIs" dxfId="235" priority="105" operator="equal">
      <formula>"NI"</formula>
    </cfRule>
    <cfRule type="cellIs" dxfId="234" priority="106" operator="equal">
      <formula>"N"</formula>
    </cfRule>
    <cfRule type="cellIs" dxfId="233" priority="107" operator="equal">
      <formula>"P"</formula>
    </cfRule>
    <cfRule type="cellIs" dxfId="232" priority="108" operator="equal">
      <formula>"J"</formula>
    </cfRule>
  </conditionalFormatting>
  <conditionalFormatting sqref="N32:N33">
    <cfRule type="cellIs" dxfId="231" priority="109" operator="equal">
      <formula>"NI"</formula>
    </cfRule>
    <cfRule type="cellIs" dxfId="230" priority="110" operator="equal">
      <formula>"N"</formula>
    </cfRule>
    <cfRule type="cellIs" dxfId="229" priority="111" operator="equal">
      <formula>"P"</formula>
    </cfRule>
    <cfRule type="cellIs" dxfId="228" priority="112" operator="equal">
      <formula>"J"</formula>
    </cfRule>
  </conditionalFormatting>
  <conditionalFormatting sqref="N9:N11">
    <cfRule type="cellIs" dxfId="227" priority="113" operator="equal">
      <formula>"NI"</formula>
    </cfRule>
    <cfRule type="cellIs" dxfId="226" priority="114" operator="equal">
      <formula>"N"</formula>
    </cfRule>
    <cfRule type="cellIs" dxfId="225" priority="115" operator="equal">
      <formula>"P"</formula>
    </cfRule>
    <cfRule type="cellIs" dxfId="224" priority="116" operator="equal">
      <formula>"J"</formula>
    </cfRule>
  </conditionalFormatting>
  <conditionalFormatting sqref="O9:O11 O13:O18 O20:O25 O27:O29 O31:O33">
    <cfRule type="cellIs" dxfId="223" priority="117" operator="equal">
      <formula>"NI"</formula>
    </cfRule>
    <cfRule type="cellIs" dxfId="222" priority="118" operator="equal">
      <formula>"N"</formula>
    </cfRule>
    <cfRule type="cellIs" dxfId="221" priority="119" operator="equal">
      <formula>"P"</formula>
    </cfRule>
    <cfRule type="cellIs" dxfId="220" priority="120" operator="equal">
      <formula>"J"</formula>
    </cfRule>
  </conditionalFormatting>
  <conditionalFormatting sqref="H9:H11 H13:H18 H20:H25 H27:H29 H31:H33">
    <cfRule type="cellIs" dxfId="219" priority="45" operator="equal">
      <formula>"NI"</formula>
    </cfRule>
    <cfRule type="cellIs" dxfId="218" priority="46" operator="equal">
      <formula>"N"</formula>
    </cfRule>
    <cfRule type="cellIs" dxfId="217" priority="47" operator="equal">
      <formula>"P"</formula>
    </cfRule>
    <cfRule type="cellIs" dxfId="216" priority="48" operator="equal">
      <formula>"J"</formula>
    </cfRule>
  </conditionalFormatting>
  <conditionalFormatting sqref="I9:I11 I13:I18 I20:I25 I27:I29 I31:I32">
    <cfRule type="cellIs" dxfId="215" priority="41" operator="equal">
      <formula>"NI"</formula>
    </cfRule>
    <cfRule type="cellIs" dxfId="214" priority="42" operator="equal">
      <formula>"N"</formula>
    </cfRule>
    <cfRule type="cellIs" dxfId="213" priority="43" operator="equal">
      <formula>"P"</formula>
    </cfRule>
    <cfRule type="cellIs" dxfId="212" priority="44" operator="equal">
      <formula>"J"</formula>
    </cfRule>
  </conditionalFormatting>
  <conditionalFormatting sqref="I33">
    <cfRule type="cellIs" dxfId="211" priority="37" operator="equal">
      <formula>"NI"</formula>
    </cfRule>
    <cfRule type="cellIs" dxfId="210" priority="38" operator="equal">
      <formula>"N"</formula>
    </cfRule>
    <cfRule type="cellIs" dxfId="209" priority="39" operator="equal">
      <formula>"P"</formula>
    </cfRule>
    <cfRule type="cellIs" dxfId="208" priority="40" operator="equal">
      <formula>"J"</formula>
    </cfRule>
  </conditionalFormatting>
  <conditionalFormatting sqref="J9:J11 J13:J18 J20:J25 J27:J29 J31:J33">
    <cfRule type="cellIs" dxfId="207" priority="33" operator="equal">
      <formula>"NI"</formula>
    </cfRule>
    <cfRule type="cellIs" dxfId="206" priority="34" operator="equal">
      <formula>"N"</formula>
    </cfRule>
    <cfRule type="cellIs" dxfId="205" priority="35" operator="equal">
      <formula>"P"</formula>
    </cfRule>
    <cfRule type="cellIs" dxfId="204" priority="36" operator="equal">
      <formula>"J"</formula>
    </cfRule>
  </conditionalFormatting>
  <conditionalFormatting sqref="K9:K11 K13:K18 K20:K25 K27:K29 K31:K33">
    <cfRule type="cellIs" dxfId="203" priority="29" operator="equal">
      <formula>"NI"</formula>
    </cfRule>
    <cfRule type="cellIs" dxfId="202" priority="30" operator="equal">
      <formula>"N"</formula>
    </cfRule>
    <cfRule type="cellIs" dxfId="201" priority="31" operator="equal">
      <formula>"P"</formula>
    </cfRule>
    <cfRule type="cellIs" dxfId="200" priority="32" operator="equal">
      <formula>"J"</formula>
    </cfRule>
  </conditionalFormatting>
  <conditionalFormatting sqref="L9:L11 L13:L16 L18 L20:L25 L27:L29 L32">
    <cfRule type="cellIs" dxfId="199" priority="25" operator="equal">
      <formula>"NI"</formula>
    </cfRule>
    <cfRule type="cellIs" dxfId="198" priority="26" operator="equal">
      <formula>"N"</formula>
    </cfRule>
    <cfRule type="cellIs" dxfId="197" priority="27" operator="equal">
      <formula>"P"</formula>
    </cfRule>
    <cfRule type="cellIs" dxfId="196" priority="28" operator="equal">
      <formula>"J"</formula>
    </cfRule>
  </conditionalFormatting>
  <conditionalFormatting sqref="L17">
    <cfRule type="cellIs" dxfId="195" priority="21" operator="equal">
      <formula>"NI"</formula>
    </cfRule>
    <cfRule type="cellIs" dxfId="194" priority="22" operator="equal">
      <formula>"N"</formula>
    </cfRule>
    <cfRule type="cellIs" dxfId="193" priority="23" operator="equal">
      <formula>"P"</formula>
    </cfRule>
    <cfRule type="cellIs" dxfId="192" priority="24" operator="equal">
      <formula>"J"</formula>
    </cfRule>
  </conditionalFormatting>
  <conditionalFormatting sqref="L31">
    <cfRule type="cellIs" dxfId="191" priority="17" operator="equal">
      <formula>"NI"</formula>
    </cfRule>
    <cfRule type="cellIs" dxfId="190" priority="18" operator="equal">
      <formula>"N"</formula>
    </cfRule>
    <cfRule type="cellIs" dxfId="189" priority="19" operator="equal">
      <formula>"P"</formula>
    </cfRule>
    <cfRule type="cellIs" dxfId="188" priority="20" operator="equal">
      <formula>"J"</formula>
    </cfRule>
  </conditionalFormatting>
  <conditionalFormatting sqref="L33">
    <cfRule type="cellIs" dxfId="187" priority="13" operator="equal">
      <formula>"NI"</formula>
    </cfRule>
    <cfRule type="cellIs" dxfId="186" priority="14" operator="equal">
      <formula>"N"</formula>
    </cfRule>
    <cfRule type="cellIs" dxfId="185" priority="15" operator="equal">
      <formula>"P"</formula>
    </cfRule>
    <cfRule type="cellIs" dxfId="184" priority="16" operator="equal">
      <formula>"J"</formula>
    </cfRule>
  </conditionalFormatting>
  <conditionalFormatting sqref="D9:D11 D13:D18 D20:D25 D27:D29 D31:D33">
    <cfRule type="cellIs" dxfId="183" priority="9" operator="equal">
      <formula>"NI"</formula>
    </cfRule>
    <cfRule type="cellIs" dxfId="182" priority="10" operator="equal">
      <formula>"N"</formula>
    </cfRule>
    <cfRule type="cellIs" dxfId="181" priority="11" operator="equal">
      <formula>"P"</formula>
    </cfRule>
    <cfRule type="cellIs" dxfId="180" priority="12" operator="equal">
      <formula>"J"</formula>
    </cfRule>
  </conditionalFormatting>
  <conditionalFormatting sqref="E9:E11 E13:E18 E20:E25 E27:E29 E31:E33">
    <cfRule type="cellIs" dxfId="179" priority="5" operator="equal">
      <formula>"NI"</formula>
    </cfRule>
    <cfRule type="cellIs" dxfId="178" priority="6" operator="equal">
      <formula>"N"</formula>
    </cfRule>
    <cfRule type="cellIs" dxfId="177" priority="7" operator="equal">
      <formula>"P"</formula>
    </cfRule>
    <cfRule type="cellIs" dxfId="176" priority="8" operator="equal">
      <formula>"J"</formula>
    </cfRule>
  </conditionalFormatting>
  <conditionalFormatting sqref="F9:F11 F13:F18 F20:F25 F27:F29 F31:F33">
    <cfRule type="cellIs" dxfId="175" priority="1" operator="equal">
      <formula>"NI"</formula>
    </cfRule>
    <cfRule type="cellIs" dxfId="174" priority="2" operator="equal">
      <formula>"N"</formula>
    </cfRule>
    <cfRule type="cellIs" dxfId="173" priority="3" operator="equal">
      <formula>"P"</formula>
    </cfRule>
    <cfRule type="cellIs" dxfId="172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5"/>
  <sheetViews>
    <sheetView workbookViewId="0">
      <selection activeCell="K23" sqref="K23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332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/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333</v>
      </c>
      <c r="E5" s="196" t="s">
        <v>171</v>
      </c>
      <c r="K5" s="425"/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194"/>
      <c r="I8" s="194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0.58333333333333337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84"/>
      <c r="I9" s="184"/>
      <c r="J9" s="183"/>
      <c r="K9" s="183"/>
      <c r="L9" s="183"/>
      <c r="M9" s="183"/>
      <c r="N9" s="183"/>
      <c r="O9" s="183"/>
      <c r="Q9" s="204" t="s">
        <v>16</v>
      </c>
      <c r="R9" s="93">
        <v>45404</v>
      </c>
      <c r="S9" s="94">
        <v>0.42916666666666659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84"/>
      <c r="I10" s="184"/>
      <c r="J10" s="183"/>
      <c r="K10" s="183"/>
      <c r="L10" s="183"/>
      <c r="M10" s="183"/>
      <c r="N10" s="183"/>
      <c r="O10" s="183"/>
      <c r="Q10" s="204" t="s">
        <v>17</v>
      </c>
      <c r="R10" s="93">
        <v>45434</v>
      </c>
      <c r="S10" s="94">
        <v>0.63680555555555551</v>
      </c>
      <c r="T10" s="95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84"/>
      <c r="I11" s="184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194"/>
      <c r="I12" s="194"/>
      <c r="J12" s="193"/>
      <c r="K12" s="193"/>
      <c r="L12" s="193"/>
      <c r="M12" s="192"/>
      <c r="N12" s="192"/>
      <c r="O12" s="192"/>
      <c r="Q12" s="204" t="s">
        <v>19</v>
      </c>
      <c r="R12" s="220"/>
      <c r="S12" s="221"/>
      <c r="T12" s="222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84"/>
      <c r="I13" s="184"/>
      <c r="J13" s="183"/>
      <c r="K13" s="183"/>
      <c r="L13" s="183"/>
      <c r="M13" s="183"/>
      <c r="N13" s="183"/>
      <c r="O13" s="183"/>
      <c r="Q13" s="204" t="s">
        <v>20</v>
      </c>
      <c r="R13" s="207"/>
      <c r="S13" s="206"/>
      <c r="T13" s="20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84"/>
      <c r="I14" s="184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5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84"/>
      <c r="I15" s="184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20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84"/>
      <c r="I16" s="184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1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84"/>
      <c r="I17" s="184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1" ht="15" customHeight="1" x14ac:dyDescent="0.25">
      <c r="A18" s="426"/>
      <c r="C18" s="188" t="s">
        <v>271</v>
      </c>
      <c r="D18" s="183" t="s">
        <v>196</v>
      </c>
      <c r="E18" s="183" t="s">
        <v>196</v>
      </c>
      <c r="F18" s="183" t="s">
        <v>200</v>
      </c>
      <c r="G18" s="183"/>
      <c r="H18" s="184"/>
      <c r="I18" s="184"/>
      <c r="J18" s="183"/>
      <c r="K18" s="183"/>
      <c r="L18" s="183"/>
      <c r="M18" s="183"/>
      <c r="N18" s="183"/>
      <c r="O18" s="183"/>
      <c r="Q18" s="204" t="s">
        <v>25</v>
      </c>
      <c r="R18" s="201"/>
      <c r="S18" s="203"/>
      <c r="T18" s="202"/>
    </row>
    <row r="19" spans="1:21" ht="15" customHeight="1" x14ac:dyDescent="0.25">
      <c r="A19" s="426"/>
      <c r="B19" s="195" t="s">
        <v>220</v>
      </c>
      <c r="C19" s="186"/>
      <c r="D19" s="193">
        <v>2</v>
      </c>
      <c r="E19" s="193">
        <v>2</v>
      </c>
      <c r="F19" s="193">
        <v>2</v>
      </c>
      <c r="G19" s="192"/>
      <c r="H19" s="194"/>
      <c r="I19" s="194"/>
      <c r="J19" s="193"/>
      <c r="K19" s="193"/>
      <c r="L19" s="193"/>
      <c r="M19" s="192"/>
      <c r="N19" s="192"/>
      <c r="O19" s="192"/>
      <c r="Q19" s="200" t="s">
        <v>26</v>
      </c>
      <c r="R19" s="201"/>
      <c r="S19" s="201"/>
      <c r="T19" s="201"/>
    </row>
    <row r="20" spans="1:21" ht="15" customHeight="1" x14ac:dyDescent="0.25">
      <c r="A20" s="426"/>
      <c r="C20" s="188" t="s">
        <v>222</v>
      </c>
      <c r="D20" s="183" t="s">
        <v>200</v>
      </c>
      <c r="E20" s="183" t="s">
        <v>200</v>
      </c>
      <c r="F20" s="183" t="s">
        <v>200</v>
      </c>
      <c r="G20" s="183"/>
      <c r="H20" s="184"/>
      <c r="I20" s="184"/>
      <c r="J20" s="183"/>
      <c r="K20" s="183"/>
      <c r="L20" s="183"/>
      <c r="M20" s="183"/>
      <c r="N20" s="183"/>
      <c r="O20" s="183"/>
      <c r="Q20" s="200"/>
      <c r="R20" s="199"/>
      <c r="S20" s="198"/>
      <c r="T20" s="197"/>
    </row>
    <row r="21" spans="1:21" ht="15.75" customHeight="1" thickBot="1" x14ac:dyDescent="0.3">
      <c r="A21" s="426"/>
      <c r="C21" s="188" t="s">
        <v>267</v>
      </c>
      <c r="D21" s="183" t="s">
        <v>200</v>
      </c>
      <c r="E21" s="183" t="s">
        <v>200</v>
      </c>
      <c r="F21" s="183" t="s">
        <v>200</v>
      </c>
      <c r="G21" s="183"/>
      <c r="H21" s="184"/>
      <c r="I21" s="184"/>
      <c r="J21" s="183"/>
      <c r="K21" s="183"/>
      <c r="L21" s="183"/>
      <c r="M21" s="183"/>
      <c r="N21" s="183"/>
      <c r="O21" s="183"/>
      <c r="Q21" s="196" t="s">
        <v>224</v>
      </c>
    </row>
    <row r="22" spans="1:21" ht="15.75" customHeight="1" x14ac:dyDescent="0.25">
      <c r="A22" s="426"/>
      <c r="C22" s="188" t="s">
        <v>226</v>
      </c>
      <c r="D22" s="183" t="s">
        <v>200</v>
      </c>
      <c r="E22" s="183" t="s">
        <v>200</v>
      </c>
      <c r="F22" s="183" t="s">
        <v>200</v>
      </c>
      <c r="G22" s="183"/>
      <c r="H22" s="184"/>
      <c r="I22" s="184"/>
      <c r="J22" s="183"/>
      <c r="K22" s="183"/>
      <c r="L22" s="183"/>
      <c r="M22" s="183"/>
      <c r="N22" s="183"/>
      <c r="O22" s="183"/>
      <c r="Q22" s="472"/>
      <c r="R22" s="397"/>
      <c r="S22" s="397"/>
      <c r="T22" s="397"/>
      <c r="U22" s="398"/>
    </row>
    <row r="23" spans="1:21" ht="15.75" customHeight="1" x14ac:dyDescent="0.25">
      <c r="A23" s="426"/>
      <c r="C23" s="188" t="s">
        <v>259</v>
      </c>
      <c r="D23" s="183" t="s">
        <v>200</v>
      </c>
      <c r="E23" s="183" t="s">
        <v>196</v>
      </c>
      <c r="F23" s="183" t="s">
        <v>200</v>
      </c>
      <c r="G23" s="183"/>
      <c r="H23" s="184"/>
      <c r="I23" s="184"/>
      <c r="J23" s="183"/>
      <c r="K23" s="183"/>
      <c r="L23" s="183"/>
      <c r="M23" s="183"/>
      <c r="N23" s="183"/>
      <c r="O23" s="183"/>
      <c r="Q23" s="420"/>
      <c r="R23" s="381"/>
      <c r="S23" s="381"/>
      <c r="T23" s="381"/>
      <c r="U23" s="403"/>
    </row>
    <row r="24" spans="1:21" ht="15.75" customHeight="1" x14ac:dyDescent="0.25">
      <c r="A24" s="426"/>
      <c r="C24" s="188" t="s">
        <v>227</v>
      </c>
      <c r="D24" s="183" t="s">
        <v>200</v>
      </c>
      <c r="E24" s="183" t="s">
        <v>200</v>
      </c>
      <c r="F24" s="183" t="s">
        <v>200</v>
      </c>
      <c r="G24" s="183"/>
      <c r="H24" s="184"/>
      <c r="I24" s="184"/>
      <c r="J24" s="183"/>
      <c r="K24" s="183"/>
      <c r="L24" s="183"/>
      <c r="M24" s="183"/>
      <c r="N24" s="183"/>
      <c r="O24" s="183"/>
      <c r="Q24" s="422"/>
      <c r="R24" s="423"/>
      <c r="S24" s="423"/>
      <c r="T24" s="423"/>
      <c r="U24" s="424"/>
    </row>
    <row r="25" spans="1:21" ht="15.75" customHeight="1" x14ac:dyDescent="0.25">
      <c r="A25" s="426"/>
      <c r="C25" s="188" t="s">
        <v>223</v>
      </c>
      <c r="D25" s="183" t="s">
        <v>200</v>
      </c>
      <c r="E25" s="183" t="s">
        <v>200</v>
      </c>
      <c r="F25" s="183" t="s">
        <v>200</v>
      </c>
      <c r="G25" s="183"/>
      <c r="H25" s="184"/>
      <c r="I25" s="184"/>
      <c r="J25" s="183"/>
      <c r="K25" s="183"/>
      <c r="L25" s="183"/>
      <c r="M25" s="183"/>
      <c r="N25" s="183"/>
      <c r="O25" s="183"/>
      <c r="Q25" s="420"/>
      <c r="R25" s="381"/>
      <c r="S25" s="381"/>
      <c r="T25" s="381"/>
      <c r="U25" s="403"/>
    </row>
    <row r="26" spans="1:21" ht="15.75" customHeight="1" x14ac:dyDescent="0.25">
      <c r="A26" s="426"/>
      <c r="B26" s="195" t="s">
        <v>229</v>
      </c>
      <c r="C26" s="186"/>
      <c r="D26" s="193">
        <v>2</v>
      </c>
      <c r="E26" s="193">
        <v>2</v>
      </c>
      <c r="F26" s="193">
        <v>2</v>
      </c>
      <c r="G26" s="192"/>
      <c r="H26" s="194"/>
      <c r="I26" s="194"/>
      <c r="J26" s="193"/>
      <c r="K26" s="193"/>
      <c r="L26" s="193"/>
      <c r="M26" s="192"/>
      <c r="N26" s="192"/>
      <c r="O26" s="192"/>
      <c r="Q26" s="420"/>
      <c r="R26" s="381"/>
      <c r="S26" s="381"/>
      <c r="T26" s="381"/>
      <c r="U26" s="403"/>
    </row>
    <row r="27" spans="1:21" ht="15.75" customHeight="1" x14ac:dyDescent="0.25">
      <c r="A27" s="426"/>
      <c r="C27" s="188" t="s">
        <v>262</v>
      </c>
      <c r="D27" s="183" t="s">
        <v>200</v>
      </c>
      <c r="E27" s="183" t="s">
        <v>200</v>
      </c>
      <c r="F27" s="183" t="s">
        <v>200</v>
      </c>
      <c r="G27" s="183"/>
      <c r="H27" s="184"/>
      <c r="I27" s="184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1" ht="15.75" customHeight="1" x14ac:dyDescent="0.25">
      <c r="A28" s="426"/>
      <c r="C28" s="187" t="s">
        <v>231</v>
      </c>
      <c r="D28" s="183" t="s">
        <v>200</v>
      </c>
      <c r="E28" s="183" t="s">
        <v>200</v>
      </c>
      <c r="F28" s="183" t="s">
        <v>200</v>
      </c>
      <c r="G28" s="183"/>
      <c r="H28" s="184"/>
      <c r="I28" s="184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1" ht="15.75" customHeight="1" x14ac:dyDescent="0.25">
      <c r="A29" s="333"/>
      <c r="C29" s="187" t="s">
        <v>254</v>
      </c>
      <c r="D29" s="183" t="s">
        <v>200</v>
      </c>
      <c r="E29" s="183" t="s">
        <v>200</v>
      </c>
      <c r="F29" s="183" t="s">
        <v>200</v>
      </c>
      <c r="G29" s="183"/>
      <c r="H29" s="184"/>
      <c r="I29" s="184"/>
      <c r="J29" s="183"/>
      <c r="K29" s="183"/>
      <c r="L29" s="183"/>
      <c r="M29" s="183"/>
      <c r="N29" s="183"/>
      <c r="O29" s="183"/>
      <c r="Q29" s="420"/>
      <c r="R29" s="381"/>
      <c r="S29" s="381"/>
      <c r="T29" s="381"/>
      <c r="U29" s="403"/>
    </row>
    <row r="30" spans="1:21" ht="15.75" customHeight="1" x14ac:dyDescent="0.25">
      <c r="A30" s="432" t="s">
        <v>233</v>
      </c>
      <c r="B30" s="341"/>
      <c r="C30" s="341"/>
      <c r="D30" s="190"/>
      <c r="E30" s="190"/>
      <c r="F30" s="190"/>
      <c r="G30" s="189"/>
      <c r="H30" s="191"/>
      <c r="I30" s="191"/>
      <c r="J30" s="190"/>
      <c r="K30" s="190"/>
      <c r="L30" s="190"/>
      <c r="M30" s="189"/>
      <c r="N30" s="189"/>
      <c r="O30" s="189"/>
      <c r="Q30" s="420"/>
      <c r="R30" s="381"/>
      <c r="S30" s="381"/>
      <c r="T30" s="381"/>
      <c r="U30" s="403"/>
    </row>
    <row r="31" spans="1:21" ht="15.75" customHeight="1" x14ac:dyDescent="0.25">
      <c r="A31" s="186"/>
      <c r="C31" s="188" t="s">
        <v>83</v>
      </c>
      <c r="D31" s="183"/>
      <c r="E31" s="183"/>
      <c r="F31" s="183"/>
      <c r="G31" s="183"/>
      <c r="H31" s="184"/>
      <c r="I31" s="184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1" ht="15.75" customHeight="1" x14ac:dyDescent="0.25">
      <c r="A32" s="186"/>
      <c r="C32" s="187" t="s">
        <v>234</v>
      </c>
      <c r="D32" s="183"/>
      <c r="E32" s="183"/>
      <c r="F32" s="183"/>
      <c r="G32" s="183"/>
      <c r="H32" s="184"/>
      <c r="I32" s="184"/>
      <c r="J32" s="183"/>
      <c r="K32" s="183"/>
      <c r="L32" s="183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x14ac:dyDescent="0.25">
      <c r="A33" s="186"/>
      <c r="C33" s="185" t="s">
        <v>85</v>
      </c>
      <c r="D33" s="183"/>
      <c r="E33" s="183"/>
      <c r="F33" s="183"/>
      <c r="G33" s="183"/>
      <c r="H33" s="184"/>
      <c r="I33" s="184"/>
      <c r="J33" s="183"/>
      <c r="K33" s="183"/>
      <c r="L33" s="227"/>
      <c r="M33" s="183"/>
      <c r="N33" s="183"/>
      <c r="O33" s="183"/>
      <c r="Q33" s="420"/>
      <c r="R33" s="381"/>
      <c r="S33" s="381"/>
      <c r="T33" s="381"/>
      <c r="U33" s="403"/>
    </row>
    <row r="34" spans="1:21" ht="15.75" customHeight="1" thickBot="1" x14ac:dyDescent="0.3">
      <c r="A34" s="434" t="s">
        <v>235</v>
      </c>
      <c r="B34" s="341"/>
      <c r="C34" s="341"/>
      <c r="D34" s="181" t="s">
        <v>240</v>
      </c>
      <c r="E34" s="181" t="s">
        <v>240</v>
      </c>
      <c r="F34" s="181" t="s">
        <v>240</v>
      </c>
      <c r="G34" s="181"/>
      <c r="H34" s="182"/>
      <c r="I34" s="182"/>
      <c r="J34" s="181"/>
      <c r="K34" s="181"/>
      <c r="L34" s="181"/>
      <c r="M34" s="180"/>
      <c r="N34" s="180"/>
      <c r="O34" s="180"/>
      <c r="Q34" s="430"/>
      <c r="R34" s="400"/>
      <c r="S34" s="400"/>
      <c r="T34" s="400"/>
      <c r="U34" s="401"/>
    </row>
    <row r="35" spans="1:21" ht="15.75" customHeight="1" x14ac:dyDescent="0.2">
      <c r="A35" s="179" t="s">
        <v>241</v>
      </c>
    </row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24">
    <mergeCell ref="Q34:U34"/>
    <mergeCell ref="A5:B5"/>
    <mergeCell ref="A30:C30"/>
    <mergeCell ref="Q22:U22"/>
    <mergeCell ref="A34:C34"/>
    <mergeCell ref="Q30:U30"/>
    <mergeCell ref="Q27:U27"/>
    <mergeCell ref="Q32:U32"/>
    <mergeCell ref="A6:O6"/>
    <mergeCell ref="Q6:T6"/>
    <mergeCell ref="A7:C7"/>
    <mergeCell ref="A2:O2"/>
    <mergeCell ref="Q29:U29"/>
    <mergeCell ref="Q23:U23"/>
    <mergeCell ref="Q26:U26"/>
    <mergeCell ref="A8:A29"/>
    <mergeCell ref="A4:B4"/>
    <mergeCell ref="Q25:U25"/>
    <mergeCell ref="Q28:U28"/>
    <mergeCell ref="I4:O4"/>
    <mergeCell ref="Q33:U33"/>
    <mergeCell ref="K5:O5"/>
    <mergeCell ref="Q24:U24"/>
    <mergeCell ref="Q31:U31"/>
  </mergeCells>
  <conditionalFormatting sqref="G9:G11 G13:G18 G20:G25 G27:G29 G31:G33 M27:N29 M31:N31">
    <cfRule type="cellIs" dxfId="171" priority="89" operator="equal">
      <formula>"NI"</formula>
    </cfRule>
    <cfRule type="cellIs" dxfId="170" priority="90" operator="equal">
      <formula>"N"</formula>
    </cfRule>
    <cfRule type="cellIs" dxfId="169" priority="91" operator="equal">
      <formula>"P"</formula>
    </cfRule>
    <cfRule type="cellIs" dxfId="168" priority="92" operator="equal">
      <formula>"J"</formula>
    </cfRule>
  </conditionalFormatting>
  <conditionalFormatting sqref="M32:M33">
    <cfRule type="cellIs" dxfId="167" priority="93" operator="equal">
      <formula>"NI"</formula>
    </cfRule>
    <cfRule type="cellIs" dxfId="166" priority="94" operator="equal">
      <formula>"N"</formula>
    </cfRule>
    <cfRule type="cellIs" dxfId="165" priority="95" operator="equal">
      <formula>"P"</formula>
    </cfRule>
    <cfRule type="cellIs" dxfId="164" priority="96" operator="equal">
      <formula>"J"</formula>
    </cfRule>
  </conditionalFormatting>
  <conditionalFormatting sqref="M9:M10">
    <cfRule type="cellIs" dxfId="163" priority="97" operator="equal">
      <formula>"NI"</formula>
    </cfRule>
    <cfRule type="cellIs" dxfId="162" priority="98" operator="equal">
      <formula>"N"</formula>
    </cfRule>
    <cfRule type="cellIs" dxfId="161" priority="99" operator="equal">
      <formula>"P"</formula>
    </cfRule>
    <cfRule type="cellIs" dxfId="160" priority="100" operator="equal">
      <formula>"J"</formula>
    </cfRule>
  </conditionalFormatting>
  <conditionalFormatting sqref="M11">
    <cfRule type="cellIs" dxfId="159" priority="101" operator="equal">
      <formula>"NI"</formula>
    </cfRule>
    <cfRule type="cellIs" dxfId="158" priority="102" operator="equal">
      <formula>"N"</formula>
    </cfRule>
    <cfRule type="cellIs" dxfId="157" priority="103" operator="equal">
      <formula>"P"</formula>
    </cfRule>
    <cfRule type="cellIs" dxfId="156" priority="104" operator="equal">
      <formula>"J"</formula>
    </cfRule>
  </conditionalFormatting>
  <conditionalFormatting sqref="M13:N18">
    <cfRule type="cellIs" dxfId="155" priority="105" operator="equal">
      <formula>"NI"</formula>
    </cfRule>
    <cfRule type="cellIs" dxfId="154" priority="106" operator="equal">
      <formula>"N"</formula>
    </cfRule>
    <cfRule type="cellIs" dxfId="153" priority="107" operator="equal">
      <formula>"P"</formula>
    </cfRule>
    <cfRule type="cellIs" dxfId="152" priority="108" operator="equal">
      <formula>"J"</formula>
    </cfRule>
  </conditionalFormatting>
  <conditionalFormatting sqref="M20:N25">
    <cfRule type="cellIs" dxfId="151" priority="109" operator="equal">
      <formula>"NI"</formula>
    </cfRule>
    <cfRule type="cellIs" dxfId="150" priority="110" operator="equal">
      <formula>"N"</formula>
    </cfRule>
    <cfRule type="cellIs" dxfId="149" priority="111" operator="equal">
      <formula>"P"</formula>
    </cfRule>
    <cfRule type="cellIs" dxfId="148" priority="112" operator="equal">
      <formula>"J"</formula>
    </cfRule>
  </conditionalFormatting>
  <conditionalFormatting sqref="N32:N33">
    <cfRule type="cellIs" dxfId="147" priority="113" operator="equal">
      <formula>"NI"</formula>
    </cfRule>
    <cfRule type="cellIs" dxfId="146" priority="114" operator="equal">
      <formula>"N"</formula>
    </cfRule>
    <cfRule type="cellIs" dxfId="145" priority="115" operator="equal">
      <formula>"P"</formula>
    </cfRule>
    <cfRule type="cellIs" dxfId="144" priority="116" operator="equal">
      <formula>"J"</formula>
    </cfRule>
  </conditionalFormatting>
  <conditionalFormatting sqref="N9:N11">
    <cfRule type="cellIs" dxfId="143" priority="117" operator="equal">
      <formula>"NI"</formula>
    </cfRule>
    <cfRule type="cellIs" dxfId="142" priority="118" operator="equal">
      <formula>"N"</formula>
    </cfRule>
    <cfRule type="cellIs" dxfId="141" priority="119" operator="equal">
      <formula>"P"</formula>
    </cfRule>
    <cfRule type="cellIs" dxfId="140" priority="120" operator="equal">
      <formula>"J"</formula>
    </cfRule>
  </conditionalFormatting>
  <conditionalFormatting sqref="O9:O11 O13:O18 O20:O25 O27:O29 O31:O33">
    <cfRule type="cellIs" dxfId="139" priority="121" operator="equal">
      <formula>"NI"</formula>
    </cfRule>
    <cfRule type="cellIs" dxfId="138" priority="122" operator="equal">
      <formula>"N"</formula>
    </cfRule>
    <cfRule type="cellIs" dxfId="137" priority="123" operator="equal">
      <formula>"P"</formula>
    </cfRule>
    <cfRule type="cellIs" dxfId="136" priority="124" operator="equal">
      <formula>"J"</formula>
    </cfRule>
  </conditionalFormatting>
  <conditionalFormatting sqref="H9:H11 H13:H18 H20:H25 H27:H29 H31:H33">
    <cfRule type="cellIs" dxfId="135" priority="49" operator="equal">
      <formula>"NI"</formula>
    </cfRule>
    <cfRule type="cellIs" dxfId="134" priority="50" operator="equal">
      <formula>"N"</formula>
    </cfRule>
    <cfRule type="cellIs" dxfId="133" priority="51" operator="equal">
      <formula>"P"</formula>
    </cfRule>
    <cfRule type="cellIs" dxfId="132" priority="52" operator="equal">
      <formula>"J"</formula>
    </cfRule>
  </conditionalFormatting>
  <conditionalFormatting sqref="I9:I11 I13:I18 I20:I25 I27:I29 I31:I32">
    <cfRule type="cellIs" dxfId="131" priority="45" operator="equal">
      <formula>"NI"</formula>
    </cfRule>
    <cfRule type="cellIs" dxfId="130" priority="46" operator="equal">
      <formula>"N"</formula>
    </cfRule>
    <cfRule type="cellIs" dxfId="129" priority="47" operator="equal">
      <formula>"P"</formula>
    </cfRule>
    <cfRule type="cellIs" dxfId="128" priority="48" operator="equal">
      <formula>"J"</formula>
    </cfRule>
  </conditionalFormatting>
  <conditionalFormatting sqref="I33">
    <cfRule type="cellIs" dxfId="127" priority="41" operator="equal">
      <formula>"NI"</formula>
    </cfRule>
    <cfRule type="cellIs" dxfId="126" priority="42" operator="equal">
      <formula>"N"</formula>
    </cfRule>
    <cfRule type="cellIs" dxfId="125" priority="43" operator="equal">
      <formula>"P"</formula>
    </cfRule>
    <cfRule type="cellIs" dxfId="124" priority="44" operator="equal">
      <formula>"J"</formula>
    </cfRule>
  </conditionalFormatting>
  <conditionalFormatting sqref="J9:J11 J13:J18 J20:J25 J27:J29 J31:J33">
    <cfRule type="cellIs" dxfId="123" priority="37" operator="equal">
      <formula>"NI"</formula>
    </cfRule>
    <cfRule type="cellIs" dxfId="122" priority="38" operator="equal">
      <formula>"N"</formula>
    </cfRule>
    <cfRule type="cellIs" dxfId="121" priority="39" operator="equal">
      <formula>"P"</formula>
    </cfRule>
    <cfRule type="cellIs" dxfId="120" priority="40" operator="equal">
      <formula>"J"</formula>
    </cfRule>
  </conditionalFormatting>
  <conditionalFormatting sqref="K9:K11 K13:K18 K20:K25 K27:K29 K31:K33">
    <cfRule type="cellIs" dxfId="119" priority="33" operator="equal">
      <formula>"NI"</formula>
    </cfRule>
    <cfRule type="cellIs" dxfId="118" priority="34" operator="equal">
      <formula>"N"</formula>
    </cfRule>
    <cfRule type="cellIs" dxfId="117" priority="35" operator="equal">
      <formula>"P"</formula>
    </cfRule>
    <cfRule type="cellIs" dxfId="116" priority="36" operator="equal">
      <formula>"J"</formula>
    </cfRule>
  </conditionalFormatting>
  <conditionalFormatting sqref="L9:L11 L13:L16 L18 L20:L25 L27:L29">
    <cfRule type="cellIs" dxfId="115" priority="29" operator="equal">
      <formula>"NI"</formula>
    </cfRule>
    <cfRule type="cellIs" dxfId="114" priority="30" operator="equal">
      <formula>"N"</formula>
    </cfRule>
    <cfRule type="cellIs" dxfId="113" priority="31" operator="equal">
      <formula>"P"</formula>
    </cfRule>
    <cfRule type="cellIs" dxfId="112" priority="32" operator="equal">
      <formula>"J"</formula>
    </cfRule>
  </conditionalFormatting>
  <conditionalFormatting sqref="L17">
    <cfRule type="cellIs" dxfId="111" priority="25" operator="equal">
      <formula>"NI"</formula>
    </cfRule>
    <cfRule type="cellIs" dxfId="110" priority="26" operator="equal">
      <formula>"N"</formula>
    </cfRule>
    <cfRule type="cellIs" dxfId="109" priority="27" operator="equal">
      <formula>"P"</formula>
    </cfRule>
    <cfRule type="cellIs" dxfId="108" priority="28" operator="equal">
      <formula>"J"</formula>
    </cfRule>
  </conditionalFormatting>
  <conditionalFormatting sqref="L32">
    <cfRule type="cellIs" dxfId="107" priority="21" operator="equal">
      <formula>"NI"</formula>
    </cfRule>
    <cfRule type="cellIs" dxfId="106" priority="22" operator="equal">
      <formula>"N"</formula>
    </cfRule>
    <cfRule type="cellIs" dxfId="105" priority="23" operator="equal">
      <formula>"P"</formula>
    </cfRule>
    <cfRule type="cellIs" dxfId="104" priority="24" operator="equal">
      <formula>"J"</formula>
    </cfRule>
  </conditionalFormatting>
  <conditionalFormatting sqref="L31">
    <cfRule type="cellIs" dxfId="103" priority="17" operator="equal">
      <formula>"NI"</formula>
    </cfRule>
    <cfRule type="cellIs" dxfId="102" priority="18" operator="equal">
      <formula>"N"</formula>
    </cfRule>
    <cfRule type="cellIs" dxfId="101" priority="19" operator="equal">
      <formula>"P"</formula>
    </cfRule>
    <cfRule type="cellIs" dxfId="100" priority="20" operator="equal">
      <formula>"J"</formula>
    </cfRule>
  </conditionalFormatting>
  <conditionalFormatting sqref="L33">
    <cfRule type="cellIs" dxfId="99" priority="13" operator="equal">
      <formula>"NI"</formula>
    </cfRule>
    <cfRule type="cellIs" dxfId="98" priority="14" operator="equal">
      <formula>"N"</formula>
    </cfRule>
    <cfRule type="cellIs" dxfId="97" priority="15" operator="equal">
      <formula>"P"</formula>
    </cfRule>
    <cfRule type="cellIs" dxfId="96" priority="16" operator="equal">
      <formula>"J"</formula>
    </cfRule>
  </conditionalFormatting>
  <conditionalFormatting sqref="D9:D11 D13:D18 D20:D25 D27:D29 D31:D33">
    <cfRule type="cellIs" dxfId="95" priority="9" operator="equal">
      <formula>"NI"</formula>
    </cfRule>
    <cfRule type="cellIs" dxfId="94" priority="10" operator="equal">
      <formula>"N"</formula>
    </cfRule>
    <cfRule type="cellIs" dxfId="93" priority="11" operator="equal">
      <formula>"P"</formula>
    </cfRule>
    <cfRule type="cellIs" dxfId="92" priority="12" operator="equal">
      <formula>"J"</formula>
    </cfRule>
  </conditionalFormatting>
  <conditionalFormatting sqref="E9:E11 E13:E18 E20:E25 E27:E29 E31:E33">
    <cfRule type="cellIs" dxfId="91" priority="5" operator="equal">
      <formula>"NI"</formula>
    </cfRule>
    <cfRule type="cellIs" dxfId="90" priority="6" operator="equal">
      <formula>"N"</formula>
    </cfRule>
    <cfRule type="cellIs" dxfId="89" priority="7" operator="equal">
      <formula>"P"</formula>
    </cfRule>
    <cfRule type="cellIs" dxfId="88" priority="8" operator="equal">
      <formula>"J"</formula>
    </cfRule>
  </conditionalFormatting>
  <conditionalFormatting sqref="F9:F11 F13:F18 F20:F25 F27:F29 F31:F33">
    <cfRule type="cellIs" dxfId="87" priority="1" operator="equal">
      <formula>"NI"</formula>
    </cfRule>
    <cfRule type="cellIs" dxfId="86" priority="2" operator="equal">
      <formula>"N"</formula>
    </cfRule>
    <cfRule type="cellIs" dxfId="85" priority="3" operator="equal">
      <formula>"P"</formula>
    </cfRule>
    <cfRule type="cellIs" dxfId="84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94"/>
  <sheetViews>
    <sheetView workbookViewId="0">
      <selection activeCell="S13" sqref="S13"/>
    </sheetView>
  </sheetViews>
  <sheetFormatPr defaultColWidth="12.625" defaultRowHeight="14.25" x14ac:dyDescent="0.2"/>
  <cols>
    <col min="1" max="2" width="4.875" style="303" customWidth="1"/>
    <col min="3" max="3" width="54.875" style="303" customWidth="1"/>
    <col min="4" max="4" width="3.875" style="303" customWidth="1"/>
    <col min="5" max="5" width="3.75" style="303" customWidth="1"/>
    <col min="6" max="6" width="4.5" style="303" customWidth="1"/>
    <col min="7" max="8" width="4" style="303" customWidth="1"/>
    <col min="9" max="9" width="3.875" style="303" customWidth="1"/>
    <col min="10" max="10" width="3.375" style="303" customWidth="1"/>
    <col min="11" max="11" width="4.375" style="303" customWidth="1"/>
    <col min="12" max="12" width="3.5" style="303" customWidth="1"/>
    <col min="13" max="13" width="4.125" style="303" customWidth="1"/>
    <col min="14" max="14" width="4.5" style="303" customWidth="1"/>
    <col min="15" max="15" width="3.75" style="303" customWidth="1"/>
    <col min="16" max="16" width="2.25" style="303" customWidth="1"/>
    <col min="17" max="17" width="9.375" style="303" customWidth="1"/>
    <col min="18" max="18" width="10.5" style="303" customWidth="1"/>
    <col min="19" max="19" width="9.375" style="303" customWidth="1"/>
    <col min="20" max="20" width="14.75" style="303" customWidth="1"/>
    <col min="21" max="22" width="8" style="303" customWidth="1"/>
    <col min="23" max="23" width="19.625" style="303" customWidth="1"/>
    <col min="24" max="26" width="7.625" style="303" customWidth="1"/>
    <col min="27" max="1024" width="12.625" style="303" customWidth="1"/>
  </cols>
  <sheetData>
    <row r="1" spans="1:23" ht="3.75" customHeight="1" x14ac:dyDescent="0.2"/>
    <row r="2" spans="1:23" ht="18.75" customHeight="1" x14ac:dyDescent="0.3">
      <c r="A2" s="427" t="s">
        <v>242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</row>
    <row r="3" spans="1:23" ht="3" customHeight="1" x14ac:dyDescent="0.2"/>
    <row r="4" spans="1:23" ht="15" customHeight="1" x14ac:dyDescent="0.25">
      <c r="A4" s="431" t="s">
        <v>243</v>
      </c>
      <c r="B4" s="426"/>
      <c r="C4" s="301" t="s">
        <v>136</v>
      </c>
      <c r="E4" s="196" t="s">
        <v>168</v>
      </c>
      <c r="I4" s="421" t="s">
        <v>268</v>
      </c>
      <c r="J4" s="385"/>
      <c r="K4" s="385"/>
      <c r="L4" s="385"/>
      <c r="M4" s="385"/>
      <c r="N4" s="385"/>
      <c r="O4" s="385"/>
    </row>
    <row r="5" spans="1:23" ht="15" customHeight="1" x14ac:dyDescent="0.25">
      <c r="A5" s="431" t="s">
        <v>246</v>
      </c>
      <c r="B5" s="426"/>
      <c r="C5" s="302" t="s">
        <v>306</v>
      </c>
      <c r="E5" s="196" t="s">
        <v>171</v>
      </c>
      <c r="K5" s="425" t="s">
        <v>300</v>
      </c>
      <c r="L5" s="426"/>
      <c r="M5" s="426"/>
      <c r="N5" s="426"/>
      <c r="O5" s="426"/>
    </row>
    <row r="6" spans="1:23" ht="22.5" customHeight="1" x14ac:dyDescent="0.25">
      <c r="A6" s="435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436" t="s">
        <v>174</v>
      </c>
      <c r="R6" s="426"/>
      <c r="S6" s="426"/>
      <c r="T6" s="426"/>
    </row>
    <row r="7" spans="1:23" ht="15" customHeight="1" x14ac:dyDescent="0.25">
      <c r="A7" s="432" t="s">
        <v>175</v>
      </c>
      <c r="B7" s="341"/>
      <c r="C7" s="341"/>
      <c r="D7" s="219" t="s">
        <v>176</v>
      </c>
      <c r="E7" s="219" t="s">
        <v>177</v>
      </c>
      <c r="F7" s="219" t="s">
        <v>178</v>
      </c>
      <c r="G7" s="219" t="s">
        <v>179</v>
      </c>
      <c r="H7" s="219" t="s">
        <v>180</v>
      </c>
      <c r="I7" s="219" t="s">
        <v>181</v>
      </c>
      <c r="J7" s="219" t="s">
        <v>182</v>
      </c>
      <c r="K7" s="219" t="s">
        <v>183</v>
      </c>
      <c r="L7" s="219" t="s">
        <v>184</v>
      </c>
      <c r="M7" s="219" t="s">
        <v>185</v>
      </c>
      <c r="N7" s="219" t="s">
        <v>186</v>
      </c>
      <c r="O7" s="219" t="s">
        <v>187</v>
      </c>
      <c r="Q7" s="218" t="s">
        <v>188</v>
      </c>
      <c r="R7" s="218" t="s">
        <v>189</v>
      </c>
      <c r="S7" s="218" t="s">
        <v>190</v>
      </c>
      <c r="T7" s="218" t="s">
        <v>191</v>
      </c>
      <c r="V7" s="218" t="s">
        <v>192</v>
      </c>
      <c r="W7" s="304"/>
    </row>
    <row r="8" spans="1:23" ht="15" customHeight="1" x14ac:dyDescent="0.25">
      <c r="A8" s="429" t="s">
        <v>193</v>
      </c>
      <c r="B8" s="195" t="s">
        <v>194</v>
      </c>
      <c r="C8" s="186"/>
      <c r="D8" s="193">
        <v>2</v>
      </c>
      <c r="E8" s="193">
        <v>2</v>
      </c>
      <c r="F8" s="193">
        <v>2</v>
      </c>
      <c r="G8" s="192"/>
      <c r="H8" s="231"/>
      <c r="I8" s="231"/>
      <c r="J8" s="193"/>
      <c r="K8" s="193"/>
      <c r="L8" s="193"/>
      <c r="M8" s="192"/>
      <c r="N8" s="192"/>
      <c r="O8" s="192"/>
      <c r="Q8" s="217" t="s">
        <v>15</v>
      </c>
      <c r="R8" s="149">
        <v>45372</v>
      </c>
      <c r="S8" s="150">
        <v>0.5854166666666667</v>
      </c>
      <c r="T8" s="151" t="s">
        <v>213</v>
      </c>
      <c r="V8" s="215" t="s">
        <v>196</v>
      </c>
      <c r="W8" s="208" t="s">
        <v>197</v>
      </c>
    </row>
    <row r="9" spans="1:23" ht="15" customHeight="1" x14ac:dyDescent="0.25">
      <c r="A9" s="426"/>
      <c r="C9" s="216" t="s">
        <v>198</v>
      </c>
      <c r="D9" s="183"/>
      <c r="E9" s="183"/>
      <c r="F9" s="183"/>
      <c r="G9" s="183"/>
      <c r="H9" s="153"/>
      <c r="I9" s="153"/>
      <c r="J9" s="183"/>
      <c r="K9" s="183"/>
      <c r="L9" s="183"/>
      <c r="M9" s="183"/>
      <c r="N9" s="183"/>
      <c r="O9" s="183"/>
      <c r="Q9" s="204" t="s">
        <v>16</v>
      </c>
      <c r="R9" s="93">
        <v>45404</v>
      </c>
      <c r="S9" s="94">
        <v>0.42986111111111108</v>
      </c>
      <c r="T9" s="151" t="s">
        <v>325</v>
      </c>
      <c r="V9" s="215" t="s">
        <v>200</v>
      </c>
      <c r="W9" s="208" t="s">
        <v>201</v>
      </c>
    </row>
    <row r="10" spans="1:23" ht="15" customHeight="1" x14ac:dyDescent="0.25">
      <c r="A10" s="426"/>
      <c r="C10" s="214" t="s">
        <v>202</v>
      </c>
      <c r="D10" s="183"/>
      <c r="E10" s="183"/>
      <c r="F10" s="183"/>
      <c r="G10" s="183"/>
      <c r="H10" s="153"/>
      <c r="I10" s="153"/>
      <c r="J10" s="183"/>
      <c r="K10" s="183"/>
      <c r="L10" s="183"/>
      <c r="M10" s="183"/>
      <c r="N10" s="183"/>
      <c r="O10" s="183"/>
      <c r="Q10" s="204" t="s">
        <v>17</v>
      </c>
      <c r="R10" s="93">
        <v>45434</v>
      </c>
      <c r="S10" s="94">
        <v>0.63749999999999996</v>
      </c>
      <c r="T10" s="95" t="s">
        <v>213</v>
      </c>
      <c r="V10" s="209" t="s">
        <v>204</v>
      </c>
      <c r="W10" s="208" t="s">
        <v>205</v>
      </c>
    </row>
    <row r="11" spans="1:23" ht="15" customHeight="1" x14ac:dyDescent="0.25">
      <c r="A11" s="426"/>
      <c r="C11" s="213" t="s">
        <v>206</v>
      </c>
      <c r="D11" s="183" t="s">
        <v>200</v>
      </c>
      <c r="E11" s="183" t="s">
        <v>200</v>
      </c>
      <c r="F11" s="183" t="s">
        <v>200</v>
      </c>
      <c r="G11" s="183"/>
      <c r="H11" s="153"/>
      <c r="I11" s="153"/>
      <c r="J11" s="183"/>
      <c r="K11" s="183"/>
      <c r="L11" s="183"/>
      <c r="M11" s="183"/>
      <c r="N11" s="183"/>
      <c r="O11" s="183"/>
      <c r="Q11" s="204" t="s">
        <v>18</v>
      </c>
      <c r="R11" s="156"/>
      <c r="S11" s="157"/>
      <c r="T11" s="95"/>
      <c r="V11" s="209" t="s">
        <v>207</v>
      </c>
      <c r="W11" s="208" t="s">
        <v>208</v>
      </c>
    </row>
    <row r="12" spans="1:23" ht="15" customHeight="1" x14ac:dyDescent="0.25">
      <c r="A12" s="426"/>
      <c r="B12" s="195" t="s">
        <v>209</v>
      </c>
      <c r="C12" s="186"/>
      <c r="D12" s="193">
        <v>2</v>
      </c>
      <c r="E12" s="193">
        <v>2</v>
      </c>
      <c r="F12" s="193">
        <v>2</v>
      </c>
      <c r="G12" s="192"/>
      <c r="H12" s="231"/>
      <c r="I12" s="231"/>
      <c r="J12" s="193"/>
      <c r="K12" s="193"/>
      <c r="L12" s="193"/>
      <c r="M12" s="192"/>
      <c r="N12" s="192"/>
      <c r="O12" s="192"/>
      <c r="Q12" s="204" t="s">
        <v>19</v>
      </c>
      <c r="R12" s="93"/>
      <c r="S12" s="94"/>
      <c r="T12" s="95"/>
    </row>
    <row r="13" spans="1:23" ht="15" customHeight="1" x14ac:dyDescent="0.25">
      <c r="A13" s="426"/>
      <c r="C13" s="188" t="s">
        <v>258</v>
      </c>
      <c r="D13" s="183" t="s">
        <v>200</v>
      </c>
      <c r="E13" s="183" t="s">
        <v>200</v>
      </c>
      <c r="F13" s="183" t="s">
        <v>200</v>
      </c>
      <c r="G13" s="183"/>
      <c r="H13" s="153"/>
      <c r="I13" s="153"/>
      <c r="J13" s="183"/>
      <c r="K13" s="183"/>
      <c r="L13" s="183"/>
      <c r="M13" s="183"/>
      <c r="N13" s="183"/>
      <c r="O13" s="183"/>
      <c r="Q13" s="204" t="s">
        <v>20</v>
      </c>
      <c r="R13" s="159"/>
      <c r="S13" s="160"/>
      <c r="T13" s="95"/>
    </row>
    <row r="14" spans="1:23" ht="15" customHeight="1" x14ac:dyDescent="0.25">
      <c r="A14" s="426"/>
      <c r="C14" s="188" t="s">
        <v>216</v>
      </c>
      <c r="D14" s="183" t="s">
        <v>200</v>
      </c>
      <c r="E14" s="183" t="s">
        <v>200</v>
      </c>
      <c r="F14" s="183" t="s">
        <v>200</v>
      </c>
      <c r="G14" s="183"/>
      <c r="H14" s="153"/>
      <c r="I14" s="153"/>
      <c r="J14" s="183"/>
      <c r="K14" s="183"/>
      <c r="L14" s="183"/>
      <c r="M14" s="183"/>
      <c r="N14" s="183"/>
      <c r="O14" s="183"/>
      <c r="Q14" s="204" t="s">
        <v>21</v>
      </c>
      <c r="R14" s="201"/>
      <c r="S14" s="203"/>
      <c r="T14" s="202"/>
    </row>
    <row r="15" spans="1:23" ht="15" customHeight="1" x14ac:dyDescent="0.25">
      <c r="A15" s="426"/>
      <c r="C15" s="188" t="s">
        <v>217</v>
      </c>
      <c r="D15" s="183" t="s">
        <v>200</v>
      </c>
      <c r="E15" s="183" t="s">
        <v>200</v>
      </c>
      <c r="F15" s="183" t="s">
        <v>200</v>
      </c>
      <c r="G15" s="183"/>
      <c r="H15" s="153"/>
      <c r="I15" s="153"/>
      <c r="J15" s="183"/>
      <c r="K15" s="183"/>
      <c r="L15" s="183"/>
      <c r="M15" s="183"/>
      <c r="N15" s="183"/>
      <c r="O15" s="183"/>
      <c r="Q15" s="204" t="s">
        <v>22</v>
      </c>
      <c r="R15" s="201"/>
      <c r="S15" s="203"/>
      <c r="T15" s="95"/>
    </row>
    <row r="16" spans="1:23" ht="15" customHeight="1" x14ac:dyDescent="0.25">
      <c r="A16" s="426"/>
      <c r="C16" s="188" t="s">
        <v>218</v>
      </c>
      <c r="D16" s="183" t="s">
        <v>200</v>
      </c>
      <c r="E16" s="183" t="s">
        <v>200</v>
      </c>
      <c r="F16" s="183" t="s">
        <v>200</v>
      </c>
      <c r="G16" s="183"/>
      <c r="H16" s="153"/>
      <c r="I16" s="153"/>
      <c r="J16" s="183"/>
      <c r="K16" s="183"/>
      <c r="L16" s="183"/>
      <c r="M16" s="183"/>
      <c r="N16" s="183"/>
      <c r="O16" s="183"/>
      <c r="Q16" s="204" t="s">
        <v>23</v>
      </c>
      <c r="R16" s="201"/>
      <c r="S16" s="203"/>
      <c r="T16" s="202"/>
    </row>
    <row r="17" spans="1:29" ht="15" customHeight="1" x14ac:dyDescent="0.25">
      <c r="A17" s="426"/>
      <c r="C17" s="188" t="s">
        <v>214</v>
      </c>
      <c r="D17" s="183" t="s">
        <v>207</v>
      </c>
      <c r="E17" s="183" t="s">
        <v>207</v>
      </c>
      <c r="F17" s="183" t="s">
        <v>207</v>
      </c>
      <c r="G17" s="183"/>
      <c r="H17" s="153"/>
      <c r="I17" s="153"/>
      <c r="J17" s="183"/>
      <c r="K17" s="183"/>
      <c r="L17" s="183"/>
      <c r="M17" s="183"/>
      <c r="N17" s="183"/>
      <c r="O17" s="183"/>
      <c r="Q17" s="204" t="s">
        <v>24</v>
      </c>
      <c r="R17" s="201"/>
      <c r="S17" s="203"/>
      <c r="T17" s="202"/>
    </row>
    <row r="18" spans="1:29" ht="15" customHeight="1" x14ac:dyDescent="0.25">
      <c r="A18" s="426"/>
      <c r="B18" s="195" t="s">
        <v>220</v>
      </c>
      <c r="C18" s="186"/>
      <c r="D18" s="193">
        <v>2</v>
      </c>
      <c r="E18" s="193">
        <v>2</v>
      </c>
      <c r="F18" s="193">
        <v>2</v>
      </c>
      <c r="G18" s="192"/>
      <c r="H18" s="231"/>
      <c r="I18" s="231"/>
      <c r="J18" s="193"/>
      <c r="K18" s="193"/>
      <c r="L18" s="193"/>
      <c r="M18" s="192"/>
      <c r="N18" s="192"/>
      <c r="O18" s="192"/>
      <c r="Q18" s="204" t="s">
        <v>25</v>
      </c>
      <c r="R18" s="201"/>
      <c r="S18" s="201"/>
      <c r="T18" s="201"/>
    </row>
    <row r="19" spans="1:29" ht="15" customHeight="1" x14ac:dyDescent="0.25">
      <c r="A19" s="426"/>
      <c r="C19" s="188" t="s">
        <v>222</v>
      </c>
      <c r="D19" s="183" t="s">
        <v>200</v>
      </c>
      <c r="E19" s="183" t="s">
        <v>200</v>
      </c>
      <c r="F19" s="183" t="s">
        <v>200</v>
      </c>
      <c r="G19" s="183"/>
      <c r="H19" s="153"/>
      <c r="I19" s="153"/>
      <c r="J19" s="183"/>
      <c r="K19" s="183"/>
      <c r="L19" s="183"/>
      <c r="M19" s="183"/>
      <c r="N19" s="183"/>
      <c r="O19" s="183"/>
      <c r="Q19" s="204" t="s">
        <v>26</v>
      </c>
      <c r="R19" s="199"/>
      <c r="S19" s="198"/>
      <c r="T19" s="197"/>
    </row>
    <row r="20" spans="1:29" ht="15.75" customHeight="1" thickBot="1" x14ac:dyDescent="0.3">
      <c r="A20" s="426"/>
      <c r="C20" s="188" t="s">
        <v>267</v>
      </c>
      <c r="D20" s="183" t="s">
        <v>200</v>
      </c>
      <c r="E20" s="183" t="s">
        <v>200</v>
      </c>
      <c r="F20" s="183" t="s">
        <v>200</v>
      </c>
      <c r="G20" s="183"/>
      <c r="H20" s="153"/>
      <c r="I20" s="153"/>
      <c r="J20" s="183"/>
      <c r="K20" s="183"/>
      <c r="L20" s="183"/>
      <c r="M20" s="183"/>
      <c r="N20" s="183"/>
      <c r="O20" s="183"/>
      <c r="Q20" s="196" t="s">
        <v>224</v>
      </c>
    </row>
    <row r="21" spans="1:29" ht="15.75" customHeight="1" x14ac:dyDescent="0.25">
      <c r="A21" s="426"/>
      <c r="C21" s="188" t="s">
        <v>226</v>
      </c>
      <c r="D21" s="183" t="s">
        <v>200</v>
      </c>
      <c r="E21" s="183" t="s">
        <v>200</v>
      </c>
      <c r="F21" s="183" t="s">
        <v>200</v>
      </c>
      <c r="G21" s="183"/>
      <c r="H21" s="153"/>
      <c r="I21" s="153"/>
      <c r="J21" s="183"/>
      <c r="K21" s="183"/>
      <c r="L21" s="183"/>
      <c r="M21" s="183"/>
      <c r="N21" s="183"/>
      <c r="O21" s="183"/>
      <c r="Q21" s="475" t="s">
        <v>331</v>
      </c>
      <c r="R21" s="466"/>
      <c r="S21" s="466"/>
      <c r="T21" s="466"/>
      <c r="U21" s="467"/>
    </row>
    <row r="22" spans="1:29" ht="15.75" customHeight="1" x14ac:dyDescent="0.25">
      <c r="A22" s="426"/>
      <c r="C22" s="188" t="s">
        <v>259</v>
      </c>
      <c r="D22" s="183" t="s">
        <v>200</v>
      </c>
      <c r="E22" s="183" t="s">
        <v>196</v>
      </c>
      <c r="F22" s="183" t="s">
        <v>200</v>
      </c>
      <c r="G22" s="183"/>
      <c r="H22" s="153"/>
      <c r="I22" s="153"/>
      <c r="J22" s="183"/>
      <c r="K22" s="183"/>
      <c r="L22" s="183"/>
      <c r="M22" s="183"/>
      <c r="N22" s="183"/>
      <c r="O22" s="183"/>
      <c r="Q22" s="420"/>
      <c r="R22" s="381"/>
      <c r="S22" s="381"/>
      <c r="T22" s="381"/>
      <c r="U22" s="403"/>
    </row>
    <row r="23" spans="1:29" ht="15.75" customHeight="1" x14ac:dyDescent="0.25">
      <c r="A23" s="426"/>
      <c r="C23" s="188" t="s">
        <v>227</v>
      </c>
      <c r="D23" s="183" t="s">
        <v>200</v>
      </c>
      <c r="E23" s="183" t="s">
        <v>200</v>
      </c>
      <c r="F23" s="183" t="s">
        <v>200</v>
      </c>
      <c r="G23" s="183"/>
      <c r="H23" s="153"/>
      <c r="I23" s="153"/>
      <c r="J23" s="183"/>
      <c r="K23" s="183"/>
      <c r="L23" s="183"/>
      <c r="M23" s="183"/>
      <c r="N23" s="183"/>
      <c r="O23" s="183"/>
      <c r="Q23" s="476" t="s">
        <v>334</v>
      </c>
      <c r="R23" s="423"/>
      <c r="S23" s="423"/>
      <c r="T23" s="423"/>
      <c r="U23" s="424"/>
    </row>
    <row r="24" spans="1:29" ht="15.75" customHeight="1" x14ac:dyDescent="0.25">
      <c r="A24" s="426"/>
      <c r="C24" s="188" t="s">
        <v>223</v>
      </c>
      <c r="D24" s="183" t="s">
        <v>207</v>
      </c>
      <c r="E24" s="183" t="s">
        <v>207</v>
      </c>
      <c r="F24" s="183" t="s">
        <v>207</v>
      </c>
      <c r="G24" s="183"/>
      <c r="H24" s="153"/>
      <c r="I24" s="153"/>
      <c r="J24" s="183"/>
      <c r="K24" s="183"/>
      <c r="L24" s="183"/>
      <c r="M24" s="183"/>
      <c r="N24" s="183"/>
      <c r="O24" s="183"/>
      <c r="Q24" s="420"/>
      <c r="R24" s="381"/>
      <c r="S24" s="381"/>
      <c r="T24" s="381"/>
      <c r="U24" s="403"/>
    </row>
    <row r="25" spans="1:29" ht="15.75" customHeight="1" x14ac:dyDescent="0.25">
      <c r="A25" s="426"/>
      <c r="B25" s="195" t="s">
        <v>229</v>
      </c>
      <c r="C25" s="186"/>
      <c r="D25" s="193">
        <v>2</v>
      </c>
      <c r="E25" s="193">
        <v>2</v>
      </c>
      <c r="F25" s="193">
        <v>2</v>
      </c>
      <c r="G25" s="192"/>
      <c r="H25" s="231"/>
      <c r="I25" s="231"/>
      <c r="J25" s="193"/>
      <c r="K25" s="193"/>
      <c r="L25" s="193"/>
      <c r="M25" s="192"/>
      <c r="N25" s="192"/>
      <c r="O25" s="192"/>
      <c r="Q25" s="420"/>
      <c r="R25" s="381"/>
      <c r="S25" s="381"/>
      <c r="T25" s="381"/>
      <c r="U25" s="403"/>
    </row>
    <row r="26" spans="1:29" ht="15.75" customHeight="1" x14ac:dyDescent="0.25">
      <c r="A26" s="426"/>
      <c r="C26" s="188" t="s">
        <v>262</v>
      </c>
      <c r="D26" s="183" t="s">
        <v>200</v>
      </c>
      <c r="E26" s="183" t="s">
        <v>200</v>
      </c>
      <c r="F26" s="183" t="s">
        <v>200</v>
      </c>
      <c r="G26" s="183"/>
      <c r="H26" s="153"/>
      <c r="I26" s="153"/>
      <c r="J26" s="183"/>
      <c r="K26" s="183"/>
      <c r="L26" s="183"/>
      <c r="M26" s="183"/>
      <c r="N26" s="183"/>
      <c r="O26" s="183"/>
      <c r="Q26" s="420"/>
      <c r="R26" s="381"/>
      <c r="S26" s="381"/>
      <c r="T26" s="381"/>
      <c r="U26" s="403"/>
    </row>
    <row r="27" spans="1:29" ht="15.75" customHeight="1" x14ac:dyDescent="0.25">
      <c r="A27" s="426"/>
      <c r="C27" s="187" t="s">
        <v>231</v>
      </c>
      <c r="D27" s="183" t="s">
        <v>200</v>
      </c>
      <c r="E27" s="183" t="s">
        <v>200</v>
      </c>
      <c r="F27" s="183" t="s">
        <v>200</v>
      </c>
      <c r="G27" s="183"/>
      <c r="H27" s="153"/>
      <c r="I27" s="153"/>
      <c r="J27" s="183"/>
      <c r="K27" s="183"/>
      <c r="L27" s="183"/>
      <c r="M27" s="183"/>
      <c r="N27" s="183"/>
      <c r="O27" s="183"/>
      <c r="Q27" s="420"/>
      <c r="R27" s="381"/>
      <c r="S27" s="381"/>
      <c r="T27" s="381"/>
      <c r="U27" s="403"/>
    </row>
    <row r="28" spans="1:29" ht="15.75" customHeight="1" thickBot="1" x14ac:dyDescent="0.3">
      <c r="A28" s="333"/>
      <c r="C28" s="187" t="s">
        <v>254</v>
      </c>
      <c r="D28" s="183" t="s">
        <v>200</v>
      </c>
      <c r="E28" s="183" t="s">
        <v>200</v>
      </c>
      <c r="F28" s="183" t="s">
        <v>200</v>
      </c>
      <c r="G28" s="183"/>
      <c r="H28" s="153"/>
      <c r="I28" s="153"/>
      <c r="J28" s="183"/>
      <c r="K28" s="183"/>
      <c r="L28" s="183"/>
      <c r="M28" s="183"/>
      <c r="N28" s="183"/>
      <c r="O28" s="183"/>
      <c r="Q28" s="420"/>
      <c r="R28" s="381"/>
      <c r="S28" s="381"/>
      <c r="T28" s="381"/>
      <c r="U28" s="403"/>
    </row>
    <row r="29" spans="1:29" ht="15.75" customHeight="1" x14ac:dyDescent="0.25">
      <c r="A29" s="432" t="s">
        <v>233</v>
      </c>
      <c r="B29" s="341"/>
      <c r="C29" s="341"/>
      <c r="D29" s="190"/>
      <c r="E29" s="190"/>
      <c r="F29" s="190"/>
      <c r="G29" s="189"/>
      <c r="H29" s="232"/>
      <c r="I29" s="232"/>
      <c r="J29" s="190"/>
      <c r="K29" s="190"/>
      <c r="L29" s="190"/>
      <c r="M29" s="189"/>
      <c r="N29" s="189"/>
      <c r="O29" s="189"/>
      <c r="Q29" s="420"/>
      <c r="R29" s="381"/>
      <c r="S29" s="381"/>
      <c r="T29" s="381"/>
      <c r="U29" s="403"/>
      <c r="Y29" s="475"/>
      <c r="Z29" s="466"/>
      <c r="AA29" s="466"/>
      <c r="AB29" s="466"/>
      <c r="AC29" s="467"/>
    </row>
    <row r="30" spans="1:29" ht="15.75" customHeight="1" x14ac:dyDescent="0.25">
      <c r="A30" s="186"/>
      <c r="C30" s="188" t="s">
        <v>83</v>
      </c>
      <c r="D30" s="183"/>
      <c r="E30" s="183"/>
      <c r="F30" s="183"/>
      <c r="G30" s="183"/>
      <c r="H30" s="153"/>
      <c r="I30" s="153"/>
      <c r="J30" s="183"/>
      <c r="K30" s="183"/>
      <c r="L30" s="183"/>
      <c r="M30" s="183"/>
      <c r="N30" s="183"/>
      <c r="O30" s="183"/>
      <c r="Q30" s="420"/>
      <c r="R30" s="381"/>
      <c r="S30" s="381"/>
      <c r="T30" s="381"/>
      <c r="U30" s="403"/>
    </row>
    <row r="31" spans="1:29" ht="15.75" customHeight="1" x14ac:dyDescent="0.25">
      <c r="A31" s="186"/>
      <c r="C31" s="187" t="s">
        <v>234</v>
      </c>
      <c r="D31" s="183"/>
      <c r="E31" s="183"/>
      <c r="F31" s="183"/>
      <c r="G31" s="183"/>
      <c r="H31" s="153"/>
      <c r="I31" s="153"/>
      <c r="J31" s="183"/>
      <c r="K31" s="183"/>
      <c r="L31" s="183"/>
      <c r="M31" s="183"/>
      <c r="N31" s="183"/>
      <c r="O31" s="183"/>
      <c r="Q31" s="420"/>
      <c r="R31" s="381"/>
      <c r="S31" s="381"/>
      <c r="T31" s="381"/>
      <c r="U31" s="403"/>
    </row>
    <row r="32" spans="1:29" ht="15.75" customHeight="1" x14ac:dyDescent="0.25">
      <c r="A32" s="186"/>
      <c r="C32" s="185" t="s">
        <v>85</v>
      </c>
      <c r="D32" s="183"/>
      <c r="E32" s="183"/>
      <c r="F32" s="183"/>
      <c r="G32" s="183"/>
      <c r="H32" s="153"/>
      <c r="I32" s="153"/>
      <c r="J32" s="183"/>
      <c r="K32" s="183"/>
      <c r="L32" s="227"/>
      <c r="M32" s="183"/>
      <c r="N32" s="183"/>
      <c r="O32" s="183"/>
      <c r="Q32" s="420"/>
      <c r="R32" s="381"/>
      <c r="S32" s="381"/>
      <c r="T32" s="381"/>
      <c r="U32" s="403"/>
    </row>
    <row r="33" spans="1:21" ht="15.75" customHeight="1" thickBot="1" x14ac:dyDescent="0.3">
      <c r="A33" s="434" t="s">
        <v>235</v>
      </c>
      <c r="B33" s="341"/>
      <c r="C33" s="341"/>
      <c r="D33" s="181" t="s">
        <v>240</v>
      </c>
      <c r="E33" s="181" t="s">
        <v>240</v>
      </c>
      <c r="F33" s="181" t="s">
        <v>240</v>
      </c>
      <c r="G33" s="181"/>
      <c r="H33" s="170"/>
      <c r="I33" s="170"/>
      <c r="J33" s="181"/>
      <c r="K33" s="181"/>
      <c r="L33" s="181"/>
      <c r="M33" s="180"/>
      <c r="N33" s="180"/>
      <c r="O33" s="180"/>
      <c r="Q33" s="430"/>
      <c r="R33" s="400"/>
      <c r="S33" s="400"/>
      <c r="T33" s="400"/>
      <c r="U33" s="401"/>
    </row>
    <row r="34" spans="1:21" ht="15.75" customHeight="1" x14ac:dyDescent="0.2">
      <c r="A34" s="179" t="s">
        <v>241</v>
      </c>
    </row>
    <row r="35" spans="1:21" ht="15.75" customHeight="1" x14ac:dyDescent="0.2"/>
    <row r="36" spans="1:21" ht="15.75" customHeight="1" x14ac:dyDescent="0.2"/>
    <row r="37" spans="1:21" ht="15.75" customHeight="1" x14ac:dyDescent="0.2"/>
    <row r="38" spans="1:21" ht="15.75" customHeight="1" x14ac:dyDescent="0.2"/>
    <row r="39" spans="1:21" ht="15.75" customHeight="1" x14ac:dyDescent="0.2"/>
    <row r="40" spans="1:21" ht="15.75" customHeight="1" x14ac:dyDescent="0.2"/>
    <row r="41" spans="1:21" ht="15.75" customHeight="1" x14ac:dyDescent="0.2"/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/>
    <row r="46" spans="1:21" ht="15.75" customHeight="1" x14ac:dyDescent="0.2"/>
    <row r="47" spans="1:21" ht="15.75" customHeight="1" x14ac:dyDescent="0.2"/>
    <row r="48" spans="1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25">
    <mergeCell ref="A7:C7"/>
    <mergeCell ref="A33:C33"/>
    <mergeCell ref="A2:O2"/>
    <mergeCell ref="Q29:U29"/>
    <mergeCell ref="Q23:U23"/>
    <mergeCell ref="Y29:AC29"/>
    <mergeCell ref="A29:C29"/>
    <mergeCell ref="Q26:U26"/>
    <mergeCell ref="Q31:U31"/>
    <mergeCell ref="A5:B5"/>
    <mergeCell ref="Q22:U22"/>
    <mergeCell ref="Q30:U30"/>
    <mergeCell ref="Q27:U27"/>
    <mergeCell ref="A4:B4"/>
    <mergeCell ref="A8:A28"/>
    <mergeCell ref="Q32:U32"/>
    <mergeCell ref="A6:O6"/>
    <mergeCell ref="Q25:U25"/>
    <mergeCell ref="Q21:U21"/>
    <mergeCell ref="Q28:U28"/>
    <mergeCell ref="I4:O4"/>
    <mergeCell ref="Q33:U33"/>
    <mergeCell ref="Q24:U24"/>
    <mergeCell ref="K5:O5"/>
    <mergeCell ref="Q6:T6"/>
  </mergeCells>
  <conditionalFormatting sqref="G9:G11 G13:G17 G19:G24 G26:G28 G30:G32 M26:N28 M30:N30">
    <cfRule type="cellIs" dxfId="83" priority="53" operator="equal">
      <formula>"NI"</formula>
    </cfRule>
    <cfRule type="cellIs" dxfId="82" priority="54" operator="equal">
      <formula>"N"</formula>
    </cfRule>
    <cfRule type="cellIs" dxfId="81" priority="55" operator="equal">
      <formula>"P"</formula>
    </cfRule>
    <cfRule type="cellIs" dxfId="80" priority="56" operator="equal">
      <formula>"J"</formula>
    </cfRule>
  </conditionalFormatting>
  <conditionalFormatting sqref="M31:M32">
    <cfRule type="cellIs" dxfId="79" priority="57" operator="equal">
      <formula>"NI"</formula>
    </cfRule>
    <cfRule type="cellIs" dxfId="78" priority="58" operator="equal">
      <formula>"N"</formula>
    </cfRule>
    <cfRule type="cellIs" dxfId="77" priority="59" operator="equal">
      <formula>"P"</formula>
    </cfRule>
    <cfRule type="cellIs" dxfId="76" priority="60" operator="equal">
      <formula>"J"</formula>
    </cfRule>
  </conditionalFormatting>
  <conditionalFormatting sqref="M9:M10">
    <cfRule type="cellIs" dxfId="75" priority="61" operator="equal">
      <formula>"NI"</formula>
    </cfRule>
    <cfRule type="cellIs" dxfId="74" priority="62" operator="equal">
      <formula>"N"</formula>
    </cfRule>
    <cfRule type="cellIs" dxfId="73" priority="63" operator="equal">
      <formula>"P"</formula>
    </cfRule>
    <cfRule type="cellIs" dxfId="72" priority="64" operator="equal">
      <formula>"J"</formula>
    </cfRule>
  </conditionalFormatting>
  <conditionalFormatting sqref="M11">
    <cfRule type="cellIs" dxfId="71" priority="65" operator="equal">
      <formula>"NI"</formula>
    </cfRule>
    <cfRule type="cellIs" dxfId="70" priority="66" operator="equal">
      <formula>"N"</formula>
    </cfRule>
    <cfRule type="cellIs" dxfId="69" priority="67" operator="equal">
      <formula>"P"</formula>
    </cfRule>
    <cfRule type="cellIs" dxfId="68" priority="68" operator="equal">
      <formula>"J"</formula>
    </cfRule>
  </conditionalFormatting>
  <conditionalFormatting sqref="M13:N17">
    <cfRule type="cellIs" dxfId="67" priority="69" operator="equal">
      <formula>"NI"</formula>
    </cfRule>
    <cfRule type="cellIs" dxfId="66" priority="70" operator="equal">
      <formula>"N"</formula>
    </cfRule>
    <cfRule type="cellIs" dxfId="65" priority="71" operator="equal">
      <formula>"P"</formula>
    </cfRule>
    <cfRule type="cellIs" dxfId="64" priority="72" operator="equal">
      <formula>"J"</formula>
    </cfRule>
  </conditionalFormatting>
  <conditionalFormatting sqref="M19:N24">
    <cfRule type="cellIs" dxfId="63" priority="73" operator="equal">
      <formula>"NI"</formula>
    </cfRule>
    <cfRule type="cellIs" dxfId="62" priority="74" operator="equal">
      <formula>"N"</formula>
    </cfRule>
    <cfRule type="cellIs" dxfId="61" priority="75" operator="equal">
      <formula>"P"</formula>
    </cfRule>
    <cfRule type="cellIs" dxfId="60" priority="76" operator="equal">
      <formula>"J"</formula>
    </cfRule>
  </conditionalFormatting>
  <conditionalFormatting sqref="N31:N32">
    <cfRule type="cellIs" dxfId="59" priority="77" operator="equal">
      <formula>"NI"</formula>
    </cfRule>
    <cfRule type="cellIs" dxfId="58" priority="78" operator="equal">
      <formula>"N"</formula>
    </cfRule>
    <cfRule type="cellIs" dxfId="57" priority="79" operator="equal">
      <formula>"P"</formula>
    </cfRule>
    <cfRule type="cellIs" dxfId="56" priority="80" operator="equal">
      <formula>"J"</formula>
    </cfRule>
  </conditionalFormatting>
  <conditionalFormatting sqref="N9:N11">
    <cfRule type="cellIs" dxfId="55" priority="81" operator="equal">
      <formula>"NI"</formula>
    </cfRule>
    <cfRule type="cellIs" dxfId="54" priority="82" operator="equal">
      <formula>"N"</formula>
    </cfRule>
    <cfRule type="cellIs" dxfId="53" priority="83" operator="equal">
      <formula>"P"</formula>
    </cfRule>
    <cfRule type="cellIs" dxfId="52" priority="84" operator="equal">
      <formula>"J"</formula>
    </cfRule>
  </conditionalFormatting>
  <conditionalFormatting sqref="O9:O11 O13:O17 O19:O24 O26:O28 O30:O32">
    <cfRule type="cellIs" dxfId="51" priority="85" operator="equal">
      <formula>"NI"</formula>
    </cfRule>
    <cfRule type="cellIs" dxfId="50" priority="86" operator="equal">
      <formula>"N"</formula>
    </cfRule>
    <cfRule type="cellIs" dxfId="49" priority="87" operator="equal">
      <formula>"P"</formula>
    </cfRule>
    <cfRule type="cellIs" dxfId="48" priority="88" operator="equal">
      <formula>"J"</formula>
    </cfRule>
  </conditionalFormatting>
  <conditionalFormatting sqref="H9:H11 H13:H17 H19:H24 H26:H28 H30:H32">
    <cfRule type="cellIs" dxfId="47" priority="49" operator="equal">
      <formula>"NI"</formula>
    </cfRule>
    <cfRule type="cellIs" dxfId="46" priority="50" operator="equal">
      <formula>"N"</formula>
    </cfRule>
    <cfRule type="cellIs" dxfId="45" priority="51" operator="equal">
      <formula>"P"</formula>
    </cfRule>
    <cfRule type="cellIs" dxfId="44" priority="52" operator="equal">
      <formula>"J"</formula>
    </cfRule>
  </conditionalFormatting>
  <conditionalFormatting sqref="J9:J11 J13:J17 J19:J24 J26:J28 J30:J32">
    <cfRule type="cellIs" dxfId="43" priority="45" operator="equal">
      <formula>"NI"</formula>
    </cfRule>
    <cfRule type="cellIs" dxfId="42" priority="46" operator="equal">
      <formula>"N"</formula>
    </cfRule>
    <cfRule type="cellIs" dxfId="41" priority="47" operator="equal">
      <formula>"P"</formula>
    </cfRule>
    <cfRule type="cellIs" dxfId="40" priority="48" operator="equal">
      <formula>"J"</formula>
    </cfRule>
  </conditionalFormatting>
  <conditionalFormatting sqref="K9:K11 K13:K17 K19:K24 K26:K28 K30:K32">
    <cfRule type="cellIs" dxfId="39" priority="41" operator="equal">
      <formula>"NI"</formula>
    </cfRule>
    <cfRule type="cellIs" dxfId="38" priority="42" operator="equal">
      <formula>"N"</formula>
    </cfRule>
    <cfRule type="cellIs" dxfId="37" priority="43" operator="equal">
      <formula>"P"</formula>
    </cfRule>
    <cfRule type="cellIs" dxfId="36" priority="44" operator="equal">
      <formula>"J"</formula>
    </cfRule>
  </conditionalFormatting>
  <conditionalFormatting sqref="L9:L11 L13:L17 L19:L24 L26:L28">
    <cfRule type="cellIs" dxfId="35" priority="37" operator="equal">
      <formula>"NI"</formula>
    </cfRule>
    <cfRule type="cellIs" dxfId="34" priority="38" operator="equal">
      <formula>"N"</formula>
    </cfRule>
    <cfRule type="cellIs" dxfId="33" priority="39" operator="equal">
      <formula>"P"</formula>
    </cfRule>
    <cfRule type="cellIs" dxfId="32" priority="40" operator="equal">
      <formula>"J"</formula>
    </cfRule>
  </conditionalFormatting>
  <conditionalFormatting sqref="D9:D11 D13:D17 D19:D24 D26:D28 D30:D32">
    <cfRule type="cellIs" dxfId="31" priority="33" operator="equal">
      <formula>"NI"</formula>
    </cfRule>
    <cfRule type="cellIs" dxfId="30" priority="34" operator="equal">
      <formula>"N"</formula>
    </cfRule>
    <cfRule type="cellIs" dxfId="29" priority="35" operator="equal">
      <formula>"P"</formula>
    </cfRule>
    <cfRule type="cellIs" dxfId="28" priority="36" operator="equal">
      <formula>"J"</formula>
    </cfRule>
  </conditionalFormatting>
  <conditionalFormatting sqref="E9:E11 E13:E17 E19:E24 E26:E28 E30:E32">
    <cfRule type="cellIs" dxfId="27" priority="29" operator="equal">
      <formula>"NI"</formula>
    </cfRule>
    <cfRule type="cellIs" dxfId="26" priority="30" operator="equal">
      <formula>"N"</formula>
    </cfRule>
    <cfRule type="cellIs" dxfId="25" priority="31" operator="equal">
      <formula>"P"</formula>
    </cfRule>
    <cfRule type="cellIs" dxfId="24" priority="32" operator="equal">
      <formula>"J"</formula>
    </cfRule>
  </conditionalFormatting>
  <conditionalFormatting sqref="I9:I11 I13:I17 I19:I24 I26:I28 I30:I31">
    <cfRule type="cellIs" dxfId="23" priority="21" operator="equal">
      <formula>"NI"</formula>
    </cfRule>
    <cfRule type="cellIs" dxfId="22" priority="22" operator="equal">
      <formula>"N"</formula>
    </cfRule>
    <cfRule type="cellIs" dxfId="21" priority="23" operator="equal">
      <formula>"P"</formula>
    </cfRule>
    <cfRule type="cellIs" dxfId="20" priority="24" operator="equal">
      <formula>"J"</formula>
    </cfRule>
  </conditionalFormatting>
  <conditionalFormatting sqref="I32">
    <cfRule type="cellIs" dxfId="19" priority="17" operator="equal">
      <formula>"NI"</formula>
    </cfRule>
    <cfRule type="cellIs" dxfId="18" priority="18" operator="equal">
      <formula>"N"</formula>
    </cfRule>
    <cfRule type="cellIs" dxfId="17" priority="19" operator="equal">
      <formula>"P"</formula>
    </cfRule>
    <cfRule type="cellIs" dxfId="16" priority="20" operator="equal">
      <formula>"J"</formula>
    </cfRule>
  </conditionalFormatting>
  <conditionalFormatting sqref="L31">
    <cfRule type="cellIs" dxfId="15" priority="13" operator="equal">
      <formula>"NI"</formula>
    </cfRule>
    <cfRule type="cellIs" dxfId="14" priority="14" operator="equal">
      <formula>"N"</formula>
    </cfRule>
    <cfRule type="cellIs" dxfId="13" priority="15" operator="equal">
      <formula>"P"</formula>
    </cfRule>
    <cfRule type="cellIs" dxfId="12" priority="16" operator="equal">
      <formula>"J"</formula>
    </cfRule>
  </conditionalFormatting>
  <conditionalFormatting sqref="L30">
    <cfRule type="cellIs" dxfId="11" priority="9" operator="equal">
      <formula>"NI"</formula>
    </cfRule>
    <cfRule type="cellIs" dxfId="10" priority="10" operator="equal">
      <formula>"N"</formula>
    </cfRule>
    <cfRule type="cellIs" dxfId="9" priority="11" operator="equal">
      <formula>"P"</formula>
    </cfRule>
    <cfRule type="cellIs" dxfId="8" priority="12" operator="equal">
      <formula>"J"</formula>
    </cfRule>
  </conditionalFormatting>
  <conditionalFormatting sqref="L32">
    <cfRule type="cellIs" dxfId="7" priority="5" operator="equal">
      <formula>"NI"</formula>
    </cfRule>
    <cfRule type="cellIs" dxfId="6" priority="6" operator="equal">
      <formula>"N"</formula>
    </cfRule>
    <cfRule type="cellIs" dxfId="5" priority="7" operator="equal">
      <formula>"P"</formula>
    </cfRule>
    <cfRule type="cellIs" dxfId="4" priority="8" operator="equal">
      <formula>"J"</formula>
    </cfRule>
  </conditionalFormatting>
  <conditionalFormatting sqref="F9:F11 F13:F17 F19:F24 F26:F28 F30:F32">
    <cfRule type="cellIs" dxfId="3" priority="1" operator="equal">
      <formula>"NI"</formula>
    </cfRule>
    <cfRule type="cellIs" dxfId="2" priority="2" operator="equal">
      <formula>"N"</formula>
    </cfRule>
    <cfRule type="cellIs" dxfId="1" priority="3" operator="equal">
      <formula>"P"</formula>
    </cfRule>
    <cfRule type="cellIs" dxfId="0" priority="4" operator="equal">
      <formula>"J"</formula>
    </cfRule>
  </conditionalFormatting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59</vt:i4>
      </vt:variant>
    </vt:vector>
  </HeadingPairs>
  <TitlesOfParts>
    <vt:vector size="59" baseType="lpstr">
      <vt:lpstr>Dashboard-IMD  </vt:lpstr>
      <vt:lpstr>IMD-Estratificado</vt:lpstr>
      <vt:lpstr>APS.Oeste</vt:lpstr>
      <vt:lpstr>Relatório Analítico - HRC </vt:lpstr>
      <vt:lpstr>Relatório Analítico - HRBZ </vt:lpstr>
      <vt:lpstr>Policlinica Ceilandia II</vt:lpstr>
      <vt:lpstr>Policlínica Brazlândia</vt:lpstr>
      <vt:lpstr>Policlínica Ceilândia I</vt:lpstr>
      <vt:lpstr>CEILÂNDIA - UBS 11 (TIPO II (2</vt:lpstr>
      <vt:lpstr>BRAZLÂNDIA - UBS Nº 05  (2)</vt:lpstr>
      <vt:lpstr>BRAZLÂNDIA - UBS 03 (2)</vt:lpstr>
      <vt:lpstr> CEILÂNDIA - UBS 18 (2)</vt:lpstr>
      <vt:lpstr> BRAZLÂNDIA - UBS Nº 07 (2)</vt:lpstr>
      <vt:lpstr>CEILÂNDIA - UBS 14 (2)</vt:lpstr>
      <vt:lpstr>CEILÂNDIA - UBS 13  (2)</vt:lpstr>
      <vt:lpstr>BRAZLÂNDIA - UBS Nº 01  (2)</vt:lpstr>
      <vt:lpstr>BRAZLÂNDIA - UBS 02 (TIPOII (2</vt:lpstr>
      <vt:lpstr>CEILÂNDIA - UBS 09 (TIPO II (2</vt:lpstr>
      <vt:lpstr>CEILÂNDIA - UBS 08 (TIPO II (2</vt:lpstr>
      <vt:lpstr>BRAZLÂNDIA - UBS 04 (2)</vt:lpstr>
      <vt:lpstr>CEILÂNDIA - UBS 17 (2)</vt:lpstr>
      <vt:lpstr> CEILÂNDIA - UBS 03 (TIPO I (2</vt:lpstr>
      <vt:lpstr>BRAZLÂNDIA - UBS 08 (2)</vt:lpstr>
      <vt:lpstr>BRAZLÂNDIA - UBS 09</vt:lpstr>
      <vt:lpstr>CEILÂNDIA UBS 05 (2)</vt:lpstr>
      <vt:lpstr>CEILANDIA UBS 10 TIPO II (2)</vt:lpstr>
      <vt:lpstr>CEILANDIA UBS 12 </vt:lpstr>
      <vt:lpstr>BRAZLÂNDIA - UBS 06 (TIPO I)</vt:lpstr>
      <vt:lpstr>Legenda HRBZ</vt:lpstr>
      <vt:lpstr> Legenda HRC</vt:lpstr>
      <vt:lpstr>Calendário 2023</vt:lpstr>
      <vt:lpstr>CEILÂNDIA - UBS 11 (TIPO II)</vt:lpstr>
      <vt:lpstr>BRAZLÂNDIA - UBS Nº 05 </vt:lpstr>
      <vt:lpstr>BRAZLÂNDIA - UBS 03</vt:lpstr>
      <vt:lpstr> CEILÂNDIA - UBS 18</vt:lpstr>
      <vt:lpstr> BRAZLÂNDIA - UBS Nº 07</vt:lpstr>
      <vt:lpstr>CEILÂNDIA - UBS 14</vt:lpstr>
      <vt:lpstr>CEILÂNDIA - UBS 13 </vt:lpstr>
      <vt:lpstr>BRAZLÂNDIA - UBS Nº 01 </vt:lpstr>
      <vt:lpstr>BRAZLÂNDIA - UBS 02 (TIPOII)</vt:lpstr>
      <vt:lpstr>CEILÂNDIA - UBS 09 (TIPO II)</vt:lpstr>
      <vt:lpstr>CEILÂNDIA - UBS 08 (TIPO II)</vt:lpstr>
      <vt:lpstr>CEILANDIA - UBS 15 (TIPO II)</vt:lpstr>
      <vt:lpstr>CEILÂNDIA - UBS 01 (TIPO II)</vt:lpstr>
      <vt:lpstr>SOL NASCENTE- UBS 01 (TIPO II)</vt:lpstr>
      <vt:lpstr>CEILÂNDIA - UBS 02  (TIPO II)</vt:lpstr>
      <vt:lpstr>CEILÂNDIA - UBS 07 (TIPO II)</vt:lpstr>
      <vt:lpstr>CEILÂNDIA - UBS 06 (TIPO II)</vt:lpstr>
      <vt:lpstr>CEILÂNDIA - UBS 04 </vt:lpstr>
      <vt:lpstr>BRAZLÂNDIA - UBS 04</vt:lpstr>
      <vt:lpstr>CEILÂNDIA - UBS 17</vt:lpstr>
      <vt:lpstr> CEILÂNDIA - UBS 03 (TIPO II)</vt:lpstr>
      <vt:lpstr>BRAZLÂNDIA - UBS 08</vt:lpstr>
      <vt:lpstr>BRAZLANDIA - UBS 09</vt:lpstr>
      <vt:lpstr>CEILÂNDIA UBS 05</vt:lpstr>
      <vt:lpstr>CEILANDIA UBS 10 TIPO II</vt:lpstr>
      <vt:lpstr>CEILANDIA UBS 12</vt:lpstr>
      <vt:lpstr>BRAZLANDIA- UBS 06 (TIPO I)</vt:lpstr>
      <vt:lpstr>Planilha9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de Jesus Neves</dc:creator>
  <cp:lastModifiedBy>Darlan Messias Freitas Moreira</cp:lastModifiedBy>
  <cp:revision>3</cp:revision>
  <dcterms:created xsi:type="dcterms:W3CDTF">2019-04-22T13:33:32Z</dcterms:created>
  <dcterms:modified xsi:type="dcterms:W3CDTF">2025-02-27T14:17:54Z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